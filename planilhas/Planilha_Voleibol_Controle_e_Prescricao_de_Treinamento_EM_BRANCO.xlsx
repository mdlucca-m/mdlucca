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0.xml.rels" ContentType="application/vnd.openxmlformats-package.relationships+xml"/>
  <Override PartName="/xl/drawings/_rels/drawing9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3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6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Cadastro" sheetId="2" state="visible" r:id="rId4"/>
    <sheet name="Exercícios" sheetId="3" state="visible" r:id="rId5"/>
    <sheet name="Macrociclo" sheetId="4" state="visible" r:id="rId6"/>
    <sheet name="Mesociclo" sheetId="5" state="visible" r:id="rId7"/>
    <sheet name="Microciclo" sheetId="6" state="visible" r:id="rId8"/>
    <sheet name="Prescrição" sheetId="7" state="visible" r:id="rId9"/>
    <sheet name="Carga (PSE)" sheetId="8" state="visible" r:id="rId10"/>
    <sheet name="Wellness" sheetId="9" state="visible" r:id="rId11"/>
    <sheet name="Presença" sheetId="10" state="visible" r:id="rId12"/>
    <sheet name="Testes" sheetId="11" state="visible" r:id="rId13"/>
    <sheet name="Atleta" sheetId="12" state="visible" r:id="rId14"/>
    <sheet name="Painel" sheetId="13" state="visible" r:id="rId15"/>
    <sheet name="Listas" sheetId="14" state="visible" r:id="rId16"/>
  </sheets>
  <definedNames>
    <definedName function="false" hidden="true" localSheetId="1" name="_xlnm._FilterDatabase" vbProcedure="false">Cadastro!$A$6:$V$66</definedName>
    <definedName function="false" hidden="true" localSheetId="7" name="_xlnm._FilterDatabase" vbProcedure="false">'Carga (PSE)'!$A$7:$M$1007</definedName>
    <definedName function="false" hidden="true" localSheetId="2" name="_xlnm._FilterDatabase" vbProcedure="false">Exercícios!$A$6:$N$206</definedName>
    <definedName function="false" hidden="true" localSheetId="6" name="_xlnm._FilterDatabase" vbProcedure="false">Prescrição!$A$7:$T$507</definedName>
    <definedName function="false" hidden="true" localSheetId="10" name="_xlnm._FilterDatabase" vbProcedure="false">Testes!$A$7:$R$407</definedName>
    <definedName function="false" hidden="true" localSheetId="8" name="_xlnm._FilterDatabase" vbProcedure="false">Wellness!$A$7:$K$1007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1" authorId="0">
      <text>
        <r>
          <rPr>
            <sz val="10"/>
            <rFont val="Arial"/>
            <family val="2"/>
          </rPr>
          <t xml:space="preserve">Data de Início do Macrociclo.
É a âncora do cálculo 'Semana nº' usado nas abas Prescrição, Carga (PSE), Wellness, Presença, Atleta e Painel.
Use preferencialmente uma segunda-feira.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Deve coincidir com a coluna 'Semana nº' da aba Mesociclo e com a numeração automática das abas de registro.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Digite uma data ou a fórmula  =HOJE()  (=TODAY() em inglês) para ver sempre os treinos de hoje em diante.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Vem preenchida com a semana atual do macrociclo. Digite outro número para analisar qualquer semana da temporada.</t>
        </r>
      </text>
    </comment>
  </commentList>
</comments>
</file>

<file path=xl/sharedStrings.xml><?xml version="1.0" encoding="utf-8"?>
<sst xmlns="http://schemas.openxmlformats.org/spreadsheetml/2006/main" count="913" uniqueCount="567">
  <si>
    <t xml:space="preserve">PLANILHA DE CONTROLE E PRESCRIÇÃO DE TREINAMENTO  •  VOLEIBOL</t>
  </si>
  <si>
    <t xml:space="preserve">Periodização Macrociclo → Mesociclo → Microciclo → Sessão  |  Controle de carga por PSE da sessão, ACWR, Monotonia/Strain e Wellness</t>
  </si>
  <si>
    <t xml:space="preserve">COMO USAR — PASSO A PASSO</t>
  </si>
  <si>
    <t xml:space="preserve">1. Listas</t>
  </si>
  <si>
    <t xml:space="preserve">Confira/ajuste as opções de todos os menus suspensos (posições, categorias, tipos de sessão, etc.).</t>
  </si>
  <si>
    <t xml:space="preserve">2. Cadastro</t>
  </si>
  <si>
    <t xml:space="preserve">Cadastre os atletas. O nome cadastrado alimenta TODAS as demais abas automaticamente.</t>
  </si>
  <si>
    <t xml:space="preserve">3. Macrociclo</t>
  </si>
  <si>
    <t xml:space="preserve">Defina a temporada (datas, objetivo) e divida-a em mesociclos com volume/intensidade previstos.</t>
  </si>
  <si>
    <t xml:space="preserve">4. Mesociclo</t>
  </si>
  <si>
    <t xml:space="preserve">Escolha um mesociclo no menu e detalhe os microciclos (semanas), com carga prevista x realizada.</t>
  </si>
  <si>
    <t xml:space="preserve">5. Microciclo</t>
  </si>
  <si>
    <t xml:space="preserve">Monte a semana: sessões por dia, duração, PSE prevista e distribuição de conteúdos.</t>
  </si>
  <si>
    <t xml:space="preserve">6. Exercícios</t>
  </si>
  <si>
    <t xml:space="preserve">Biblioteca de exercícios. Já vem com 42 exercícios de voleibol — inclua os seus.</t>
  </si>
  <si>
    <t xml:space="preserve">7. Prescrição</t>
  </si>
  <si>
    <t xml:space="preserve">PRESCREVA o treino: uma linha por exercício, com séries, repetições, carga, pausa e destinatário.</t>
  </si>
  <si>
    <t xml:space="preserve">8. Carga (PSE)</t>
  </si>
  <si>
    <t xml:space="preserve">REGISTRE o realizado: duração x PSE = carga em UA. ACWR, aguda e crônica são calculados sozinhos.</t>
  </si>
  <si>
    <t xml:space="preserve">9. Wellness</t>
  </si>
  <si>
    <t xml:space="preserve">Questionário diário (sono, estresse, fadiga, dor) → Índice de Hooper e classificação automática.</t>
  </si>
  <si>
    <t xml:space="preserve">10. Presença</t>
  </si>
  <si>
    <t xml:space="preserve">Chamada por sessão, com % de presença por atleta calculado ao lado.</t>
  </si>
  <si>
    <t xml:space="preserve">11. Testes</t>
  </si>
  <si>
    <t xml:space="preserve">Avaliações físicas periódicas (saltos, alcances, agilidade, sprint, flexibilidade).</t>
  </si>
  <si>
    <t xml:space="preserve">12. Atleta</t>
  </si>
  <si>
    <t xml:space="preserve">ÁREA DO ATLETA: escolha o nome e ele vê o próprio perfil, cargas, monotonia e o treino prescrito.</t>
  </si>
  <si>
    <t xml:space="preserve">13. Painel</t>
  </si>
  <si>
    <t xml:space="preserve">PAINEL INTERATIVO: indicadores e gráficos de toda a equipe, por semana e por atleta.</t>
  </si>
  <si>
    <t xml:space="preserve">LEGENDA DE CORES</t>
  </si>
  <si>
    <t xml:space="preserve">Célula de PREENCHIMENTO (azul sobre amarelo)</t>
  </si>
  <si>
    <t xml:space="preserve">Célula CALCULADA — não digite por cima</t>
  </si>
  <si>
    <t xml:space="preserve">Cabeçalho de tabela</t>
  </si>
  <si>
    <t xml:space="preserve">Alerta / risco elevado</t>
  </si>
  <si>
    <t xml:space="preserve">Atenção / monitorar</t>
  </si>
  <si>
    <t xml:space="preserve">Adequado / dentro da meta</t>
  </si>
  <si>
    <t xml:space="preserve">MÉTRICAS DE CONTROLE UTILIZADAS — DEFINIÇÕES E REFERÊNCIAS</t>
  </si>
  <si>
    <t xml:space="preserve">Carga Interna (UA)</t>
  </si>
  <si>
    <t xml:space="preserve">Duração da sessão (min) × PSE da sessão (escala 0–10, coletada ~30 min após o treino). Método da PSE da sessão de Foster et al. (2001), J Strength Cond Res.</t>
  </si>
  <si>
    <t xml:space="preserve">Carga Aguda (7 d)</t>
  </si>
  <si>
    <t xml:space="preserve">Soma da carga em UA dos últimos 7 dias do atleta (inclui o dia atual).</t>
  </si>
  <si>
    <t xml:space="preserve">Carga Crônica (28 d)</t>
  </si>
  <si>
    <t xml:space="preserve">Soma da carga dos últimos 28 dias ÷ 4 (média semanal), para ficar na mesma escala da aguda.</t>
  </si>
  <si>
    <t xml:space="preserve">ACWR</t>
  </si>
  <si>
    <t xml:space="preserve">Carga Aguda ÷ Carga Crônica. Faixas usadas na planilha: &lt;0,80 subcarga | 0,80–1,30 zona ideal | 1,31–1,50 atenção | &gt;1,50 risco elevado. Referência: Gabbett (2016), Br J Sports Med. Interpretar sempre junto do contexto e da clínica do atleta.</t>
  </si>
  <si>
    <t xml:space="preserve">Monotonia</t>
  </si>
  <si>
    <t xml:space="preserve">Média das cargas diárias da semana ÷ desvio-padrão dessas mesmas cargas (7 dias, dias de folga contam como zero). &gt;2,0 indica semana monótona.</t>
  </si>
  <si>
    <t xml:space="preserve">Strain</t>
  </si>
  <si>
    <t xml:space="preserve">Carga semanal total × Monotonia. Picos de strain associam-se a maior risco de lesão/doença (Foster, 1998).</t>
  </si>
  <si>
    <t xml:space="preserve">Índice de Hooper</t>
  </si>
  <si>
    <t xml:space="preserve">Soma de 4 itens (qualidade do sono, estresse, fadiga e dor muscular), cada um de 1 = muito bom/ausente a 7 = muito ruim/máxima. Varia de 4 a 28; QUANTO MAIOR, PIOR. Referência: Hooper &amp; Mackinnon (1995), Sports Med.</t>
  </si>
  <si>
    <t xml:space="preserve">Volume × Intensidade</t>
  </si>
  <si>
    <t xml:space="preserve">No Macrociclo, valores em % representam a proporção relativa planejada para cada mesociclo (ex.: 85% = volume alto).</t>
  </si>
  <si>
    <t xml:space="preserve">ATENÇÃO — DADOS DE EXEMPLO: a planilha vem preenchida com 12 atletas fictícios, um macrociclo modelo e registros de carga/wellness/presença apenas para demonstrar os cálculos e os gráficos. Apague esses dados (linhas marcadas como EXEMPLO) antes de usar com a sua equipe. As fórmulas permanecem intactas.
AVISO: esta planilha é uma ferramenta de organização do treino. Não substitui avaliação médica nem fisioterápica; os indicadores de risco são apoio à decisão do técnico/preparador físico.</t>
  </si>
  <si>
    <t xml:space="preserve">CADASTRO DE ATLETAS</t>
  </si>
  <si>
    <t xml:space="preserve">Preencha as colunas em amarelo. As colunas cinza são calculadas. O nome digitado aqui aparece nos menus de todas as outras abas.</t>
  </si>
  <si>
    <t xml:space="preserve">Campos obrigatórios: Nome, Data de Nascimento, Estatura e Massa. Alcance em Pé = altura atingida em pé com o braço dominante estendido — é a base para calcular as impulsões.</t>
  </si>
  <si>
    <t xml:space="preserve">ID</t>
  </si>
  <si>
    <t xml:space="preserve">Nome Completo</t>
  </si>
  <si>
    <t xml:space="preserve">Data de Nasc.</t>
  </si>
  <si>
    <t xml:space="preserve">Idade</t>
  </si>
  <si>
    <t xml:space="preserve">Sexo</t>
  </si>
  <si>
    <t xml:space="preserve">Posição</t>
  </si>
  <si>
    <t xml:space="preserve">Categoria</t>
  </si>
  <si>
    <t xml:space="preserve">Nº Camisa</t>
  </si>
  <si>
    <t xml:space="preserve">Dominância</t>
  </si>
  <si>
    <t xml:space="preserve">Estatura (m)</t>
  </si>
  <si>
    <t xml:space="preserve">Massa (kg)</t>
  </si>
  <si>
    <t xml:space="preserve">IMC</t>
  </si>
  <si>
    <t xml:space="preserve">Envergadura (cm)</t>
  </si>
  <si>
    <t xml:space="preserve">Alcance em Pé (cm)</t>
  </si>
  <si>
    <t xml:space="preserve">Alcance de Ataque (cm)</t>
  </si>
  <si>
    <t xml:space="preserve">Alcance de Bloqueio (cm)</t>
  </si>
  <si>
    <t xml:space="preserve">Impulsão de Ataque (cm)</t>
  </si>
  <si>
    <t xml:space="preserve">Impulsão de Bloqueio (cm)</t>
  </si>
  <si>
    <t xml:space="preserve">Entrada na Equipe</t>
  </si>
  <si>
    <t xml:space="preserve">Status</t>
  </si>
  <si>
    <t xml:space="preserve">Contato / Responsável</t>
  </si>
  <si>
    <t xml:space="preserve">Observações</t>
  </si>
  <si>
    <t xml:space="preserve">← primeira linha: preencha aqui</t>
  </si>
  <si>
    <t xml:space="preserve">BIBLIOTECA DE EXERCÍCIOS</t>
  </si>
  <si>
    <t xml:space="preserve">Cada exercício cadastrado aqui fica disponível no menu suspenso da aba Prescrição, que puxa automaticamente categoria, fundamento e capacidade física.</t>
  </si>
  <si>
    <t xml:space="preserve">Exercício</t>
  </si>
  <si>
    <t xml:space="preserve">Fundamento</t>
  </si>
  <si>
    <t xml:space="preserve">Capacidade Física</t>
  </si>
  <si>
    <t xml:space="preserve">Objetivo</t>
  </si>
  <si>
    <t xml:space="preserve">Descrição / Execução</t>
  </si>
  <si>
    <t xml:space="preserve">Material</t>
  </si>
  <si>
    <t xml:space="preserve">Nº de Atletas</t>
  </si>
  <si>
    <t xml:space="preserve">Duração Sug. (min)</t>
  </si>
  <si>
    <t xml:space="preserve">Intensidade Sug.</t>
  </si>
  <si>
    <t xml:space="preserve">PSE Sug.</t>
  </si>
  <si>
    <t xml:space="preserve">Nível</t>
  </si>
  <si>
    <t xml:space="preserve">Link de Vídeo</t>
  </si>
  <si>
    <t xml:space="preserve">Saque flutuante de apoio</t>
  </si>
  <si>
    <t xml:space="preserve">Técnico</t>
  </si>
  <si>
    <t xml:space="preserve">Saque</t>
  </si>
  <si>
    <t xml:space="preserve">Coordenação</t>
  </si>
  <si>
    <t xml:space="preserve">Precisão e constância do saque flutuante</t>
  </si>
  <si>
    <t xml:space="preserve">Séries de 10 saques por zona alvo (1, 5 e 6). Contato firme no centro da bola, sem rotação, braço freado no impacto.</t>
  </si>
  <si>
    <t xml:space="preserve">Bolas, cones/alvos</t>
  </si>
  <si>
    <t xml:space="preserve">Moderada</t>
  </si>
  <si>
    <t xml:space="preserve">Iniciante</t>
  </si>
  <si>
    <t xml:space="preserve">Saque viagem no fundo (jump float)</t>
  </si>
  <si>
    <t xml:space="preserve">Saque flutuante com salto e maior velocidade</t>
  </si>
  <si>
    <t xml:space="preserve">Passada de 2–3 tempos, salto vertical, contato seco. 3 blocos de 8 saques com alvo no fundo da quadra.</t>
  </si>
  <si>
    <t xml:space="preserve">Bolas</t>
  </si>
  <si>
    <t xml:space="preserve">Alta</t>
  </si>
  <si>
    <t xml:space="preserve">Intermediário</t>
  </si>
  <si>
    <t xml:space="preserve">Saque potente com salto</t>
  </si>
  <si>
    <t xml:space="preserve">Força Explosiva/Potência</t>
  </si>
  <si>
    <t xml:space="preserve">Velocidade e agressividade no saque</t>
  </si>
  <si>
    <t xml:space="preserve">4 séries de 6 saques em potência máxima, alternando zona 1 e zona 5. Pausa completa entre séries.</t>
  </si>
  <si>
    <t xml:space="preserve">Muito Alta</t>
  </si>
  <si>
    <t xml:space="preserve">Avançado</t>
  </si>
  <si>
    <t xml:space="preserve">Recepção em duplas com bola dirigida</t>
  </si>
  <si>
    <t xml:space="preserve">Recepção (Passe)</t>
  </si>
  <si>
    <t xml:space="preserve">Plataforma estável e passe ao alvo</t>
  </si>
  <si>
    <t xml:space="preserve">Técnico lança bolas alternadas; atleta recebe para o alvo em zona 2/3. 3 x 15 repetições.</t>
  </si>
  <si>
    <t xml:space="preserve">Bolas, alvo/cesto</t>
  </si>
  <si>
    <t xml:space="preserve">Recepção de saque em sistema de 2 passadores</t>
  </si>
  <si>
    <t xml:space="preserve">Leitura de trajetória e responsabilidade de zona</t>
  </si>
  <si>
    <t xml:space="preserve">Sacador real do outro lado. Passadores em L; 20 saques por rodízio, meta de 70% de passes A/B.</t>
  </si>
  <si>
    <t xml:space="preserve">Bolas, rede</t>
  </si>
  <si>
    <t xml:space="preserve">Manchete de deslocamento lateral (leque)</t>
  </si>
  <si>
    <t xml:space="preserve">Agilidade/COD</t>
  </si>
  <si>
    <t xml:space="preserve">Deslocamento e recepção fora da base</t>
  </si>
  <si>
    <t xml:space="preserve">Bolas alternadas à direita e à esquerda; deslocamento em passo lateral e retorno à base. 4 x 30 s.</t>
  </si>
  <si>
    <t xml:space="preserve">Levantamento em suspensão contra a parede</t>
  </si>
  <si>
    <t xml:space="preserve">Levantamento</t>
  </si>
  <si>
    <t xml:space="preserve">Consistência do toque e ação simétrica das mãos</t>
  </si>
  <si>
    <t xml:space="preserve">3 x 30 toques contra a parede a 3 m, mantendo a bola sem rotação.</t>
  </si>
  <si>
    <t xml:space="preserve">Bola, parede</t>
  </si>
  <si>
    <t xml:space="preserve">Baixa</t>
  </si>
  <si>
    <t xml:space="preserve">Levantamento em rede com alvos</t>
  </si>
  <si>
    <t xml:space="preserve">Precisão de bola alta, rápida e de fundo</t>
  </si>
  <si>
    <t xml:space="preserve">Levantador recebe passe do técnico e distribui para alvos em P4, P2 e Pipe. 5 x 12 levantamentos.</t>
  </si>
  <si>
    <t xml:space="preserve">Bolas, aros/alvos</t>
  </si>
  <si>
    <t xml:space="preserve">Levantamento invertido (costas)</t>
  </si>
  <si>
    <t xml:space="preserve">Domínio do levantamento para trás sem sinalizar</t>
  </si>
  <si>
    <t xml:space="preserve">3 x 15 levantamentos de costas para P2 com o técnico corrigindo a extensão de quadril.</t>
  </si>
  <si>
    <t xml:space="preserve">Ataque de bola alta pela ponta (P4)</t>
  </si>
  <si>
    <t xml:space="preserve">Ataque</t>
  </si>
  <si>
    <t xml:space="preserve">Ritmo de aproximação e ataque em bola alta</t>
  </si>
  <si>
    <t xml:space="preserve">4 x 10 ataques com levantador real. Foco na passada de 3 tempos e no braço em arco.</t>
  </si>
  <si>
    <t xml:space="preserve">Ataque de primeiro tempo (P3)</t>
  </si>
  <si>
    <t xml:space="preserve">Velocidade</t>
  </si>
  <si>
    <t xml:space="preserve">Sincronia central x levantador</t>
  </si>
  <si>
    <t xml:space="preserve">4 x 8 ataques de bola rápida, variando o ponto de contato ao longo da rede.</t>
  </si>
  <si>
    <t xml:space="preserve">Ataque de fundo (Pipe / P6)</t>
  </si>
  <si>
    <t xml:space="preserve">Ataque a partir da linha de 3 m</t>
  </si>
  <si>
    <t xml:space="preserve">3 x 10 ataques de fundo saindo da recepção. Atenção à marca dos 3 m.</t>
  </si>
  <si>
    <t xml:space="preserve">Largada e explorada de bloqueio</t>
  </si>
  <si>
    <t xml:space="preserve">Variação tática do ataque</t>
  </si>
  <si>
    <t xml:space="preserve">3 x 12 alternando largada curta, exploração de bloqueio e ataque forte, comandado pelo técnico.</t>
  </si>
  <si>
    <t xml:space="preserve">Bloqueio individual com deslocamento lateral</t>
  </si>
  <si>
    <t xml:space="preserve">Bloqueio</t>
  </si>
  <si>
    <t xml:space="preserve">Deslocamento e penetração das mãos</t>
  </si>
  <si>
    <t xml:space="preserve">4 x 8 deslocamentos P2→P3→P4 com salto de bloqueio em cada parada.</t>
  </si>
  <si>
    <t xml:space="preserve">Rede, plataforma</t>
  </si>
  <si>
    <t xml:space="preserve">Bloqueio duplo (fechamento ponta/central)</t>
  </si>
  <si>
    <t xml:space="preserve">Sincronia e fechamento do bloqueio duplo</t>
  </si>
  <si>
    <t xml:space="preserve">Central desloca e fecha com o ponteiro; 4 x 10 repetições com atacante real.</t>
  </si>
  <si>
    <t xml:space="preserve">Rede, bolas</t>
  </si>
  <si>
    <t xml:space="preserve">Defesa de mergulho e rolamento</t>
  </si>
  <si>
    <t xml:space="preserve">Defesa</t>
  </si>
  <si>
    <t xml:space="preserve">Técnica de queda segura e recuperação de bola</t>
  </si>
  <si>
    <t xml:space="preserve">3 x 10 mergulhos alternando lados, com progressão de colchonete para quadra.</t>
  </si>
  <si>
    <t xml:space="preserve">Bolas, colchonete</t>
  </si>
  <si>
    <t xml:space="preserve">Defesa em 3 zonas com técnico atacando</t>
  </si>
  <si>
    <t xml:space="preserve">Postura de defesa e leitura do atacante</t>
  </si>
  <si>
    <t xml:space="preserve">Técnico ataca da plataforma para zonas 1, 6 e 5; 4 x 45 s de defesa contínua.</t>
  </si>
  <si>
    <t xml:space="preserve">Bolas, plataforma</t>
  </si>
  <si>
    <t xml:space="preserve">Circuito de deslocamentos específicos da posição</t>
  </si>
  <si>
    <t xml:space="preserve">Deslocamento</t>
  </si>
  <si>
    <t xml:space="preserve">Automatizar trajetos de saída de rede e cobertura</t>
  </si>
  <si>
    <t xml:space="preserve">Circuito de cones reproduzindo o trajeto real da posição. 5 voltas com 60 s de pausa.</t>
  </si>
  <si>
    <t xml:space="preserve">Cones</t>
  </si>
  <si>
    <t xml:space="preserve">Complexo I (K1) — recepção, levantamento e ataque</t>
  </si>
  <si>
    <t xml:space="preserve">Tático</t>
  </si>
  <si>
    <t xml:space="preserve">Jogo/Coletivo</t>
  </si>
  <si>
    <t xml:space="preserve">N/A</t>
  </si>
  <si>
    <t xml:space="preserve">Eficiência do side-out</t>
  </si>
  <si>
    <t xml:space="preserve">Saque adversário real; a equipe pontua se converter o side-out. Meta de 60% em 20 tentativas.</t>
  </si>
  <si>
    <t xml:space="preserve">Complexo II (K2) — bloqueio, defesa e contra-ataque</t>
  </si>
  <si>
    <t xml:space="preserve">Transição defesa-ataque</t>
  </si>
  <si>
    <t xml:space="preserve">Técnico ataca; equipe defende e finaliza o contra-ataque. 20 séries por rodízio.</t>
  </si>
  <si>
    <t xml:space="preserve">Jogo 6x6 com pontuação diferenciada</t>
  </si>
  <si>
    <t xml:space="preserve">Aplicar o sistema em contexto real</t>
  </si>
  <si>
    <t xml:space="preserve">Sets a 15 com pontos em dobro para ponto de bloqueio ou side-out no 1º toque.</t>
  </si>
  <si>
    <t xml:space="preserve">Bolas, rede, placar</t>
  </si>
  <si>
    <t xml:space="preserve">Jogo reduzido 4x4 em quadra estreita</t>
  </si>
  <si>
    <t xml:space="preserve">Volume de toques e leitura de jogo</t>
  </si>
  <si>
    <t xml:space="preserve">3 sets a 11 pontos em meia quadra, obrigando 3 toques.</t>
  </si>
  <si>
    <t xml:space="preserve">Treino do sistema 5x1 — rodízios e coberturas</t>
  </si>
  <si>
    <t xml:space="preserve">Posicionamento em cada rodízio</t>
  </si>
  <si>
    <t xml:space="preserve">Sem bola primeiro, depois com bola: 6 rodízios x 4 repetições de recepção e cobertura.</t>
  </si>
  <si>
    <t xml:space="preserve">Saque-recepção sob pressão de placar</t>
  </si>
  <si>
    <t xml:space="preserve">Desempenho técnico sob estresse competitivo</t>
  </si>
  <si>
    <t xml:space="preserve">Placar simulado em 22x22; erro de saque ou recepção custa ponto. 6 rodadas.</t>
  </si>
  <si>
    <t xml:space="preserve">Bolas, placar</t>
  </si>
  <si>
    <t xml:space="preserve">Agachamento livre (back squat)</t>
  </si>
  <si>
    <t xml:space="preserve">Físico</t>
  </si>
  <si>
    <t xml:space="preserve">Força Máxima</t>
  </si>
  <si>
    <t xml:space="preserve">Força máxima de membros inferiores</t>
  </si>
  <si>
    <t xml:space="preserve">4 x 5 a 80–85% de 1RM, 3 min de pausa. Progressão semanal de 2,5%.</t>
  </si>
  <si>
    <t xml:space="preserve">Barra, anilhas, rack</t>
  </si>
  <si>
    <t xml:space="preserve">Levantamento terra romeno</t>
  </si>
  <si>
    <t xml:space="preserve">Força de cadeia posterior e prevenção de isquiotibiais</t>
  </si>
  <si>
    <t xml:space="preserve">4 x 8 a 70% de 1RM, ênfase excêntrica de 3 s.</t>
  </si>
  <si>
    <t xml:space="preserve">Barra, anilhas</t>
  </si>
  <si>
    <t xml:space="preserve">Afundo com halteres</t>
  </si>
  <si>
    <t xml:space="preserve">Força unilateral e estabilidade de quadril</t>
  </si>
  <si>
    <t xml:space="preserve">3 x 10 por perna com carga moderada.</t>
  </si>
  <si>
    <t xml:space="preserve">Halteres</t>
  </si>
  <si>
    <t xml:space="preserve">Power clean (levantamento olímpico)</t>
  </si>
  <si>
    <t xml:space="preserve">Taxa de produção de força</t>
  </si>
  <si>
    <t xml:space="preserve">5 x 3 a 70–80% de 1RM, foco em velocidade da barra.</t>
  </si>
  <si>
    <t xml:space="preserve">Barra, plataforma</t>
  </si>
  <si>
    <t xml:space="preserve">Agachamento com salto sob carga (jump squat)</t>
  </si>
  <si>
    <t xml:space="preserve">Potência específica de salto</t>
  </si>
  <si>
    <t xml:space="preserve">5 x 4 com 20–30% de 1RM, pausa completa de 2 min.</t>
  </si>
  <si>
    <t xml:space="preserve">Barra leve/halteres</t>
  </si>
  <si>
    <t xml:space="preserve">Salto em profundidade (drop jump)</t>
  </si>
  <si>
    <t xml:space="preserve">Pliometria</t>
  </si>
  <si>
    <t xml:space="preserve">Ciclo alongamento-encurtamento rápido</t>
  </si>
  <si>
    <t xml:space="preserve">5 x 5 quedas de caixa de 40 cm com salto imediato. Superfície firme e calçado adequado.</t>
  </si>
  <si>
    <t xml:space="preserve">Caixa pliométrica</t>
  </si>
  <si>
    <t xml:space="preserve">Saltos consecutivos sobre barreiras</t>
  </si>
  <si>
    <t xml:space="preserve">Rigidez muscular e reatividade</t>
  </si>
  <si>
    <t xml:space="preserve">4 x 6 barreiras de 40–50 cm, contato mínimo com o solo.</t>
  </si>
  <si>
    <t xml:space="preserve">Barreiras</t>
  </si>
  <si>
    <t xml:space="preserve">Sprints de 10 e 20 m com mudança de direção</t>
  </si>
  <si>
    <t xml:space="preserve">Aceleração e frenagem</t>
  </si>
  <si>
    <t xml:space="preserve">6 sprints de 10 m e 4 de 20 m com 90 s de pausa.</t>
  </si>
  <si>
    <t xml:space="preserve">Cones, cronômetro</t>
  </si>
  <si>
    <t xml:space="preserve">Circuito de agilidade T-Test</t>
  </si>
  <si>
    <t xml:space="preserve">Mudança de direção específica da quadra</t>
  </si>
  <si>
    <t xml:space="preserve">4 execuções completas com 2 min de pausa; registrar o melhor tempo.</t>
  </si>
  <si>
    <t xml:space="preserve">Intervalado de alta intensidade 15/15</t>
  </si>
  <si>
    <t xml:space="preserve">Resistência Anaeróbia</t>
  </si>
  <si>
    <t xml:space="preserve">Tolerância a esforços intermitentes</t>
  </si>
  <si>
    <t xml:space="preserve">2 blocos de 8 x 15 s de corrida intensa / 15 s de trote, 3 min entre blocos.</t>
  </si>
  <si>
    <t xml:space="preserve">Cronômetro</t>
  </si>
  <si>
    <t xml:space="preserve">Corrida contínua regenerativa</t>
  </si>
  <si>
    <t xml:space="preserve">Resistência Aeróbia</t>
  </si>
  <si>
    <t xml:space="preserve">Recuperação ativa e base aeróbia</t>
  </si>
  <si>
    <t xml:space="preserve">20–25 min em intensidade leve (60–65% da FCmáx).</t>
  </si>
  <si>
    <t xml:space="preserve">Prancha e anti-rotação (Pallof press)</t>
  </si>
  <si>
    <t xml:space="preserve">Core/Estabilidade</t>
  </si>
  <si>
    <t xml:space="preserve">Estabilidade de tronco para transferência de força</t>
  </si>
  <si>
    <t xml:space="preserve">3 x 40 s de prancha + 3 x 12 Pallof por lado.</t>
  </si>
  <si>
    <t xml:space="preserve">Elástico, colchonete</t>
  </si>
  <si>
    <t xml:space="preserve">Rotadores do ombro com elástico</t>
  </si>
  <si>
    <t xml:space="preserve">Preventivo/Compensatório</t>
  </si>
  <si>
    <t xml:space="preserve">Prevenção de lesão no ombro do atacante</t>
  </si>
  <si>
    <t xml:space="preserve">3 x 15 rotação externa e interna, carga leve, ritmo controlado.</t>
  </si>
  <si>
    <t xml:space="preserve">Elástico</t>
  </si>
  <si>
    <t xml:space="preserve">Nórdico de isquiotibiais (excêntrico)</t>
  </si>
  <si>
    <t xml:space="preserve">Prevenção de lesão de isquiotibiais</t>
  </si>
  <si>
    <t xml:space="preserve">3 x 6 repetições excêntricas lentas, 2x/semana.</t>
  </si>
  <si>
    <t xml:space="preserve">Colchonete, parceiro</t>
  </si>
  <si>
    <t xml:space="preserve">Excêntrico de tornozelo e panturrilha</t>
  </si>
  <si>
    <t xml:space="preserve">Prevenção de entorse e tendinopatia de aquileu</t>
  </si>
  <si>
    <t xml:space="preserve">3 x 12 elevações com descida lenta de 3 s no step.</t>
  </si>
  <si>
    <t xml:space="preserve">Step</t>
  </si>
  <si>
    <t xml:space="preserve">Mobilidade de tornozelo e quadril</t>
  </si>
  <si>
    <t xml:space="preserve">Mobilidade/Flexibilidade</t>
  </si>
  <si>
    <t xml:space="preserve">Amplitude para agachamento e aterrissagem</t>
  </si>
  <si>
    <t xml:space="preserve">6 exercícios x 8 repetições, antes da parte principal.</t>
  </si>
  <si>
    <t xml:space="preserve">Colchonete, elástico</t>
  </si>
  <si>
    <t xml:space="preserve">Muito Baixa</t>
  </si>
  <si>
    <t xml:space="preserve">Alongamento e liberação miofascial</t>
  </si>
  <si>
    <t xml:space="preserve">Recuperação</t>
  </si>
  <si>
    <t xml:space="preserve">Recuperação pós-sessão</t>
  </si>
  <si>
    <t xml:space="preserve">15 min de rolo e alongamentos estáticos de 30 s por grupamento.</t>
  </si>
  <si>
    <t xml:space="preserve">Rolo, colchonete</t>
  </si>
  <si>
    <t xml:space="preserve">Reação visual com estímulo do técnico</t>
  </si>
  <si>
    <t xml:space="preserve">Cognitivo/Visual</t>
  </si>
  <si>
    <t xml:space="preserve">Tempo de reação e leitura antecipatória</t>
  </si>
  <si>
    <t xml:space="preserve">Técnico sinaliza a direção no último instante; atleta desloca e defende. 5 x 30 s.</t>
  </si>
  <si>
    <t xml:space="preserve">Bolas, sinalizadores</t>
  </si>
  <si>
    <t xml:space="preserve">MACROCICLO — PLANEJAMENTO DA TEMPORADA</t>
  </si>
  <si>
    <t xml:space="preserve">Defina o período total e divida-o em mesociclos. A Data de Início (C11) é a referência de TODA a numeração de semanas da planilha.</t>
  </si>
  <si>
    <t xml:space="preserve">IDENTIFICAÇÃO DO MACROCICLO</t>
  </si>
  <si>
    <t xml:space="preserve">Temporada / Época</t>
  </si>
  <si>
    <t xml:space="preserve">Equipe / Clube</t>
  </si>
  <si>
    <t xml:space="preserve">Técnico Responsável</t>
  </si>
  <si>
    <t xml:space="preserve">Preparador Físico</t>
  </si>
  <si>
    <t xml:space="preserve">Data de Início</t>
  </si>
  <si>
    <t xml:space="preserve">Data de Término</t>
  </si>
  <si>
    <t xml:space="preserve">Duração (semanas)</t>
  </si>
  <si>
    <t xml:space="preserve">Objetivo Principal</t>
  </si>
  <si>
    <t xml:space="preserve">Competição-Alvo</t>
  </si>
  <si>
    <t xml:space="preserve">DIVISÃO EM MESOCICLOS</t>
  </si>
  <si>
    <t xml:space="preserve">Nº</t>
  </si>
  <si>
    <t xml:space="preserve">Mesociclo</t>
  </si>
  <si>
    <t xml:space="preserve">Período</t>
  </si>
  <si>
    <t xml:space="preserve">Data Início</t>
  </si>
  <si>
    <t xml:space="preserve">Data Fim</t>
  </si>
  <si>
    <t xml:space="preserve">Semanas</t>
  </si>
  <si>
    <t xml:space="preserve">Semana Inicial</t>
  </si>
  <si>
    <t xml:space="preserve">Volume (%)</t>
  </si>
  <si>
    <t xml:space="preserve">Intensidade (%)</t>
  </si>
  <si>
    <t xml:space="preserve">Ênfase Física</t>
  </si>
  <si>
    <t xml:space="preserve">Ênfase Técnica</t>
  </si>
  <si>
    <t xml:space="preserve">Ênfase Tática</t>
  </si>
  <si>
    <t xml:space="preserve">Carga-Alvo Semanal (UA)</t>
  </si>
  <si>
    <t xml:space="preserve">Competições no Período</t>
  </si>
  <si>
    <t xml:space="preserve">Situação</t>
  </si>
  <si>
    <t xml:space="preserve">TOTAL / MÉDIA</t>
  </si>
  <si>
    <t xml:space="preserve">Confira: a soma de semanas dos mesociclos deve bater com a Duração (semanas) em C13. A Carga-Alvo total é a soma de (semanas × carga-alvo semanal) de cada mesociclo.</t>
  </si>
  <si>
    <t xml:space="preserve">MESOCICLO — DETALHAMENTO EM MICROCICLOS</t>
  </si>
  <si>
    <t xml:space="preserve">Escolha o mesociclo no menu suspenso: os dados do planejamento são puxados do Macrociclo automaticamente.</t>
  </si>
  <si>
    <t xml:space="preserve">SELEÇÃO E RESUMO DO MESOCICLO</t>
  </si>
  <si>
    <t xml:space="preserve">Mesociclo selecionado</t>
  </si>
  <si>
    <t xml:space="preserve">Competições</t>
  </si>
  <si>
    <t xml:space="preserve">Semana Inicial no Macro</t>
  </si>
  <si>
    <t xml:space="preserve">Volume Planejado</t>
  </si>
  <si>
    <t xml:space="preserve">Intensidade Planejada</t>
  </si>
  <si>
    <t xml:space="preserve">MICROCICLOS DO MESOCICLO — PREVISTO × REALIZADO</t>
  </si>
  <si>
    <t xml:space="preserve">Microciclo</t>
  </si>
  <si>
    <t xml:space="preserve">Tipo de Microciclo</t>
  </si>
  <si>
    <t xml:space="preserve">Objetivo do Microciclo</t>
  </si>
  <si>
    <t xml:space="preserve">Semana nº</t>
  </si>
  <si>
    <t xml:space="preserve">Sessões Previstas</t>
  </si>
  <si>
    <t xml:space="preserve">Volume Previsto (min)</t>
  </si>
  <si>
    <t xml:space="preserve">PSE Média Prevista</t>
  </si>
  <si>
    <t xml:space="preserve">Carga Prevista (UA)</t>
  </si>
  <si>
    <t xml:space="preserve">% Cumprido</t>
  </si>
  <si>
    <t xml:space="preserve">% Cumprido = carga média por atleta ativo realizada na semana (aba Carga (PSE)) ÷ carga prevista do microciclo. Verde = 90–110% do previsto; amarelo = acima; vermelho = abaixo.</t>
  </si>
  <si>
    <t xml:space="preserve">MICROCICLO — PLANEJAMENTO DA SEMANA</t>
  </si>
  <si>
    <t xml:space="preserve">Duas linhas por dia (duas sessões possíveis). As datas e os dias da semana são gerados a partir da Data de Início.</t>
  </si>
  <si>
    <t xml:space="preserve">IDENTIFICAÇÃO DO MICROCICLO</t>
  </si>
  <si>
    <t xml:space="preserve">Semana nº no Macrociclo</t>
  </si>
  <si>
    <t xml:space="preserve">Data de Início (2ª feira)</t>
  </si>
  <si>
    <t xml:space="preserve">Objetivo da Semana</t>
  </si>
  <si>
    <t xml:space="preserve">SESSÕES DA SEMANA</t>
  </si>
  <si>
    <t xml:space="preserve">Dia da Semana</t>
  </si>
  <si>
    <t xml:space="preserve">Data</t>
  </si>
  <si>
    <t xml:space="preserve">Turno</t>
  </si>
  <si>
    <t xml:space="preserve">Tipo de Sessão</t>
  </si>
  <si>
    <t xml:space="preserve">Local</t>
  </si>
  <si>
    <t xml:space="preserve">Duração (min)</t>
  </si>
  <si>
    <t xml:space="preserve">PSE Prevista</t>
  </si>
  <si>
    <t xml:space="preserve">Ênfase Física / Prevenção</t>
  </si>
  <si>
    <t xml:space="preserve">TOTAL DA SEMANA</t>
  </si>
  <si>
    <t xml:space="preserve">RESUMO DA SEMANA — PREVISTO × REALIZADO</t>
  </si>
  <si>
    <t xml:space="preserve">SESSÕES PLANEJADAS</t>
  </si>
  <si>
    <t xml:space="preserve">DURAÇÃO TOTAL (min)</t>
  </si>
  <si>
    <t xml:space="preserve">CARGA PREVISTA (UA)</t>
  </si>
  <si>
    <t xml:space="preserve">CARGA REALIZADA — MÉDIA/ATLETA (UA)</t>
  </si>
  <si>
    <t xml:space="preserve">% DE CUMPRIMENTO DA CARGA</t>
  </si>
  <si>
    <t xml:space="preserve">DISTRIBUIÇÃO DE CONTEÚDOS POR DIA (minutos)</t>
  </si>
  <si>
    <t xml:space="preserve">Dia</t>
  </si>
  <si>
    <t xml:space="preserve">Preventivo / Prevenção</t>
  </si>
  <si>
    <t xml:space="preserve">Total (min)</t>
  </si>
  <si>
    <t xml:space="preserve">% da Semana</t>
  </si>
  <si>
    <t xml:space="preserve">TOTAL</t>
  </si>
  <si>
    <t xml:space="preserve">PRESCRIÇÃO DO TREINO</t>
  </si>
  <si>
    <t xml:space="preserve">Uma linha por exercício prescrito. Escolha o exercício no menu (vem da aba Exercícios) e defina o destinatário: 'Equipe (todos)' ou o nome de um atleta — é assim que o treino chega à Área do Atleta.</t>
  </si>
  <si>
    <t xml:space="preserve">RESUMO DA SESSÃO SELECIONADA</t>
  </si>
  <si>
    <t xml:space="preserve">Data:</t>
  </si>
  <si>
    <t xml:space="preserve">EXERCÍCIOS PRESCRITOS</t>
  </si>
  <si>
    <t xml:space="preserve">PSE MÉDIA PREVISTA</t>
  </si>
  <si>
    <t xml:space="preserve">MIN. TÉCNICO</t>
  </si>
  <si>
    <t xml:space="preserve">MIN. TÁTICO</t>
  </si>
  <si>
    <t xml:space="preserve">MIN. FÍSICO</t>
  </si>
  <si>
    <t xml:space="preserve">MIN. PREVENTIVO</t>
  </si>
  <si>
    <t xml:space="preserve">Digite a data em B4 para ver o resumo das sessões daquele dia. Séries × Repetições geram o Volume; Duração × PSE Prevista geram a Carga Prevista em UA (unidades arbitrárias).</t>
  </si>
  <si>
    <t xml:space="preserve">Semana</t>
  </si>
  <si>
    <t xml:space="preserve">Sessão</t>
  </si>
  <si>
    <t xml:space="preserve">Destinatário</t>
  </si>
  <si>
    <t xml:space="preserve">Bloco</t>
  </si>
  <si>
    <t xml:space="preserve">Séries</t>
  </si>
  <si>
    <t xml:space="preserve">Repetições / Tempo</t>
  </si>
  <si>
    <t xml:space="preserve">Carga / Intensidade</t>
  </si>
  <si>
    <t xml:space="preserve">Pausa (s)</t>
  </si>
  <si>
    <t xml:space="preserve">PSE Prev.</t>
  </si>
  <si>
    <t xml:space="preserve">Volume</t>
  </si>
  <si>
    <t xml:space="preserve">Carga Prev. (UA)</t>
  </si>
  <si>
    <t xml:space="preserve">Progressão / Critério</t>
  </si>
  <si>
    <t xml:space="preserve">Índ.</t>
  </si>
  <si>
    <t xml:space="preserve">CONTROLE DE CARGA INTERNA — MÉTODO DA PSE DA SESSÃO</t>
  </si>
  <si>
    <t xml:space="preserve">Registre duração e PSE (0–10, coletada ~30 min após o treino). Carga, aguda, crônica, ACWR e zona de risco são automáticos.</t>
  </si>
  <si>
    <t xml:space="preserve">Carga (UA) = Duração × PSE  •  ACWR = Carga Aguda (7 d) ÷ Carga Crônica (média semanal dos 28 d).  Faixas: &lt; 0,80 subcarga | 0,80–1,30 zona ideal | 1,31–1,50 atenção | &gt; 1,50 risco elevado.  A Zona só é classificada após 21 dias de registros do atleta — antes disso aparece 'Histórico insuficiente'.</t>
  </si>
  <si>
    <t xml:space="preserve">Atleta</t>
  </si>
  <si>
    <t xml:space="preserve">PSE (0-10)</t>
  </si>
  <si>
    <t xml:space="preserve">Carga (UA)</t>
  </si>
  <si>
    <t xml:space="preserve">Carga Aguda 7 d</t>
  </si>
  <si>
    <t xml:space="preserve">Carga Crônica 28 d</t>
  </si>
  <si>
    <t xml:space="preserve">Dias de Histórico</t>
  </si>
  <si>
    <t xml:space="preserve">Zona / Alerta</t>
  </si>
  <si>
    <t xml:space="preserve">WELLNESS DIÁRIO — ÍNDICE DE HOOPER</t>
  </si>
  <si>
    <t xml:space="preserve">Cada item de 1 (muito bom / ausente) a 7 (muito ruim / máxima). Soma de 4 a 28 — QUANTO MAIOR, PIOR. Aplicar antes do treino.</t>
  </si>
  <si>
    <t xml:space="preserve">Classificação: 4–8 Ótimo | 9–12 Bom | 13–16 Regular | 17–20 Alerta | 21–28 Crítico. Referência: Hooper &amp; Mackinnon (1995). Pontuações em Alerta/Crítico por 2 dias seguidos pedem conversa com o atleta e eventual ajuste da carga do dia.</t>
  </si>
  <si>
    <t xml:space="preserve">Qualidade do Sono (1-7)</t>
  </si>
  <si>
    <t xml:space="preserve">Estresse (1-7)</t>
  </si>
  <si>
    <t xml:space="preserve">Fadiga (1-7)</t>
  </si>
  <si>
    <t xml:space="preserve">Dor Muscular (1-7)</t>
  </si>
  <si>
    <t xml:space="preserve">Classificação</t>
  </si>
  <si>
    <t xml:space="preserve">Local da Dor / Queixa</t>
  </si>
  <si>
    <t xml:space="preserve">CONTROLE DE PRESENÇA</t>
  </si>
  <si>
    <t xml:space="preserve">Chamada por sessão à esquerda; percentual de presença por atleta calculado automaticamente à direita.</t>
  </si>
  <si>
    <t xml:space="preserve">RESUMO POR ATLETA</t>
  </si>
  <si>
    <t xml:space="preserve">Sessão / Tipo</t>
  </si>
  <si>
    <t xml:space="preserve">Presença</t>
  </si>
  <si>
    <t xml:space="preserve">Min. Participados</t>
  </si>
  <si>
    <t xml:space="preserve">Justificativa</t>
  </si>
  <si>
    <t xml:space="preserve">Registros</t>
  </si>
  <si>
    <t xml:space="preserve">Presenças</t>
  </si>
  <si>
    <t xml:space="preserve">% Presença</t>
  </si>
  <si>
    <t xml:space="preserve">Faltas</t>
  </si>
  <si>
    <t xml:space="preserve">Lesão / DM</t>
  </si>
  <si>
    <t xml:space="preserve">Min. Totais</t>
  </si>
  <si>
    <t xml:space="preserve">AVALIAÇÕES E TESTES FÍSICOS</t>
  </si>
  <si>
    <t xml:space="preserve">Aplique a mesma bateria em momentos-chave da temporada para acompanhar a evolução de cada atleta.</t>
  </si>
  <si>
    <t xml:space="preserve">Impulsão de Ataque é calculada automaticamente: Alcance de Ataque medido no teste − Alcance em Pé do Cadastro. Registre sempre a melhor de 3 tentativas nos testes de salto e velocidade.</t>
  </si>
  <si>
    <t xml:space="preserve">Momento</t>
  </si>
  <si>
    <t xml:space="preserve">% Gordura</t>
  </si>
  <si>
    <t xml:space="preserve">Squat Jump (cm)</t>
  </si>
  <si>
    <t xml:space="preserve">CMJ (cm)</t>
  </si>
  <si>
    <t xml:space="preserve">Salto c/ Aproximação (cm)</t>
  </si>
  <si>
    <t xml:space="preserve">T-Test (s)</t>
  </si>
  <si>
    <t xml:space="preserve">Sprint 10 m (s)</t>
  </si>
  <si>
    <t xml:space="preserve">Sentar-e-Alcançar (cm)</t>
  </si>
  <si>
    <t xml:space="preserve">Yo-Yo IR1 (m)</t>
  </si>
  <si>
    <t xml:space="preserve">Preensão Manual (kg)</t>
  </si>
  <si>
    <t xml:space="preserve">Medicine Ball (m)</t>
  </si>
  <si>
    <t xml:space="preserve">ÁREA DO ATLETA</t>
  </si>
  <si>
    <t xml:space="preserve">Escolha o seu nome no menu: perfil, cargas da semana, monotonia e o treino prescrito aparecem automaticamente.</t>
  </si>
  <si>
    <t xml:space="preserve">ATLETA:</t>
  </si>
  <si>
    <t xml:space="preserve">Ana Beatriz Ramos</t>
  </si>
  <si>
    <t xml:space="preserve">Ver treinos a partir de:</t>
  </si>
  <si>
    <t xml:space="preserve">PERFIL DO ATLETA</t>
  </si>
  <si>
    <t xml:space="preserve">Alcance de Ataque</t>
  </si>
  <si>
    <t xml:space="preserve">Impulsão de Ataque</t>
  </si>
  <si>
    <t xml:space="preserve">Alcance de Bloqueio</t>
  </si>
  <si>
    <t xml:space="preserve">INDICADORES ATUAIS</t>
  </si>
  <si>
    <t xml:space="preserve">SESSÕES REGISTRADAS</t>
  </si>
  <si>
    <t xml:space="preserve">CARGA TOTAL (UA)</t>
  </si>
  <si>
    <t xml:space="preserve">CARGA MÉDIA SEMANAL (UA)</t>
  </si>
  <si>
    <t xml:space="preserve">ÚLTIMO REGISTRO</t>
  </si>
  <si>
    <t xml:space="preserve">ACWR ATUAL</t>
  </si>
  <si>
    <t xml:space="preserve">MONOTONIA MÉDIA</t>
  </si>
  <si>
    <t xml:space="preserve">% DE PRESENÇA</t>
  </si>
  <si>
    <t xml:space="preserve">HOOPER MÉDIO</t>
  </si>
  <si>
    <t xml:space="preserve">CONTROLE SEMANAL DE CARGA — MONOTONIA E STRAIN (FOSTER)</t>
  </si>
  <si>
    <t xml:space="preserve">Início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</si>
  <si>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</si>
  <si>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</si>
  <si>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</si>
  <si>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</si>
  <si>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</si>
  <si>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</si>
  <si>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</si>
  <si>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Carga Semanal (UA)</t>
  </si>
  <si>
    <t xml:space="preserve">Sessões</t>
  </si>
  <si>
    <t xml:space="preserve">Média Diária</t>
  </si>
  <si>
    <t xml:space="preserve">Desvio-Padrão</t>
  </si>
  <si>
    <t xml:space="preserve">MEU TREINO PRESCRITO (a partir da data informada em C5)</t>
  </si>
  <si>
    <t xml:space="preserve">Reps / Tempo</t>
  </si>
  <si>
    <t xml:space="preserve">Aparecem aqui as linhas da aba Prescrição cujo Destinatário seja 'Equipe (todos)' ou o nome do atleta selecionado, com data igual ou posterior à informada em C5.</t>
  </si>
  <si>
    <t xml:space="preserve">PAINEL INTERATIVO DA EQUIPE</t>
  </si>
  <si>
    <t xml:space="preserve">Indicadores e gráficos alimentados por todas as abas de registro. Altere a semana de referência em C4 para atualizar os cartões.</t>
  </si>
  <si>
    <t xml:space="preserve">Semana de referência:</t>
  </si>
  <si>
    <t xml:space="preserve">ATLETAS ATIVOS</t>
  </si>
  <si>
    <t xml:space="preserve">LESIONADOS / DM</t>
  </si>
  <si>
    <t xml:space="preserve">REGISTROS DE CARGA</t>
  </si>
  <si>
    <t xml:space="preserve">CARGA TOTAL DA EQUIPE (UA)</t>
  </si>
  <si>
    <t xml:space="preserve">CARGA DA SEMANA (UA)</t>
  </si>
  <si>
    <t xml:space="preserve">CARGA MÉDIA / ATLETA NA SEMANA</t>
  </si>
  <si>
    <t xml:space="preserve">ATLETAS EM RISCO (ACWR &gt; 1,5)</t>
  </si>
  <si>
    <t xml:space="preserve">HOOPER MÉDIO DA SEMANA</t>
  </si>
  <si>
    <t xml:space="preserve">EVOLUÇÃO SEMANAL DA EQUIPE</t>
  </si>
  <si>
    <t xml:space="preserve">Carga Total (UA)</t>
  </si>
  <si>
    <t xml:space="preserve">Carga Média/Atleta</t>
  </si>
  <si>
    <t xml:space="preserve">PSE Média</t>
  </si>
  <si>
    <t xml:space="preserve">Hooper Médio</t>
  </si>
  <si>
    <t xml:space="preserve">ACWR Médio</t>
  </si>
  <si>
    <t xml:space="preserve">CARGA POR TIPO DE SESSÃO</t>
  </si>
  <si>
    <t xml:space="preserve">% do Total</t>
  </si>
  <si>
    <t xml:space="preserve">Técnico-Tático</t>
  </si>
  <si>
    <t xml:space="preserve">Físico (Força)</t>
  </si>
  <si>
    <t xml:space="preserve">Físico (Potência)</t>
  </si>
  <si>
    <t xml:space="preserve">Físico (Condicionamento)</t>
  </si>
  <si>
    <t xml:space="preserve">Coletivo/Jogo</t>
  </si>
  <si>
    <t xml:space="preserve">Amistoso</t>
  </si>
  <si>
    <t xml:space="preserve">Competição Oficial</t>
  </si>
  <si>
    <t xml:space="preserve">Recuperação/Regenerativo</t>
  </si>
  <si>
    <t xml:space="preserve">Vídeo/Teórico</t>
  </si>
  <si>
    <t xml:space="preserve">Folga</t>
  </si>
  <si>
    <t xml:space="preserve">RANKING E SITUAÇÃO POR ATLETA</t>
  </si>
  <si>
    <t xml:space="preserve">Carga Média/Sessão (UA)</t>
  </si>
  <si>
    <t xml:space="preserve">ACWR Atual</t>
  </si>
  <si>
    <t xml:space="preserve">LISTAS AUXILIARES  |  fonte das caixas de seleção</t>
  </si>
  <si>
    <t xml:space="preserve">Edite/complemente as opções abaixo — elas alimentam automaticamente todos os menus suspensos da planilha.</t>
  </si>
  <si>
    <t xml:space="preserve">Status do Atleta</t>
  </si>
  <si>
    <t xml:space="preserve">Período do Macro</t>
  </si>
  <si>
    <t xml:space="preserve">Bloco da Sessão</t>
  </si>
  <si>
    <t xml:space="preserve">Categoria Exerc.</t>
  </si>
  <si>
    <t xml:space="preserve">Intensidade</t>
  </si>
  <si>
    <t xml:space="preserve">Escala 1-7</t>
  </si>
  <si>
    <t xml:space="preserve">Momento do Teste</t>
  </si>
  <si>
    <t xml:space="preserve">Destinatário (auto)</t>
  </si>
  <si>
    <t xml:space="preserve">Levantador</t>
  </si>
  <si>
    <t xml:space="preserve">Sub-13</t>
  </si>
  <si>
    <t xml:space="preserve">Masculino</t>
  </si>
  <si>
    <t xml:space="preserve">Destro</t>
  </si>
  <si>
    <t xml:space="preserve">Ativo</t>
  </si>
  <si>
    <t xml:space="preserve">Preparatório Geral</t>
  </si>
  <si>
    <t xml:space="preserve">Incorporação</t>
  </si>
  <si>
    <t xml:space="preserve">Aquecimento</t>
  </si>
  <si>
    <t xml:space="preserve">Presente</t>
  </si>
  <si>
    <t xml:space="preserve">Manhã</t>
  </si>
  <si>
    <t xml:space="preserve">Planejado</t>
  </si>
  <si>
    <t xml:space="preserve">Pré-temporada</t>
  </si>
  <si>
    <t xml:space="preserve">Equipe (todos)</t>
  </si>
  <si>
    <t xml:space="preserve">Oposto</t>
  </si>
  <si>
    <t xml:space="preserve">Sub-15</t>
  </si>
  <si>
    <t xml:space="preserve">Feminino</t>
  </si>
  <si>
    <t xml:space="preserve">Canhoto</t>
  </si>
  <si>
    <t xml:space="preserve">Lesionado</t>
  </si>
  <si>
    <t xml:space="preserve">Preparatório Específico</t>
  </si>
  <si>
    <t xml:space="preserve">Ordinário</t>
  </si>
  <si>
    <t xml:space="preserve">Ativação / Prevenção</t>
  </si>
  <si>
    <t xml:space="preserve">Falta Justificada</t>
  </si>
  <si>
    <t xml:space="preserve">Tarde</t>
  </si>
  <si>
    <t xml:space="preserve">Em execução</t>
  </si>
  <si>
    <t xml:space="preserve">Fim Meso 1</t>
  </si>
  <si>
    <t xml:space="preserve">Ponteiro (Ponta)</t>
  </si>
  <si>
    <t xml:space="preserve">Sub-17</t>
  </si>
  <si>
    <t xml:space="preserve">Ambidestro</t>
  </si>
  <si>
    <t xml:space="preserve">Departamento Médico</t>
  </si>
  <si>
    <t xml:space="preserve">Pré-Competitivo</t>
  </si>
  <si>
    <t xml:space="preserve">Choque</t>
  </si>
  <si>
    <t xml:space="preserve">Parte Principal</t>
  </si>
  <si>
    <t xml:space="preserve">Falta Não Justificada</t>
  </si>
  <si>
    <t xml:space="preserve">Noite</t>
  </si>
  <si>
    <t xml:space="preserve">Concluído</t>
  </si>
  <si>
    <t xml:space="preserve">Fim Meso 2</t>
  </si>
  <si>
    <t xml:space="preserve">Central</t>
  </si>
  <si>
    <t xml:space="preserve">Sub-19</t>
  </si>
  <si>
    <t xml:space="preserve">Em transição</t>
  </si>
  <si>
    <t xml:space="preserve">Competitivo I</t>
  </si>
  <si>
    <t xml:space="preserve">Recuperativo</t>
  </si>
  <si>
    <t xml:space="preserve">Complementar</t>
  </si>
  <si>
    <t xml:space="preserve">Cancelado</t>
  </si>
  <si>
    <t xml:space="preserve">Fim Meso 3</t>
  </si>
  <si>
    <t xml:space="preserve">Líbero</t>
  </si>
  <si>
    <t xml:space="preserve">Sub-21</t>
  </si>
  <si>
    <t xml:space="preserve">Afastado</t>
  </si>
  <si>
    <t xml:space="preserve">Competitivo II</t>
  </si>
  <si>
    <t xml:space="preserve">Volta à Calma</t>
  </si>
  <si>
    <t xml:space="preserve">Meio da Temporada</t>
  </si>
  <si>
    <t xml:space="preserve">Defensor Específico</t>
  </si>
  <si>
    <t xml:space="preserve">Adulto</t>
  </si>
  <si>
    <t xml:space="preserve">Inativo</t>
  </si>
  <si>
    <t xml:space="preserve">Transição</t>
  </si>
  <si>
    <t xml:space="preserve">Competitivo</t>
  </si>
  <si>
    <t xml:space="preserve">Liberado</t>
  </si>
  <si>
    <t xml:space="preserve">Máxima</t>
  </si>
  <si>
    <t xml:space="preserve">Fim da Temporada</t>
  </si>
  <si>
    <t xml:space="preserve">Master</t>
  </si>
  <si>
    <t xml:space="preserve">Polimento (Taper)</t>
  </si>
  <si>
    <t xml:space="preserve">Seleção/Convocado</t>
  </si>
  <si>
    <t xml:space="preserve">Retorno de Lesão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</si>
</sst>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dd/mm/yyyy"/>
    <numFmt numFmtId="166" formatCode="0.00"/>
    <numFmt numFmtId="167" formatCode="0.0"/>
    <numFmt numFmtId="168" formatCode="0"/>
    <numFmt numFmtId="169" formatCode="0&quot; semanas&quot;"/>
    <numFmt numFmtId="170" formatCode="0;;&quot;&quot;"/>
    <numFmt numFmtId="171" formatCode="0%;\-0%;&quot;&quot;"/>
    <numFmt numFmtId="172" formatCode="#,##0;\-#,##0;&quot;&quot;"/>
    <numFmt numFmtId="173" formatCode="0.0;;&quot;&quot;"/>
    <numFmt numFmtId="174" formatCode="0.00;\-0.00;&quot;&quot;"/>
    <numFmt numFmtId="175" formatCode="0.00;;&quot;&quot;"/>
    <numFmt numFmtId="176" formatCode="0.0&quot; cm&quot;;;&quot;&quot;"/>
    <numFmt numFmtId="177" formatCode="0&quot; anos&quot;"/>
    <numFmt numFmtId="178" formatCode="dd/mm/yyyy;;&quot;&quot;"/>
    <numFmt numFmtId="179" formatCode="dd/mm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9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8A6D0B"/>
      <name val="Arial"/>
      <family val="0"/>
      <charset val="1"/>
    </font>
    <font>
      <b val="true"/>
      <sz val="9"/>
      <color rgb="FF0B6B2E"/>
      <name val="Arial"/>
      <family val="0"/>
      <charset val="1"/>
    </font>
    <font>
      <i val="true"/>
      <sz val="8"/>
      <color rgb="FF7F8C9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3315C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4E96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F4E96"/>
      <name val="Arial"/>
      <family val="0"/>
      <charset val="1"/>
    </font>
    <font>
      <b val="true"/>
      <sz val="16"/>
      <color rgb="FFE8A33D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sz val="9"/>
      <color rgb="FF1F4E96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6"/>
      <color rgb="FF6B3FA0"/>
      <name val="Arial"/>
      <family val="0"/>
      <charset val="1"/>
    </font>
    <font>
      <b val="true"/>
      <sz val="10"/>
      <color rgb="FF13315C"/>
      <name val="Arial"/>
      <family val="0"/>
      <charset val="1"/>
    </font>
    <font>
      <b val="true"/>
      <sz val="16"/>
      <color rgb="FF9C000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3315C"/>
        <bgColor rgb="FF1F4E96"/>
      </patternFill>
    </fill>
    <fill>
      <patternFill patternType="solid">
        <fgColor rgb="FFE8A33D"/>
        <bgColor rgb="FFDC853E"/>
      </patternFill>
    </fill>
    <fill>
      <patternFill patternType="solid">
        <fgColor rgb="FF1F4E96"/>
        <bgColor rgb="FF13315C"/>
      </patternFill>
    </fill>
    <fill>
      <patternFill patternType="solid">
        <fgColor rgb="FFF5F8FC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EAF1F8"/>
        <bgColor rgb="FFEDEDED"/>
      </patternFill>
    </fill>
    <fill>
      <patternFill patternType="solid">
        <fgColor rgb="FF2E75B6"/>
        <bgColor rgb="FF4672A8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6B3FA0"/>
        <bgColor rgb="FF725990"/>
      </patternFill>
    </fill>
    <fill>
      <patternFill patternType="solid">
        <fgColor rgb="FF9C0006"/>
        <bgColor rgb="FF800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CEDD"/>
      </left>
      <right/>
      <top style="thin">
        <color rgb="FFBFCEDD"/>
      </top>
      <bottom style="thin">
        <color rgb="FFBFCEDD"/>
      </bottom>
      <diagonal/>
    </border>
    <border diagonalUp="false" diagonalDown="false">
      <left style="thin">
        <color rgb="FFBFCEDD"/>
      </left>
      <right/>
      <top style="thin">
        <color rgb="FFBFCEDD"/>
      </top>
      <bottom/>
      <diagonal/>
    </border>
    <border diagonalUp="false" diagonalDown="false">
      <left style="thin">
        <color rgb="FFBFCEDD"/>
      </left>
      <right style="thin">
        <color rgb="FFBFCEDD"/>
      </right>
      <top style="thin">
        <color rgb="FFBFCEDD"/>
      </top>
      <bottom style="thin">
        <color rgb="FFBFCEDD"/>
      </bottom>
      <diagonal/>
    </border>
    <border diagonalUp="false" diagonalDown="false">
      <left style="thin">
        <color rgb="FFBFCEDD"/>
      </left>
      <right style="thin">
        <color rgb="FFBFCEDD"/>
      </right>
      <top style="medium">
        <color rgb="FF2E75B6"/>
      </top>
      <bottom style="thin">
        <color rgb="FFBFCE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6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8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9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7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1F4E9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name val="Arial"/>
        <charset val="1"/>
        <family val="0"/>
        <b val="1"/>
        <color rgb="FF0B6B2E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6D0B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96"/>
        <sz val="9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8C9A"/>
        <sz val="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9C0006"/>
        <sz val="9"/>
      </font>
    </dxf>
    <dxf>
      <font>
        <name val="Arial"/>
        <charset val="1"/>
        <family val="0"/>
        <b val="1"/>
        <color rgb="FF0B6B2E"/>
        <sz val="9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55A11"/>
        <sz val="9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EDEDED"/>
      <rgbColor rgb="FF9C0006"/>
      <rgbColor rgb="FF0B6B2E"/>
      <rgbColor rgb="FF000080"/>
      <rgbColor rgb="FF8A6D0B"/>
      <rgbColor rgb="FFC0504D"/>
      <rgbColor rgb="FF1F6F4A"/>
      <rgbColor rgb="FFB8CD97"/>
      <rgbColor rgb="FF878787"/>
      <rgbColor rgb="FF93A9CE"/>
      <rgbColor rgb="FFAA433F"/>
      <rgbColor rgb="FFFFF2CC"/>
      <rgbColor rgb="FFDDEBF7"/>
      <rgbColor rgb="FF660066"/>
      <rgbColor rgb="FFDC853E"/>
      <rgbColor rgb="FF4672A8"/>
      <rgbColor rgb="FFBFCEDD"/>
      <rgbColor rgb="FF000080"/>
      <rgbColor rgb="FFFF00FF"/>
      <rgbColor rgb="FFE2EFDA"/>
      <rgbColor rgb="FFF5F8FC"/>
      <rgbColor rgb="FF8064A2"/>
      <rgbColor rgb="FF800000"/>
      <rgbColor rgb="FF4A7EBB"/>
      <rgbColor rgb="FF0000FF"/>
      <rgbColor rgb="FF4F81BD"/>
      <rgbColor rgb="FFEAF1F8"/>
      <rgbColor rgb="FFC6EFCE"/>
      <rgbColor rgb="FFFFEB9C"/>
      <rgbColor rgb="FFD9D9D9"/>
      <rgbColor rgb="FFD09493"/>
      <rgbColor rgb="FFA99BBD"/>
      <rgbColor rgb="FFFFC7CE"/>
      <rgbColor rgb="FF2E75B6"/>
      <rgbColor rgb="FF4BACC6"/>
      <rgbColor rgb="FF9BBB59"/>
      <rgbColor rgb="FFCC8F8E"/>
      <rgbColor rgb="FFE8A33D"/>
      <rgbColor rgb="FFC55A11"/>
      <rgbColor rgb="FF725990"/>
      <rgbColor rgb="FF7F8C9A"/>
      <rgbColor rgb="FF13315C"/>
      <rgbColor rgb="FF4299B0"/>
      <rgbColor rgb="FF003300"/>
      <rgbColor rgb="FF8AA64F"/>
      <rgbColor rgb="FF8A5A00"/>
      <rgbColor rgb="FFAB4744"/>
      <rgbColor rgb="FF1F4E96"/>
      <rgbColor rgb="FF6B3F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Dinâmica da Carga: Volume × Intensidade por Mesociclo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Macrociclo!H18</c:f>
              <c:strCache>
                <c:ptCount val="1"/>
                <c:pt idx="0">
                  <c:v>Volume (%)</c:v>
                </c:pt>
              </c:strCache>
            </c:strRef>
          </c:tx>
          <c:spPr>
            <a:solidFill>
              <a:srgbClr val="aa433f"/>
            </a:solidFill>
            <a:ln w="2808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Macrociclo!$B$19:$B$30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Macrociclo!$H$19:$H$30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Macrociclo!I18</c:f>
              <c:strCache>
                <c:ptCount val="1"/>
                <c:pt idx="0">
                  <c:v>Intensidade (%)</c:v>
                </c:pt>
              </c:strCache>
            </c:strRef>
          </c:tx>
          <c:spPr>
            <a:solidFill>
              <a:srgbClr val="cc8f8e"/>
            </a:solidFill>
            <a:ln w="2808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Macrociclo!$B$19:$B$30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Macrociclo!$I$19:$I$30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733542"/>
        <c:axId val="78779005"/>
      </c:lineChart>
      <c:catAx>
        <c:axId val="97733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79005"/>
        <c:crosses val="autoZero"/>
        <c:auto val="1"/>
        <c:lblAlgn val="ctr"/>
        <c:lblOffset val="100"/>
        <c:noMultiLvlLbl val="0"/>
      </c:catAx>
      <c:valAx>
        <c:axId val="787790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relativo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33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de Conteúdos na Semana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Microciclo!B35</c:f>
              <c:strCache>
                <c:ptCount val="1"/>
                <c:pt idx="0">
                  <c:v>Técnico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Microciclo!$B$36:$B$42</c:f>
              <c:numCache>
                <c:formatCode>General</c:formatCode>
                <c:ptCount val="7"/>
              </c:numCache>
            </c:numRef>
          </c:val>
        </c:ser>
        <c:ser>
          <c:idx val="1"/>
          <c:order val="1"/>
          <c:tx>
            <c:strRef>
              <c:f>Microciclo!C35</c:f>
              <c:strCache>
                <c:ptCount val="1"/>
                <c:pt idx="0">
                  <c:v>Tático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Microciclo!$C$36:$C$42</c:f>
              <c:numCache>
                <c:formatCode>General</c:formatCode>
                <c:ptCount val="7"/>
              </c:numCache>
            </c:numRef>
          </c:val>
        </c:ser>
        <c:ser>
          <c:idx val="2"/>
          <c:order val="2"/>
          <c:tx>
            <c:strRef>
              <c:f>Microciclo!D35</c:f>
              <c:strCache>
                <c:ptCount val="1"/>
                <c:pt idx="0">
                  <c:v>Físico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Microciclo!$D$36:$D$42</c:f>
              <c:numCache>
                <c:formatCode>General</c:formatCode>
                <c:ptCount val="7"/>
              </c:numCache>
            </c:numRef>
          </c:val>
        </c:ser>
        <c:ser>
          <c:idx val="3"/>
          <c:order val="3"/>
          <c:tx>
            <c:strRef>
              <c:f>Microciclo!E35</c:f>
              <c:strCache>
                <c:ptCount val="1"/>
                <c:pt idx="0">
                  <c:v>Preventivo / Prevenção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Microciclo!$E$36:$E$42</c:f>
              <c:numCache>
                <c:formatCode>General</c:formatCode>
                <c:ptCount val="7"/>
              </c:numCache>
            </c:numRef>
          </c:val>
        </c:ser>
        <c:ser>
          <c:idx val="4"/>
          <c:order val="4"/>
          <c:tx>
            <c:strRef>
              <c:f>Microciclo!F35</c:f>
              <c:strCache>
                <c:ptCount val="1"/>
                <c:pt idx="0">
                  <c:v>Recuperação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Microciclo!$A$36:$A$42</c:f>
              <c:strCache>
                <c:ptCount val="7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Microciclo!$F$36:$F$42</c:f>
              <c:numCache>
                <c:formatCode>General</c:formatCode>
                <c:ptCount val="7"/>
              </c:numCache>
            </c:numRef>
          </c:val>
        </c:ser>
        <c:gapWidth val="150"/>
        <c:overlap val="100"/>
        <c:axId val="72921560"/>
        <c:axId val="75820733"/>
      </c:barChart>
      <c:catAx>
        <c:axId val="7292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20733"/>
        <c:crosses val="autoZero"/>
        <c:auto val="1"/>
        <c:lblAlgn val="ctr"/>
        <c:lblOffset val="100"/>
        <c:noMultiLvlLbl val="0"/>
      </c:catAx>
      <c:valAx>
        <c:axId val="75820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215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Semanal do Atleta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Atleta!J19</c:f>
              <c:strCache>
                <c:ptCount val="1"/>
                <c:pt idx="0">
                  <c:v>Carga Semanal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Atleta!$A$20:$A$67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Atleta!$J$20:$J$67</c:f>
              <c:numCache>
                <c:formatCode>#,##0;\-#,##0;""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150"/>
        <c:overlap val="0"/>
        <c:axId val="81168321"/>
        <c:axId val="39535468"/>
      </c:barChart>
      <c:catAx>
        <c:axId val="811683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35468"/>
        <c:crosses val="autoZero"/>
        <c:auto val="1"/>
        <c:lblAlgn val="ctr"/>
        <c:lblOffset val="100"/>
        <c:noMultiLvlLbl val="0"/>
      </c:catAx>
      <c:valAx>
        <c:axId val="39535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683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Monotonia Semanal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Atleta!N19</c:f>
              <c:strCache>
                <c:ptCount val="1"/>
                <c:pt idx="0">
                  <c:v>Monotonia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Atleta!$A$20:$A$67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Atleta!$N$20:$N$67</c:f>
              <c:numCache>
                <c:formatCode>0.00;\-0.00;""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467088"/>
        <c:axId val="43142804"/>
      </c:lineChart>
      <c:catAx>
        <c:axId val="5846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42804"/>
        <c:crosses val="autoZero"/>
        <c:auto val="1"/>
        <c:lblAlgn val="ctr"/>
        <c:lblOffset val="100"/>
        <c:noMultiLvlLbl val="0"/>
      </c:catAx>
      <c:valAx>
        <c:axId val="43142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670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Total da Equipe por Semana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Painel!C10</c:f>
              <c:strCache>
                <c:ptCount val="1"/>
                <c:pt idx="0">
                  <c:v>Carga Total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Painel!$A$11:$A$58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Painel!$C$11:$C$58</c:f>
              <c:numCache>
                <c:formatCode>#,##0;\-#,##0;""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gapWidth val="150"/>
        <c:overlap val="0"/>
        <c:axId val="86219967"/>
        <c:axId val="37424210"/>
      </c:barChart>
      <c:catAx>
        <c:axId val="8621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24210"/>
        <c:crosses val="autoZero"/>
        <c:auto val="1"/>
        <c:lblAlgn val="ctr"/>
        <c:lblOffset val="100"/>
        <c:noMultiLvlLbl val="0"/>
      </c:catAx>
      <c:valAx>
        <c:axId val="37424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199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ACWR Médio da Equipe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Painel!H10</c:f>
              <c:strCache>
                <c:ptCount val="1"/>
                <c:pt idx="0">
                  <c:v>ACWR Médio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Painel!$A$11:$A$58</c:f>
              <c:strCach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strCache>
            </c:strRef>
          </c:cat>
          <c:val>
            <c:numRef>
              <c:f>Painel!$H$11:$H$58</c:f>
              <c:numCache>
                <c:formatCode>0.00;\-0.00;""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753747"/>
        <c:axId val="70493505"/>
      </c:lineChart>
      <c:catAx>
        <c:axId val="357537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93505"/>
        <c:crosses val="autoZero"/>
        <c:auto val="1"/>
        <c:lblAlgn val="ctr"/>
        <c:lblOffset val="100"/>
        <c:noMultiLvlLbl val="0"/>
      </c:catAx>
      <c:valAx>
        <c:axId val="70493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-0.0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53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da Carga por Tipo de Sessão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Painel!L46</c:f>
              <c:strCache>
                <c:ptCount val="1"/>
                <c:pt idx="0">
                  <c:v>Carga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Painel!$K$47:$K$56</c:f>
              <c:strCache>
                <c:ptCount val="10"/>
                <c:pt idx="0">
                  <c:v>Técnico-Tático</c:v>
                </c:pt>
                <c:pt idx="1">
                  <c:v>Físico (Força)</c:v>
                </c:pt>
                <c:pt idx="2">
                  <c:v>Físico (Potência)</c:v>
                </c:pt>
                <c:pt idx="3">
                  <c:v>Físico (Condicionamento)</c:v>
                </c:pt>
                <c:pt idx="4">
                  <c:v>Coletivo/Jogo</c:v>
                </c:pt>
                <c:pt idx="5">
                  <c:v>Amistoso</c:v>
                </c:pt>
                <c:pt idx="6">
                  <c:v>Competição Oficial</c:v>
                </c:pt>
                <c:pt idx="7">
                  <c:v>Recuperação/Regenerativo</c:v>
                </c:pt>
                <c:pt idx="8">
                  <c:v>Vídeo/Teórico</c:v>
                </c:pt>
                <c:pt idx="9">
                  <c:v>Folga</c:v>
                </c:pt>
              </c:strCache>
            </c:strRef>
          </c:cat>
          <c:val>
            <c:numRef>
              <c:f>Painel!$L$47:$L$56</c:f>
              <c:numCache>
                <c:formatCode>#,##0;\-#,##0;""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Carga Total por Atleta (UA)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Painel!D62</c:f>
              <c:strCache>
                <c:ptCount val="1"/>
                <c:pt idx="0">
                  <c:v>Carga Total (UA)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Painel!$A$63:$A$82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Painel!$D$63:$D$82</c:f>
              <c:numCache>
                <c:formatCode>#,##0;\-#,##0;""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665348"/>
        <c:axId val="31004724"/>
      </c:barChart>
      <c:catAx>
        <c:axId val="6653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04724"/>
        <c:crosses val="autoZero"/>
        <c:auto val="1"/>
        <c:lblAlgn val="ctr"/>
        <c:lblOffset val="100"/>
        <c:noMultiLvlLbl val="0"/>
      </c:catAx>
      <c:valAx>
        <c:axId val="31004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-#,##0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de Presença por Atleta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Painel!G62</c:f>
              <c:strCache>
                <c:ptCount val="1"/>
                <c:pt idx="0">
                  <c:v>% Presença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Painel!$A$63:$A$82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Painel!$G$63:$G$82</c:f>
              <c:numCache>
                <c:formatCode>0%;\-0%;""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150"/>
        <c:overlap val="0"/>
        <c:axId val="86413896"/>
        <c:axId val="46596082"/>
      </c:barChart>
      <c:catAx>
        <c:axId val="8641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96082"/>
        <c:crosses val="autoZero"/>
        <c:auto val="1"/>
        <c:lblAlgn val="ctr"/>
        <c:lblOffset val="100"/>
        <c:noMultiLvlLbl val="0"/>
      </c:catAx>
      <c:valAx>
        <c:axId val="46596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;\-0%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13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0</xdr:rowOff>
    </xdr:from>
    <xdr:to>
      <xdr:col>6</xdr:col>
      <xdr:colOff>718920</xdr:colOff>
      <xdr:row>49</xdr:row>
      <xdr:rowOff>11520</xdr:rowOff>
    </xdr:to>
    <xdr:graphicFrame>
      <xdr:nvGraphicFramePr>
        <xdr:cNvPr id="0" name="Chart 1"/>
        <xdr:cNvGraphicFramePr/>
      </xdr:nvGraphicFramePr>
      <xdr:xfrm>
        <a:off x="533520" y="719136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34</xdr:row>
      <xdr:rowOff>0</xdr:rowOff>
    </xdr:from>
    <xdr:to>
      <xdr:col>11</xdr:col>
      <xdr:colOff>1856880</xdr:colOff>
      <xdr:row>48</xdr:row>
      <xdr:rowOff>3240</xdr:rowOff>
    </xdr:to>
    <xdr:graphicFrame>
      <xdr:nvGraphicFramePr>
        <xdr:cNvPr id="1" name="Chart 1"/>
        <xdr:cNvGraphicFramePr/>
      </xdr:nvGraphicFramePr>
      <xdr:xfrm>
        <a:off x="12445920" y="74390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18</xdr:row>
      <xdr:rowOff>0</xdr:rowOff>
    </xdr:from>
    <xdr:to>
      <xdr:col>26</xdr:col>
      <xdr:colOff>370080</xdr:colOff>
      <xdr:row>32</xdr:row>
      <xdr:rowOff>2880</xdr:rowOff>
    </xdr:to>
    <xdr:graphicFrame>
      <xdr:nvGraphicFramePr>
        <xdr:cNvPr id="2" name="Chart 1"/>
        <xdr:cNvGraphicFramePr/>
      </xdr:nvGraphicFramePr>
      <xdr:xfrm>
        <a:off x="21027960" y="435276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35</xdr:row>
      <xdr:rowOff>0</xdr:rowOff>
    </xdr:from>
    <xdr:to>
      <xdr:col>26</xdr:col>
      <xdr:colOff>370080</xdr:colOff>
      <xdr:row>50</xdr:row>
      <xdr:rowOff>21960</xdr:rowOff>
    </xdr:to>
    <xdr:graphicFrame>
      <xdr:nvGraphicFramePr>
        <xdr:cNvPr id="3" name="Chart 2"/>
        <xdr:cNvGraphicFramePr/>
      </xdr:nvGraphicFramePr>
      <xdr:xfrm>
        <a:off x="21027960" y="78008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9</xdr:row>
      <xdr:rowOff>0</xdr:rowOff>
    </xdr:from>
    <xdr:to>
      <xdr:col>16</xdr:col>
      <xdr:colOff>265680</xdr:colOff>
      <xdr:row>23</xdr:row>
      <xdr:rowOff>182880</xdr:rowOff>
    </xdr:to>
    <xdr:graphicFrame>
      <xdr:nvGraphicFramePr>
        <xdr:cNvPr id="4" name="Chart 1"/>
        <xdr:cNvGraphicFramePr/>
      </xdr:nvGraphicFramePr>
      <xdr:xfrm>
        <a:off x="10312560" y="22953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16</xdr:col>
      <xdr:colOff>265680</xdr:colOff>
      <xdr:row>43</xdr:row>
      <xdr:rowOff>11880</xdr:rowOff>
    </xdr:to>
    <xdr:graphicFrame>
      <xdr:nvGraphicFramePr>
        <xdr:cNvPr id="5" name="Chart 2"/>
        <xdr:cNvGraphicFramePr/>
      </xdr:nvGraphicFramePr>
      <xdr:xfrm>
        <a:off x="10312560" y="593424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45</xdr:row>
      <xdr:rowOff>0</xdr:rowOff>
    </xdr:from>
    <xdr:to>
      <xdr:col>18</xdr:col>
      <xdr:colOff>56880</xdr:colOff>
      <xdr:row>60</xdr:row>
      <xdr:rowOff>172440</xdr:rowOff>
    </xdr:to>
    <xdr:graphicFrame>
      <xdr:nvGraphicFramePr>
        <xdr:cNvPr id="6" name="Chart 3"/>
        <xdr:cNvGraphicFramePr/>
      </xdr:nvGraphicFramePr>
      <xdr:xfrm>
        <a:off x="14935320" y="94201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61</xdr:row>
      <xdr:rowOff>0</xdr:rowOff>
    </xdr:from>
    <xdr:to>
      <xdr:col>16</xdr:col>
      <xdr:colOff>265680</xdr:colOff>
      <xdr:row>78</xdr:row>
      <xdr:rowOff>151560</xdr:rowOff>
    </xdr:to>
    <xdr:graphicFrame>
      <xdr:nvGraphicFramePr>
        <xdr:cNvPr id="7" name="Chart 4"/>
        <xdr:cNvGraphicFramePr/>
      </xdr:nvGraphicFramePr>
      <xdr:xfrm>
        <a:off x="10312560" y="12735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61</xdr:row>
      <xdr:rowOff>0</xdr:rowOff>
    </xdr:from>
    <xdr:to>
      <xdr:col>24</xdr:col>
      <xdr:colOff>300600</xdr:colOff>
      <xdr:row>78</xdr:row>
      <xdr:rowOff>151560</xdr:rowOff>
    </xdr:to>
    <xdr:graphicFrame>
      <xdr:nvGraphicFramePr>
        <xdr:cNvPr id="8" name="Chart 5"/>
        <xdr:cNvGraphicFramePr/>
      </xdr:nvGraphicFramePr>
      <xdr:xfrm>
        <a:off x="19558080" y="12735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B5" s="4" t="s">
        <v>3</v>
      </c>
      <c r="C5" s="5" t="s">
        <v>4</v>
      </c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B6" s="6" t="s">
        <v>5</v>
      </c>
      <c r="C6" s="7" t="s">
        <v>6</v>
      </c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B7" s="4" t="s">
        <v>7</v>
      </c>
      <c r="C7" s="5" t="s">
        <v>8</v>
      </c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B8" s="6" t="s">
        <v>9</v>
      </c>
      <c r="C8" s="7" t="s">
        <v>10</v>
      </c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4" t="s">
        <v>11</v>
      </c>
      <c r="C9" s="5" t="s">
        <v>12</v>
      </c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B10" s="6" t="s">
        <v>13</v>
      </c>
      <c r="C10" s="7" t="s">
        <v>14</v>
      </c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4" t="s">
        <v>15</v>
      </c>
      <c r="C11" s="5" t="s">
        <v>16</v>
      </c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B12" s="6" t="s">
        <v>17</v>
      </c>
      <c r="C12" s="7" t="s">
        <v>18</v>
      </c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B13" s="4" t="s">
        <v>19</v>
      </c>
      <c r="C13" s="5" t="s">
        <v>20</v>
      </c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B14" s="6" t="s">
        <v>21</v>
      </c>
      <c r="C14" s="7" t="s">
        <v>22</v>
      </c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4" t="s">
        <v>23</v>
      </c>
      <c r="C15" s="5" t="s">
        <v>24</v>
      </c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B16" s="6" t="s">
        <v>25</v>
      </c>
      <c r="C16" s="7" t="s">
        <v>26</v>
      </c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4" t="s">
        <v>27</v>
      </c>
      <c r="C17" s="5" t="s">
        <v>28</v>
      </c>
      <c r="D17" s="5"/>
      <c r="E17" s="5"/>
      <c r="F17" s="5"/>
      <c r="G17" s="5"/>
      <c r="H17" s="5"/>
      <c r="I17" s="5"/>
      <c r="J17" s="5"/>
    </row>
    <row r="19" customFormat="false" ht="19.5" hidden="false" customHeight="true" outlineLevel="0" collapsed="false">
      <c r="B19" s="3" t="s">
        <v>29</v>
      </c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B20" s="8" t="s">
        <v>30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31</v>
      </c>
      <c r="C21" s="9"/>
      <c r="D21" s="9"/>
      <c r="E21" s="9"/>
      <c r="F21" s="9"/>
    </row>
    <row r="22" customFormat="false" ht="15" hidden="false" customHeight="false" outlineLevel="0" collapsed="false">
      <c r="B22" s="10" t="s">
        <v>32</v>
      </c>
      <c r="C22" s="10"/>
      <c r="D22" s="10"/>
      <c r="E22" s="10"/>
      <c r="F22" s="10"/>
    </row>
    <row r="23" customFormat="false" ht="15" hidden="false" customHeight="false" outlineLevel="0" collapsed="false">
      <c r="B23" s="11" t="s">
        <v>33</v>
      </c>
      <c r="C23" s="11"/>
      <c r="D23" s="11"/>
      <c r="E23" s="11"/>
      <c r="F23" s="11"/>
    </row>
    <row r="24" customFormat="false" ht="15" hidden="false" customHeight="false" outlineLevel="0" collapsed="false">
      <c r="B24" s="12" t="s">
        <v>34</v>
      </c>
      <c r="C24" s="12"/>
      <c r="D24" s="12"/>
      <c r="E24" s="12"/>
      <c r="F24" s="12"/>
    </row>
    <row r="25" customFormat="false" ht="15" hidden="false" customHeight="false" outlineLevel="0" collapsed="false">
      <c r="B25" s="13" t="s">
        <v>35</v>
      </c>
      <c r="C25" s="13"/>
      <c r="D25" s="13"/>
      <c r="E25" s="13"/>
      <c r="F25" s="13"/>
    </row>
    <row r="27" customFormat="false" ht="19.5" hidden="false" customHeight="true" outlineLevel="0" collapsed="false">
      <c r="B27" s="3" t="s">
        <v>36</v>
      </c>
      <c r="C27" s="3"/>
      <c r="D27" s="3"/>
      <c r="E27" s="3"/>
      <c r="F27" s="3"/>
      <c r="G27" s="3"/>
      <c r="H27" s="3"/>
      <c r="I27" s="3"/>
      <c r="J27" s="3"/>
    </row>
    <row r="28" customFormat="false" ht="30" hidden="false" customHeight="true" outlineLevel="0" collapsed="false">
      <c r="B28" s="14" t="s">
        <v>37</v>
      </c>
      <c r="C28" s="15" t="s">
        <v>38</v>
      </c>
      <c r="D28" s="15"/>
      <c r="E28" s="15"/>
      <c r="F28" s="15"/>
      <c r="G28" s="15"/>
      <c r="H28" s="15"/>
      <c r="I28" s="15"/>
      <c r="J28" s="15"/>
    </row>
    <row r="29" customFormat="false" ht="30" hidden="false" customHeight="true" outlineLevel="0" collapsed="false">
      <c r="B29" s="14" t="s">
        <v>39</v>
      </c>
      <c r="C29" s="15" t="s">
        <v>40</v>
      </c>
      <c r="D29" s="15"/>
      <c r="E29" s="15"/>
      <c r="F29" s="15"/>
      <c r="G29" s="15"/>
      <c r="H29" s="15"/>
      <c r="I29" s="15"/>
      <c r="J29" s="15"/>
    </row>
    <row r="30" customFormat="false" ht="30" hidden="false" customHeight="true" outlineLevel="0" collapsed="false">
      <c r="B30" s="14" t="s">
        <v>41</v>
      </c>
      <c r="C30" s="15" t="s">
        <v>42</v>
      </c>
      <c r="D30" s="15"/>
      <c r="E30" s="15"/>
      <c r="F30" s="15"/>
      <c r="G30" s="15"/>
      <c r="H30" s="15"/>
      <c r="I30" s="15"/>
      <c r="J30" s="15"/>
    </row>
    <row r="31" customFormat="false" ht="30" hidden="false" customHeight="true" outlineLevel="0" collapsed="false">
      <c r="B31" s="14" t="s">
        <v>43</v>
      </c>
      <c r="C31" s="15" t="s">
        <v>44</v>
      </c>
      <c r="D31" s="15"/>
      <c r="E31" s="15"/>
      <c r="F31" s="15"/>
      <c r="G31" s="15"/>
      <c r="H31" s="15"/>
      <c r="I31" s="15"/>
      <c r="J31" s="15"/>
    </row>
    <row r="32" customFormat="false" ht="30" hidden="false" customHeight="true" outlineLevel="0" collapsed="false">
      <c r="B32" s="14" t="s">
        <v>45</v>
      </c>
      <c r="C32" s="15" t="s">
        <v>46</v>
      </c>
      <c r="D32" s="15"/>
      <c r="E32" s="15"/>
      <c r="F32" s="15"/>
      <c r="G32" s="15"/>
      <c r="H32" s="15"/>
      <c r="I32" s="15"/>
      <c r="J32" s="15"/>
    </row>
    <row r="33" customFormat="false" ht="30" hidden="false" customHeight="true" outlineLevel="0" collapsed="false">
      <c r="B33" s="14" t="s">
        <v>47</v>
      </c>
      <c r="C33" s="15" t="s">
        <v>48</v>
      </c>
      <c r="D33" s="15"/>
      <c r="E33" s="15"/>
      <c r="F33" s="15"/>
      <c r="G33" s="15"/>
      <c r="H33" s="15"/>
      <c r="I33" s="15"/>
      <c r="J33" s="15"/>
    </row>
    <row r="34" customFormat="false" ht="30" hidden="false" customHeight="true" outlineLevel="0" collapsed="false">
      <c r="B34" s="14" t="s">
        <v>49</v>
      </c>
      <c r="C34" s="15" t="s">
        <v>50</v>
      </c>
      <c r="D34" s="15"/>
      <c r="E34" s="15"/>
      <c r="F34" s="15"/>
      <c r="G34" s="15"/>
      <c r="H34" s="15"/>
      <c r="I34" s="15"/>
      <c r="J34" s="15"/>
    </row>
    <row r="35" customFormat="false" ht="30" hidden="false" customHeight="true" outlineLevel="0" collapsed="false">
      <c r="B35" s="14" t="s">
        <v>51</v>
      </c>
      <c r="C35" s="15" t="s">
        <v>52</v>
      </c>
      <c r="D35" s="15"/>
      <c r="E35" s="15"/>
      <c r="F35" s="15"/>
      <c r="G35" s="15"/>
      <c r="H35" s="15"/>
      <c r="I35" s="15"/>
      <c r="J35" s="15"/>
    </row>
    <row r="37" customFormat="false" ht="15" hidden="false" customHeight="true" outlineLevel="0" collapsed="false">
      <c r="B37" s="16" t="s">
        <v>53</v>
      </c>
      <c r="C37" s="16"/>
      <c r="D37" s="16"/>
      <c r="E37" s="16"/>
      <c r="F37" s="16"/>
      <c r="G37" s="16"/>
      <c r="H37" s="16"/>
      <c r="I37" s="16"/>
      <c r="J37" s="16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16"/>
      <c r="I39" s="16"/>
      <c r="J39" s="16"/>
    </row>
  </sheetData>
  <mergeCells count="33">
    <mergeCell ref="A1:J1"/>
    <mergeCell ref="A2:J2"/>
    <mergeCell ref="B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C16:J16"/>
    <mergeCell ref="C17:J17"/>
    <mergeCell ref="B19:J19"/>
    <mergeCell ref="B20:F20"/>
    <mergeCell ref="B21:F21"/>
    <mergeCell ref="B22:F22"/>
    <mergeCell ref="B23:F23"/>
    <mergeCell ref="B24:F24"/>
    <mergeCell ref="B25:F25"/>
    <mergeCell ref="B27:J27"/>
    <mergeCell ref="C28:J28"/>
    <mergeCell ref="C29:J29"/>
    <mergeCell ref="C30:J30"/>
    <mergeCell ref="C31:J31"/>
    <mergeCell ref="C32:J32"/>
    <mergeCell ref="C33:J33"/>
    <mergeCell ref="C34:J34"/>
    <mergeCell ref="C35:J35"/>
    <mergeCell ref="B37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96"/>
    <pageSetUpPr fitToPage="true"/>
  </sheetPr>
  <dimension ref="A1:V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8" min="15" style="0" width="15"/>
    <col collapsed="false" customWidth="true" hidden="false" outlineLevel="0" max="20" min="19" style="0" width="14"/>
    <col collapsed="false" customWidth="true" hidden="false" outlineLevel="0" max="21" min="21" style="0" width="22"/>
    <col collapsed="false" customWidth="true" hidden="false" outlineLevel="0" max="22" min="22" style="0" width="26"/>
  </cols>
  <sheetData>
    <row r="1" customFormat="false" ht="30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true" outlineLevel="0" collapsed="false">
      <c r="A2" s="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15" hidden="false" customHeight="true" outlineLevel="0" collapsed="false">
      <c r="B4" s="17" t="s">
        <v>56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6" customFormat="false" ht="31.5" hidden="false" customHeight="true" outlineLevel="0" collapsed="false">
      <c r="A6" s="18" t="s">
        <v>57</v>
      </c>
      <c r="B6" s="18" t="s">
        <v>58</v>
      </c>
      <c r="C6" s="18" t="s">
        <v>59</v>
      </c>
      <c r="D6" s="18" t="s">
        <v>60</v>
      </c>
      <c r="E6" s="18" t="s">
        <v>61</v>
      </c>
      <c r="F6" s="18" t="s">
        <v>62</v>
      </c>
      <c r="G6" s="18" t="s">
        <v>63</v>
      </c>
      <c r="H6" s="18" t="s">
        <v>64</v>
      </c>
      <c r="I6" s="18" t="s">
        <v>65</v>
      </c>
      <c r="J6" s="18" t="s">
        <v>66</v>
      </c>
      <c r="K6" s="18" t="s">
        <v>67</v>
      </c>
      <c r="L6" s="18" t="s">
        <v>68</v>
      </c>
      <c r="M6" s="18" t="s">
        <v>69</v>
      </c>
      <c r="N6" s="18" t="s">
        <v>70</v>
      </c>
      <c r="O6" s="18" t="s">
        <v>71</v>
      </c>
      <c r="P6" s="18" t="s">
        <v>72</v>
      </c>
      <c r="Q6" s="18" t="s">
        <v>73</v>
      </c>
      <c r="R6" s="18" t="s">
        <v>74</v>
      </c>
      <c r="S6" s="18" t="s">
        <v>75</v>
      </c>
      <c r="T6" s="18" t="s">
        <v>76</v>
      </c>
      <c r="U6" s="18" t="s">
        <v>77</v>
      </c>
      <c r="V6" s="18" t="s">
        <v>78</v>
      </c>
    </row>
    <row r="7" customFormat="false" ht="15" hidden="false" customHeight="false" outlineLevel="0" collapsed="false">
      <c r="A7" s="19" t="str">
        <f aca="false">IF($B7="","","ATL-"&amp;TEXT(ROW()-6,"000"))</f>
        <v/>
      </c>
      <c r="B7" s="20"/>
      <c r="C7" s="21"/>
      <c r="D7" s="19" t="n">
        <f aca="true">IFERROR(DATEDIF($C7,TODAY(),"Y"),"")</f>
        <v>126</v>
      </c>
      <c r="E7" s="22"/>
      <c r="F7" s="22"/>
      <c r="G7" s="22"/>
      <c r="H7" s="22"/>
      <c r="I7" s="22"/>
      <c r="J7" s="23"/>
      <c r="K7" s="24"/>
      <c r="L7" s="25" t="str">
        <f aca="false">IFERROR(ROUND($K7/$J7^2,1),"")</f>
        <v/>
      </c>
      <c r="M7" s="26"/>
      <c r="N7" s="26"/>
      <c r="O7" s="26"/>
      <c r="P7" s="26"/>
      <c r="Q7" s="27" t="str">
        <f aca="false">IF(OR($O7="",$N7=""),"",$O7-$N7)</f>
        <v/>
      </c>
      <c r="R7" s="27" t="str">
        <f aca="false">IF(OR($P7="",$N7=""),"",$P7-$N7)</f>
        <v/>
      </c>
      <c r="S7" s="21"/>
      <c r="T7" s="22"/>
      <c r="U7" s="22"/>
      <c r="V7" s="22" t="s">
        <v>79</v>
      </c>
    </row>
    <row r="8" customFormat="false" ht="15" hidden="false" customHeight="false" outlineLevel="0" collapsed="false">
      <c r="A8" s="19" t="str">
        <f aca="false">IF($B8="","","ATL-"&amp;TEXT(ROW()-6,"000"))</f>
        <v/>
      </c>
      <c r="B8" s="20"/>
      <c r="C8" s="21"/>
      <c r="D8" s="19" t="n">
        <f aca="true">IFERROR(DATEDIF($C8,TODAY(),"Y"),"")</f>
        <v>126</v>
      </c>
      <c r="E8" s="22"/>
      <c r="F8" s="22"/>
      <c r="G8" s="22"/>
      <c r="H8" s="22"/>
      <c r="I8" s="22"/>
      <c r="J8" s="23"/>
      <c r="K8" s="24"/>
      <c r="L8" s="25" t="str">
        <f aca="false">IFERROR(ROUND($K8/$J8^2,1),"")</f>
        <v/>
      </c>
      <c r="M8" s="26"/>
      <c r="N8" s="26"/>
      <c r="O8" s="26"/>
      <c r="P8" s="26"/>
      <c r="Q8" s="27" t="str">
        <f aca="false">IF(OR($O8="",$N8=""),"",$O8-$N8)</f>
        <v/>
      </c>
      <c r="R8" s="27" t="str">
        <f aca="false">IF(OR($P8="",$N8=""),"",$P8-$N8)</f>
        <v/>
      </c>
      <c r="S8" s="21"/>
      <c r="T8" s="22"/>
      <c r="U8" s="22"/>
      <c r="V8" s="22"/>
    </row>
    <row r="9" customFormat="false" ht="15" hidden="false" customHeight="false" outlineLevel="0" collapsed="false">
      <c r="A9" s="19" t="str">
        <f aca="false">IF($B9="","","ATL-"&amp;TEXT(ROW()-6,"000"))</f>
        <v/>
      </c>
      <c r="B9" s="20"/>
      <c r="C9" s="21"/>
      <c r="D9" s="19" t="n">
        <f aca="true">IFERROR(DATEDIF($C9,TODAY(),"Y"),"")</f>
        <v>126</v>
      </c>
      <c r="E9" s="22"/>
      <c r="F9" s="22"/>
      <c r="G9" s="22"/>
      <c r="H9" s="22"/>
      <c r="I9" s="22"/>
      <c r="J9" s="23"/>
      <c r="K9" s="24"/>
      <c r="L9" s="25" t="str">
        <f aca="false">IFERROR(ROUND($K9/$J9^2,1),"")</f>
        <v/>
      </c>
      <c r="M9" s="26"/>
      <c r="N9" s="26"/>
      <c r="O9" s="26"/>
      <c r="P9" s="26"/>
      <c r="Q9" s="27" t="str">
        <f aca="false">IF(OR($O9="",$N9=""),"",$O9-$N9)</f>
        <v/>
      </c>
      <c r="R9" s="27" t="str">
        <f aca="false">IF(OR($P9="",$N9=""),"",$P9-$N9)</f>
        <v/>
      </c>
      <c r="S9" s="21"/>
      <c r="T9" s="22"/>
      <c r="U9" s="22"/>
      <c r="V9" s="22"/>
    </row>
    <row r="10" customFormat="false" ht="15" hidden="false" customHeight="false" outlineLevel="0" collapsed="false">
      <c r="A10" s="19" t="str">
        <f aca="false">IF($B10="","","ATL-"&amp;TEXT(ROW()-6,"000"))</f>
        <v/>
      </c>
      <c r="B10" s="20"/>
      <c r="C10" s="21"/>
      <c r="D10" s="19" t="n">
        <f aca="true">IFERROR(DATEDIF($C10,TODAY(),"Y"),"")</f>
        <v>126</v>
      </c>
      <c r="E10" s="22"/>
      <c r="F10" s="22"/>
      <c r="G10" s="22"/>
      <c r="H10" s="22"/>
      <c r="I10" s="22"/>
      <c r="J10" s="23"/>
      <c r="K10" s="24"/>
      <c r="L10" s="25" t="str">
        <f aca="false">IFERROR(ROUND($K10/$J10^2,1),"")</f>
        <v/>
      </c>
      <c r="M10" s="26"/>
      <c r="N10" s="26"/>
      <c r="O10" s="26"/>
      <c r="P10" s="26"/>
      <c r="Q10" s="27" t="str">
        <f aca="false">IF(OR($O10="",$N10=""),"",$O10-$N10)</f>
        <v/>
      </c>
      <c r="R10" s="27" t="str">
        <f aca="false">IF(OR($P10="",$N10=""),"",$P10-$N10)</f>
        <v/>
      </c>
      <c r="S10" s="21"/>
      <c r="T10" s="22"/>
      <c r="U10" s="22"/>
      <c r="V10" s="22"/>
    </row>
    <row r="11" customFormat="false" ht="15" hidden="false" customHeight="false" outlineLevel="0" collapsed="false">
      <c r="A11" s="19" t="str">
        <f aca="false">IF($B11="","","ATL-"&amp;TEXT(ROW()-6,"000"))</f>
        <v/>
      </c>
      <c r="B11" s="20"/>
      <c r="C11" s="21"/>
      <c r="D11" s="19" t="n">
        <f aca="true">IFERROR(DATEDIF($C11,TODAY(),"Y"),"")</f>
        <v>126</v>
      </c>
      <c r="E11" s="22"/>
      <c r="F11" s="22"/>
      <c r="G11" s="22"/>
      <c r="H11" s="22"/>
      <c r="I11" s="22"/>
      <c r="J11" s="23"/>
      <c r="K11" s="24"/>
      <c r="L11" s="25" t="str">
        <f aca="false">IFERROR(ROUND($K11/$J11^2,1),"")</f>
        <v/>
      </c>
      <c r="M11" s="26"/>
      <c r="N11" s="26"/>
      <c r="O11" s="26"/>
      <c r="P11" s="26"/>
      <c r="Q11" s="27" t="str">
        <f aca="false">IF(OR($O11="",$N11=""),"",$O11-$N11)</f>
        <v/>
      </c>
      <c r="R11" s="27" t="str">
        <f aca="false">IF(OR($P11="",$N11=""),"",$P11-$N11)</f>
        <v/>
      </c>
      <c r="S11" s="21"/>
      <c r="T11" s="22"/>
      <c r="U11" s="22"/>
      <c r="V11" s="22"/>
    </row>
    <row r="12" customFormat="false" ht="15" hidden="false" customHeight="false" outlineLevel="0" collapsed="false">
      <c r="A12" s="19" t="str">
        <f aca="false">IF($B12="","","ATL-"&amp;TEXT(ROW()-6,"000"))</f>
        <v/>
      </c>
      <c r="B12" s="20"/>
      <c r="C12" s="21"/>
      <c r="D12" s="19" t="n">
        <f aca="true">IFERROR(DATEDIF($C12,TODAY(),"Y"),"")</f>
        <v>126</v>
      </c>
      <c r="E12" s="22"/>
      <c r="F12" s="22"/>
      <c r="G12" s="22"/>
      <c r="H12" s="22"/>
      <c r="I12" s="22"/>
      <c r="J12" s="23"/>
      <c r="K12" s="24"/>
      <c r="L12" s="25" t="str">
        <f aca="false">IFERROR(ROUND($K12/$J12^2,1),"")</f>
        <v/>
      </c>
      <c r="M12" s="26"/>
      <c r="N12" s="26"/>
      <c r="O12" s="26"/>
      <c r="P12" s="26"/>
      <c r="Q12" s="27" t="str">
        <f aca="false">IF(OR($O12="",$N12=""),"",$O12-$N12)</f>
        <v/>
      </c>
      <c r="R12" s="27" t="str">
        <f aca="false">IF(OR($P12="",$N12=""),"",$P12-$N12)</f>
        <v/>
      </c>
      <c r="S12" s="21"/>
      <c r="T12" s="22"/>
      <c r="U12" s="22"/>
      <c r="V12" s="22"/>
    </row>
    <row r="13" customFormat="false" ht="15" hidden="false" customHeight="false" outlineLevel="0" collapsed="false">
      <c r="A13" s="19" t="str">
        <f aca="false">IF($B13="","","ATL-"&amp;TEXT(ROW()-6,"000"))</f>
        <v/>
      </c>
      <c r="B13" s="20"/>
      <c r="C13" s="21"/>
      <c r="D13" s="19" t="n">
        <f aca="true">IFERROR(DATEDIF($C13,TODAY(),"Y"),"")</f>
        <v>126</v>
      </c>
      <c r="E13" s="22"/>
      <c r="F13" s="22"/>
      <c r="G13" s="22"/>
      <c r="H13" s="22"/>
      <c r="I13" s="22"/>
      <c r="J13" s="23"/>
      <c r="K13" s="24"/>
      <c r="L13" s="25" t="str">
        <f aca="false">IFERROR(ROUND($K13/$J13^2,1),"")</f>
        <v/>
      </c>
      <c r="M13" s="26"/>
      <c r="N13" s="26"/>
      <c r="O13" s="26"/>
      <c r="P13" s="26"/>
      <c r="Q13" s="27" t="str">
        <f aca="false">IF(OR($O13="",$N13=""),"",$O13-$N13)</f>
        <v/>
      </c>
      <c r="R13" s="27" t="str">
        <f aca="false">IF(OR($P13="",$N13=""),"",$P13-$N13)</f>
        <v/>
      </c>
      <c r="S13" s="21"/>
      <c r="T13" s="22"/>
      <c r="U13" s="22"/>
      <c r="V13" s="22"/>
    </row>
    <row r="14" customFormat="false" ht="15" hidden="false" customHeight="false" outlineLevel="0" collapsed="false">
      <c r="A14" s="19" t="str">
        <f aca="false">IF($B14="","","ATL-"&amp;TEXT(ROW()-6,"000"))</f>
        <v/>
      </c>
      <c r="B14" s="20"/>
      <c r="C14" s="21"/>
      <c r="D14" s="19" t="n">
        <f aca="true">IFERROR(DATEDIF($C14,TODAY(),"Y"),"")</f>
        <v>126</v>
      </c>
      <c r="E14" s="22"/>
      <c r="F14" s="22"/>
      <c r="G14" s="22"/>
      <c r="H14" s="22"/>
      <c r="I14" s="22"/>
      <c r="J14" s="23"/>
      <c r="K14" s="24"/>
      <c r="L14" s="25" t="str">
        <f aca="false">IFERROR(ROUND($K14/$J14^2,1),"")</f>
        <v/>
      </c>
      <c r="M14" s="26"/>
      <c r="N14" s="26"/>
      <c r="O14" s="26"/>
      <c r="P14" s="26"/>
      <c r="Q14" s="27" t="str">
        <f aca="false">IF(OR($O14="",$N14=""),"",$O14-$N14)</f>
        <v/>
      </c>
      <c r="R14" s="27" t="str">
        <f aca="false">IF(OR($P14="",$N14=""),"",$P14-$N14)</f>
        <v/>
      </c>
      <c r="S14" s="21"/>
      <c r="T14" s="22"/>
      <c r="U14" s="22"/>
      <c r="V14" s="22"/>
    </row>
    <row r="15" customFormat="false" ht="15" hidden="false" customHeight="false" outlineLevel="0" collapsed="false">
      <c r="A15" s="19" t="str">
        <f aca="false">IF($B15="","","ATL-"&amp;TEXT(ROW()-6,"000"))</f>
        <v/>
      </c>
      <c r="B15" s="20"/>
      <c r="C15" s="21"/>
      <c r="D15" s="19" t="n">
        <f aca="true">IFERROR(DATEDIF($C15,TODAY(),"Y"),"")</f>
        <v>126</v>
      </c>
      <c r="E15" s="22"/>
      <c r="F15" s="22"/>
      <c r="G15" s="22"/>
      <c r="H15" s="22"/>
      <c r="I15" s="22"/>
      <c r="J15" s="23"/>
      <c r="K15" s="24"/>
      <c r="L15" s="25" t="str">
        <f aca="false">IFERROR(ROUND($K15/$J15^2,1),"")</f>
        <v/>
      </c>
      <c r="M15" s="26"/>
      <c r="N15" s="26"/>
      <c r="O15" s="26"/>
      <c r="P15" s="26"/>
      <c r="Q15" s="27" t="str">
        <f aca="false">IF(OR($O15="",$N15=""),"",$O15-$N15)</f>
        <v/>
      </c>
      <c r="R15" s="27" t="str">
        <f aca="false">IF(OR($P15="",$N15=""),"",$P15-$N15)</f>
        <v/>
      </c>
      <c r="S15" s="21"/>
      <c r="T15" s="22"/>
      <c r="U15" s="22"/>
      <c r="V15" s="22"/>
    </row>
    <row r="16" customFormat="false" ht="15" hidden="false" customHeight="false" outlineLevel="0" collapsed="false">
      <c r="A16" s="19" t="str">
        <f aca="false">IF($B16="","","ATL-"&amp;TEXT(ROW()-6,"000"))</f>
        <v/>
      </c>
      <c r="B16" s="20"/>
      <c r="C16" s="21"/>
      <c r="D16" s="19" t="n">
        <f aca="true">IFERROR(DATEDIF($C16,TODAY(),"Y"),"")</f>
        <v>126</v>
      </c>
      <c r="E16" s="22"/>
      <c r="F16" s="22"/>
      <c r="G16" s="22"/>
      <c r="H16" s="22"/>
      <c r="I16" s="22"/>
      <c r="J16" s="23"/>
      <c r="K16" s="24"/>
      <c r="L16" s="25" t="str">
        <f aca="false">IFERROR(ROUND($K16/$J16^2,1),"")</f>
        <v/>
      </c>
      <c r="M16" s="26"/>
      <c r="N16" s="26"/>
      <c r="O16" s="26"/>
      <c r="P16" s="26"/>
      <c r="Q16" s="27" t="str">
        <f aca="false">IF(OR($O16="",$N16=""),"",$O16-$N16)</f>
        <v/>
      </c>
      <c r="R16" s="27" t="str">
        <f aca="false">IF(OR($P16="",$N16=""),"",$P16-$N16)</f>
        <v/>
      </c>
      <c r="S16" s="21"/>
      <c r="T16" s="22"/>
      <c r="U16" s="22"/>
      <c r="V16" s="22"/>
    </row>
    <row r="17" customFormat="false" ht="15" hidden="false" customHeight="false" outlineLevel="0" collapsed="false">
      <c r="A17" s="19" t="str">
        <f aca="false">IF($B17="","","ATL-"&amp;TEXT(ROW()-6,"000"))</f>
        <v/>
      </c>
      <c r="B17" s="20"/>
      <c r="C17" s="21"/>
      <c r="D17" s="19" t="n">
        <f aca="true">IFERROR(DATEDIF($C17,TODAY(),"Y"),"")</f>
        <v>126</v>
      </c>
      <c r="E17" s="22"/>
      <c r="F17" s="22"/>
      <c r="G17" s="22"/>
      <c r="H17" s="22"/>
      <c r="I17" s="22"/>
      <c r="J17" s="23"/>
      <c r="K17" s="24"/>
      <c r="L17" s="25" t="str">
        <f aca="false">IFERROR(ROUND($K17/$J17^2,1),"")</f>
        <v/>
      </c>
      <c r="M17" s="26"/>
      <c r="N17" s="26"/>
      <c r="O17" s="26"/>
      <c r="P17" s="26"/>
      <c r="Q17" s="27" t="str">
        <f aca="false">IF(OR($O17="",$N17=""),"",$O17-$N17)</f>
        <v/>
      </c>
      <c r="R17" s="27" t="str">
        <f aca="false">IF(OR($P17="",$N17=""),"",$P17-$N17)</f>
        <v/>
      </c>
      <c r="S17" s="21"/>
      <c r="T17" s="22"/>
      <c r="U17" s="22"/>
      <c r="V17" s="22"/>
    </row>
    <row r="18" customFormat="false" ht="15" hidden="false" customHeight="false" outlineLevel="0" collapsed="false">
      <c r="A18" s="19" t="str">
        <f aca="false">IF($B18="","","ATL-"&amp;TEXT(ROW()-6,"000"))</f>
        <v/>
      </c>
      <c r="B18" s="20"/>
      <c r="C18" s="21"/>
      <c r="D18" s="19" t="n">
        <f aca="true">IFERROR(DATEDIF($C18,TODAY(),"Y"),"")</f>
        <v>126</v>
      </c>
      <c r="E18" s="22"/>
      <c r="F18" s="22"/>
      <c r="G18" s="22"/>
      <c r="H18" s="22"/>
      <c r="I18" s="22"/>
      <c r="J18" s="23"/>
      <c r="K18" s="24"/>
      <c r="L18" s="25" t="str">
        <f aca="false">IFERROR(ROUND($K18/$J18^2,1),"")</f>
        <v/>
      </c>
      <c r="M18" s="26"/>
      <c r="N18" s="26"/>
      <c r="O18" s="26"/>
      <c r="P18" s="26"/>
      <c r="Q18" s="27" t="str">
        <f aca="false">IF(OR($O18="",$N18=""),"",$O18-$N18)</f>
        <v/>
      </c>
      <c r="R18" s="27" t="str">
        <f aca="false">IF(OR($P18="",$N18=""),"",$P18-$N18)</f>
        <v/>
      </c>
      <c r="S18" s="21"/>
      <c r="T18" s="22"/>
      <c r="U18" s="22"/>
      <c r="V18" s="22"/>
    </row>
    <row r="19" customFormat="false" ht="15" hidden="false" customHeight="false" outlineLevel="0" collapsed="false">
      <c r="A19" s="19" t="str">
        <f aca="false">IF($B19="","","ATL-"&amp;TEXT(ROW()-6,"000"))</f>
        <v/>
      </c>
      <c r="B19" s="20"/>
      <c r="C19" s="21"/>
      <c r="D19" s="19" t="n">
        <f aca="true">IFERROR(DATEDIF($C19,TODAY(),"Y"),"")</f>
        <v>126</v>
      </c>
      <c r="E19" s="22"/>
      <c r="F19" s="22"/>
      <c r="G19" s="22"/>
      <c r="H19" s="22"/>
      <c r="I19" s="22"/>
      <c r="J19" s="23"/>
      <c r="K19" s="24"/>
      <c r="L19" s="25" t="str">
        <f aca="false">IFERROR(ROUND($K19/$J19^2,1),"")</f>
        <v/>
      </c>
      <c r="M19" s="26"/>
      <c r="N19" s="26"/>
      <c r="O19" s="26"/>
      <c r="P19" s="26"/>
      <c r="Q19" s="27" t="str">
        <f aca="false">IF(OR($O19="",$N19=""),"",$O19-$N19)</f>
        <v/>
      </c>
      <c r="R19" s="27" t="str">
        <f aca="false">IF(OR($P19="",$N19=""),"",$P19-$N19)</f>
        <v/>
      </c>
      <c r="S19" s="21"/>
      <c r="T19" s="22"/>
      <c r="U19" s="22"/>
      <c r="V19" s="22"/>
    </row>
    <row r="20" customFormat="false" ht="15" hidden="false" customHeight="false" outlineLevel="0" collapsed="false">
      <c r="A20" s="19" t="str">
        <f aca="false">IF($B20="","","ATL-"&amp;TEXT(ROW()-6,"000"))</f>
        <v/>
      </c>
      <c r="B20" s="20"/>
      <c r="C20" s="21"/>
      <c r="D20" s="19" t="n">
        <f aca="true">IFERROR(DATEDIF($C20,TODAY(),"Y"),"")</f>
        <v>126</v>
      </c>
      <c r="E20" s="22"/>
      <c r="F20" s="22"/>
      <c r="G20" s="22"/>
      <c r="H20" s="22"/>
      <c r="I20" s="22"/>
      <c r="J20" s="23"/>
      <c r="K20" s="24"/>
      <c r="L20" s="25" t="str">
        <f aca="false">IFERROR(ROUND($K20/$J20^2,1),"")</f>
        <v/>
      </c>
      <c r="M20" s="26"/>
      <c r="N20" s="26"/>
      <c r="O20" s="26"/>
      <c r="P20" s="26"/>
      <c r="Q20" s="27" t="str">
        <f aca="false">IF(OR($O20="",$N20=""),"",$O20-$N20)</f>
        <v/>
      </c>
      <c r="R20" s="27" t="str">
        <f aca="false">IF(OR($P20="",$N20=""),"",$P20-$N20)</f>
        <v/>
      </c>
      <c r="S20" s="21"/>
      <c r="T20" s="22"/>
      <c r="U20" s="22"/>
      <c r="V20" s="22"/>
    </row>
    <row r="21" customFormat="false" ht="15" hidden="false" customHeight="false" outlineLevel="0" collapsed="false">
      <c r="A21" s="19" t="str">
        <f aca="false">IF($B21="","","ATL-"&amp;TEXT(ROW()-6,"000"))</f>
        <v/>
      </c>
      <c r="B21" s="20"/>
      <c r="C21" s="21"/>
      <c r="D21" s="19" t="n">
        <f aca="true">IFERROR(DATEDIF($C21,TODAY(),"Y"),"")</f>
        <v>126</v>
      </c>
      <c r="E21" s="22"/>
      <c r="F21" s="22"/>
      <c r="G21" s="22"/>
      <c r="H21" s="22"/>
      <c r="I21" s="22"/>
      <c r="J21" s="23"/>
      <c r="K21" s="24"/>
      <c r="L21" s="25" t="str">
        <f aca="false">IFERROR(ROUND($K21/$J21^2,1),"")</f>
        <v/>
      </c>
      <c r="M21" s="26"/>
      <c r="N21" s="26"/>
      <c r="O21" s="26"/>
      <c r="P21" s="26"/>
      <c r="Q21" s="27" t="str">
        <f aca="false">IF(OR($O21="",$N21=""),"",$O21-$N21)</f>
        <v/>
      </c>
      <c r="R21" s="27" t="str">
        <f aca="false">IF(OR($P21="",$N21=""),"",$P21-$N21)</f>
        <v/>
      </c>
      <c r="S21" s="21"/>
      <c r="T21" s="22"/>
      <c r="U21" s="22"/>
      <c r="V21" s="22"/>
    </row>
    <row r="22" customFormat="false" ht="15" hidden="false" customHeight="false" outlineLevel="0" collapsed="false">
      <c r="A22" s="19" t="str">
        <f aca="false">IF($B22="","","ATL-"&amp;TEXT(ROW()-6,"000"))</f>
        <v/>
      </c>
      <c r="B22" s="20"/>
      <c r="C22" s="21"/>
      <c r="D22" s="19" t="n">
        <f aca="true">IFERROR(DATEDIF($C22,TODAY(),"Y"),"")</f>
        <v>126</v>
      </c>
      <c r="E22" s="22"/>
      <c r="F22" s="22"/>
      <c r="G22" s="22"/>
      <c r="H22" s="22"/>
      <c r="I22" s="22"/>
      <c r="J22" s="23"/>
      <c r="K22" s="24"/>
      <c r="L22" s="25" t="str">
        <f aca="false">IFERROR(ROUND($K22/$J22^2,1),"")</f>
        <v/>
      </c>
      <c r="M22" s="26"/>
      <c r="N22" s="26"/>
      <c r="O22" s="26"/>
      <c r="P22" s="26"/>
      <c r="Q22" s="27" t="str">
        <f aca="false">IF(OR($O22="",$N22=""),"",$O22-$N22)</f>
        <v/>
      </c>
      <c r="R22" s="27" t="str">
        <f aca="false">IF(OR($P22="",$N22=""),"",$P22-$N22)</f>
        <v/>
      </c>
      <c r="S22" s="21"/>
      <c r="T22" s="22"/>
      <c r="U22" s="22"/>
      <c r="V22" s="22"/>
    </row>
    <row r="23" customFormat="false" ht="15" hidden="false" customHeight="false" outlineLevel="0" collapsed="false">
      <c r="A23" s="19" t="str">
        <f aca="false">IF($B23="","","ATL-"&amp;TEXT(ROW()-6,"000"))</f>
        <v/>
      </c>
      <c r="B23" s="20"/>
      <c r="C23" s="21"/>
      <c r="D23" s="19" t="n">
        <f aca="true">IFERROR(DATEDIF($C23,TODAY(),"Y"),"")</f>
        <v>126</v>
      </c>
      <c r="E23" s="22"/>
      <c r="F23" s="22"/>
      <c r="G23" s="22"/>
      <c r="H23" s="22"/>
      <c r="I23" s="22"/>
      <c r="J23" s="23"/>
      <c r="K23" s="24"/>
      <c r="L23" s="25" t="str">
        <f aca="false">IFERROR(ROUND($K23/$J23^2,1),"")</f>
        <v/>
      </c>
      <c r="M23" s="26"/>
      <c r="N23" s="26"/>
      <c r="O23" s="26"/>
      <c r="P23" s="26"/>
      <c r="Q23" s="27" t="str">
        <f aca="false">IF(OR($O23="",$N23=""),"",$O23-$N23)</f>
        <v/>
      </c>
      <c r="R23" s="27" t="str">
        <f aca="false">IF(OR($P23="",$N23=""),"",$P23-$N23)</f>
        <v/>
      </c>
      <c r="S23" s="21"/>
      <c r="T23" s="22"/>
      <c r="U23" s="22"/>
      <c r="V23" s="22"/>
    </row>
    <row r="24" customFormat="false" ht="15" hidden="false" customHeight="false" outlineLevel="0" collapsed="false">
      <c r="A24" s="19" t="str">
        <f aca="false">IF($B24="","","ATL-"&amp;TEXT(ROW()-6,"000"))</f>
        <v/>
      </c>
      <c r="B24" s="20"/>
      <c r="C24" s="21"/>
      <c r="D24" s="19" t="n">
        <f aca="true">IFERROR(DATEDIF($C24,TODAY(),"Y"),"")</f>
        <v>126</v>
      </c>
      <c r="E24" s="22"/>
      <c r="F24" s="22"/>
      <c r="G24" s="22"/>
      <c r="H24" s="22"/>
      <c r="I24" s="22"/>
      <c r="J24" s="23"/>
      <c r="K24" s="24"/>
      <c r="L24" s="25" t="str">
        <f aca="false">IFERROR(ROUND($K24/$J24^2,1),"")</f>
        <v/>
      </c>
      <c r="M24" s="26"/>
      <c r="N24" s="26"/>
      <c r="O24" s="26"/>
      <c r="P24" s="26"/>
      <c r="Q24" s="27" t="str">
        <f aca="false">IF(OR($O24="",$N24=""),"",$O24-$N24)</f>
        <v/>
      </c>
      <c r="R24" s="27" t="str">
        <f aca="false">IF(OR($P24="",$N24=""),"",$P24-$N24)</f>
        <v/>
      </c>
      <c r="S24" s="21"/>
      <c r="T24" s="22"/>
      <c r="U24" s="22"/>
      <c r="V24" s="22"/>
    </row>
    <row r="25" customFormat="false" ht="15" hidden="false" customHeight="false" outlineLevel="0" collapsed="false">
      <c r="A25" s="19" t="str">
        <f aca="false">IF($B25="","","ATL-"&amp;TEXT(ROW()-6,"000"))</f>
        <v/>
      </c>
      <c r="B25" s="20"/>
      <c r="C25" s="21"/>
      <c r="D25" s="19" t="n">
        <f aca="true">IFERROR(DATEDIF($C25,TODAY(),"Y"),"")</f>
        <v>126</v>
      </c>
      <c r="E25" s="22"/>
      <c r="F25" s="22"/>
      <c r="G25" s="22"/>
      <c r="H25" s="22"/>
      <c r="I25" s="22"/>
      <c r="J25" s="23"/>
      <c r="K25" s="24"/>
      <c r="L25" s="25" t="str">
        <f aca="false">IFERROR(ROUND($K25/$J25^2,1),"")</f>
        <v/>
      </c>
      <c r="M25" s="26"/>
      <c r="N25" s="26"/>
      <c r="O25" s="26"/>
      <c r="P25" s="26"/>
      <c r="Q25" s="27" t="str">
        <f aca="false">IF(OR($O25="",$N25=""),"",$O25-$N25)</f>
        <v/>
      </c>
      <c r="R25" s="27" t="str">
        <f aca="false">IF(OR($P25="",$N25=""),"",$P25-$N25)</f>
        <v/>
      </c>
      <c r="S25" s="21"/>
      <c r="T25" s="22"/>
      <c r="U25" s="22"/>
      <c r="V25" s="22"/>
    </row>
    <row r="26" customFormat="false" ht="15" hidden="false" customHeight="false" outlineLevel="0" collapsed="false">
      <c r="A26" s="19" t="str">
        <f aca="false">IF($B26="","","ATL-"&amp;TEXT(ROW()-6,"000"))</f>
        <v/>
      </c>
      <c r="B26" s="20"/>
      <c r="C26" s="21"/>
      <c r="D26" s="19" t="n">
        <f aca="true">IFERROR(DATEDIF($C26,TODAY(),"Y"),"")</f>
        <v>126</v>
      </c>
      <c r="E26" s="22"/>
      <c r="F26" s="22"/>
      <c r="G26" s="22"/>
      <c r="H26" s="22"/>
      <c r="I26" s="22"/>
      <c r="J26" s="23"/>
      <c r="K26" s="24"/>
      <c r="L26" s="25" t="str">
        <f aca="false">IFERROR(ROUND($K26/$J26^2,1),"")</f>
        <v/>
      </c>
      <c r="M26" s="26"/>
      <c r="N26" s="26"/>
      <c r="O26" s="26"/>
      <c r="P26" s="26"/>
      <c r="Q26" s="27" t="str">
        <f aca="false">IF(OR($O26="",$N26=""),"",$O26-$N26)</f>
        <v/>
      </c>
      <c r="R26" s="27" t="str">
        <f aca="false">IF(OR($P26="",$N26=""),"",$P26-$N26)</f>
        <v/>
      </c>
      <c r="S26" s="21"/>
      <c r="T26" s="22"/>
      <c r="U26" s="22"/>
      <c r="V26" s="22"/>
    </row>
    <row r="27" customFormat="false" ht="15" hidden="false" customHeight="false" outlineLevel="0" collapsed="false">
      <c r="A27" s="19" t="str">
        <f aca="false">IF($B27="","","ATL-"&amp;TEXT(ROW()-6,"000"))</f>
        <v/>
      </c>
      <c r="B27" s="20"/>
      <c r="C27" s="21"/>
      <c r="D27" s="19" t="n">
        <f aca="true">IFERROR(DATEDIF($C27,TODAY(),"Y"),"")</f>
        <v>126</v>
      </c>
      <c r="E27" s="22"/>
      <c r="F27" s="22"/>
      <c r="G27" s="22"/>
      <c r="H27" s="22"/>
      <c r="I27" s="22"/>
      <c r="J27" s="23"/>
      <c r="K27" s="24"/>
      <c r="L27" s="25" t="str">
        <f aca="false">IFERROR(ROUND($K27/$J27^2,1),"")</f>
        <v/>
      </c>
      <c r="M27" s="26"/>
      <c r="N27" s="26"/>
      <c r="O27" s="26"/>
      <c r="P27" s="26"/>
      <c r="Q27" s="27" t="str">
        <f aca="false">IF(OR($O27="",$N27=""),"",$O27-$N27)</f>
        <v/>
      </c>
      <c r="R27" s="27" t="str">
        <f aca="false">IF(OR($P27="",$N27=""),"",$P27-$N27)</f>
        <v/>
      </c>
      <c r="S27" s="21"/>
      <c r="T27" s="22"/>
      <c r="U27" s="22"/>
      <c r="V27" s="22"/>
    </row>
    <row r="28" customFormat="false" ht="15" hidden="false" customHeight="false" outlineLevel="0" collapsed="false">
      <c r="A28" s="19" t="str">
        <f aca="false">IF($B28="","","ATL-"&amp;TEXT(ROW()-6,"000"))</f>
        <v/>
      </c>
      <c r="B28" s="20"/>
      <c r="C28" s="21"/>
      <c r="D28" s="19" t="n">
        <f aca="true">IFERROR(DATEDIF($C28,TODAY(),"Y"),"")</f>
        <v>126</v>
      </c>
      <c r="E28" s="22"/>
      <c r="F28" s="22"/>
      <c r="G28" s="22"/>
      <c r="H28" s="22"/>
      <c r="I28" s="22"/>
      <c r="J28" s="23"/>
      <c r="K28" s="24"/>
      <c r="L28" s="25" t="str">
        <f aca="false">IFERROR(ROUND($K28/$J28^2,1),"")</f>
        <v/>
      </c>
      <c r="M28" s="26"/>
      <c r="N28" s="26"/>
      <c r="O28" s="26"/>
      <c r="P28" s="26"/>
      <c r="Q28" s="27" t="str">
        <f aca="false">IF(OR($O28="",$N28=""),"",$O28-$N28)</f>
        <v/>
      </c>
      <c r="R28" s="27" t="str">
        <f aca="false">IF(OR($P28="",$N28=""),"",$P28-$N28)</f>
        <v/>
      </c>
      <c r="S28" s="21"/>
      <c r="T28" s="22"/>
      <c r="U28" s="22"/>
      <c r="V28" s="22"/>
    </row>
    <row r="29" customFormat="false" ht="15" hidden="false" customHeight="false" outlineLevel="0" collapsed="false">
      <c r="A29" s="19" t="str">
        <f aca="false">IF($B29="","","ATL-"&amp;TEXT(ROW()-6,"000"))</f>
        <v/>
      </c>
      <c r="B29" s="20"/>
      <c r="C29" s="21"/>
      <c r="D29" s="19" t="n">
        <f aca="true">IFERROR(DATEDIF($C29,TODAY(),"Y"),"")</f>
        <v>126</v>
      </c>
      <c r="E29" s="22"/>
      <c r="F29" s="22"/>
      <c r="G29" s="22"/>
      <c r="H29" s="22"/>
      <c r="I29" s="22"/>
      <c r="J29" s="23"/>
      <c r="K29" s="24"/>
      <c r="L29" s="25" t="str">
        <f aca="false">IFERROR(ROUND($K29/$J29^2,1),"")</f>
        <v/>
      </c>
      <c r="M29" s="26"/>
      <c r="N29" s="26"/>
      <c r="O29" s="26"/>
      <c r="P29" s="26"/>
      <c r="Q29" s="27" t="str">
        <f aca="false">IF(OR($O29="",$N29=""),"",$O29-$N29)</f>
        <v/>
      </c>
      <c r="R29" s="27" t="str">
        <f aca="false">IF(OR($P29="",$N29=""),"",$P29-$N29)</f>
        <v/>
      </c>
      <c r="S29" s="21"/>
      <c r="T29" s="22"/>
      <c r="U29" s="22"/>
      <c r="V29" s="22"/>
    </row>
    <row r="30" customFormat="false" ht="15" hidden="false" customHeight="false" outlineLevel="0" collapsed="false">
      <c r="A30" s="19" t="str">
        <f aca="false">IF($B30="","","ATL-"&amp;TEXT(ROW()-6,"000"))</f>
        <v/>
      </c>
      <c r="B30" s="20"/>
      <c r="C30" s="21"/>
      <c r="D30" s="19" t="n">
        <f aca="true">IFERROR(DATEDIF($C30,TODAY(),"Y"),"")</f>
        <v>126</v>
      </c>
      <c r="E30" s="22"/>
      <c r="F30" s="22"/>
      <c r="G30" s="22"/>
      <c r="H30" s="22"/>
      <c r="I30" s="22"/>
      <c r="J30" s="23"/>
      <c r="K30" s="24"/>
      <c r="L30" s="25" t="str">
        <f aca="false">IFERROR(ROUND($K30/$J30^2,1),"")</f>
        <v/>
      </c>
      <c r="M30" s="26"/>
      <c r="N30" s="26"/>
      <c r="O30" s="26"/>
      <c r="P30" s="26"/>
      <c r="Q30" s="27" t="str">
        <f aca="false">IF(OR($O30="",$N30=""),"",$O30-$N30)</f>
        <v/>
      </c>
      <c r="R30" s="27" t="str">
        <f aca="false">IF(OR($P30="",$N30=""),"",$P30-$N30)</f>
        <v/>
      </c>
      <c r="S30" s="21"/>
      <c r="T30" s="22"/>
      <c r="U30" s="22"/>
      <c r="V30" s="22"/>
    </row>
    <row r="31" customFormat="false" ht="15" hidden="false" customHeight="false" outlineLevel="0" collapsed="false">
      <c r="A31" s="19" t="str">
        <f aca="false">IF($B31="","","ATL-"&amp;TEXT(ROW()-6,"000"))</f>
        <v/>
      </c>
      <c r="B31" s="20"/>
      <c r="C31" s="21"/>
      <c r="D31" s="19" t="n">
        <f aca="true">IFERROR(DATEDIF($C31,TODAY(),"Y"),"")</f>
        <v>126</v>
      </c>
      <c r="E31" s="22"/>
      <c r="F31" s="22"/>
      <c r="G31" s="22"/>
      <c r="H31" s="22"/>
      <c r="I31" s="22"/>
      <c r="J31" s="23"/>
      <c r="K31" s="24"/>
      <c r="L31" s="25" t="str">
        <f aca="false">IFERROR(ROUND($K31/$J31^2,1),"")</f>
        <v/>
      </c>
      <c r="M31" s="26"/>
      <c r="N31" s="26"/>
      <c r="O31" s="26"/>
      <c r="P31" s="26"/>
      <c r="Q31" s="27" t="str">
        <f aca="false">IF(OR($O31="",$N31=""),"",$O31-$N31)</f>
        <v/>
      </c>
      <c r="R31" s="27" t="str">
        <f aca="false">IF(OR($P31="",$N31=""),"",$P31-$N31)</f>
        <v/>
      </c>
      <c r="S31" s="21"/>
      <c r="T31" s="22"/>
      <c r="U31" s="22"/>
      <c r="V31" s="22"/>
    </row>
    <row r="32" customFormat="false" ht="15" hidden="false" customHeight="false" outlineLevel="0" collapsed="false">
      <c r="A32" s="19" t="str">
        <f aca="false">IF($B32="","","ATL-"&amp;TEXT(ROW()-6,"000"))</f>
        <v/>
      </c>
      <c r="B32" s="20"/>
      <c r="C32" s="21"/>
      <c r="D32" s="19" t="n">
        <f aca="true">IFERROR(DATEDIF($C32,TODAY(),"Y"),"")</f>
        <v>126</v>
      </c>
      <c r="E32" s="22"/>
      <c r="F32" s="22"/>
      <c r="G32" s="22"/>
      <c r="H32" s="22"/>
      <c r="I32" s="22"/>
      <c r="J32" s="23"/>
      <c r="K32" s="24"/>
      <c r="L32" s="25" t="str">
        <f aca="false">IFERROR(ROUND($K32/$J32^2,1),"")</f>
        <v/>
      </c>
      <c r="M32" s="26"/>
      <c r="N32" s="26"/>
      <c r="O32" s="26"/>
      <c r="P32" s="26"/>
      <c r="Q32" s="27" t="str">
        <f aca="false">IF(OR($O32="",$N32=""),"",$O32-$N32)</f>
        <v/>
      </c>
      <c r="R32" s="27" t="str">
        <f aca="false">IF(OR($P32="",$N32=""),"",$P32-$N32)</f>
        <v/>
      </c>
      <c r="S32" s="21"/>
      <c r="T32" s="22"/>
      <c r="U32" s="22"/>
      <c r="V32" s="22"/>
    </row>
    <row r="33" customFormat="false" ht="15" hidden="false" customHeight="false" outlineLevel="0" collapsed="false">
      <c r="A33" s="19" t="str">
        <f aca="false">IF($B33="","","ATL-"&amp;TEXT(ROW()-6,"000"))</f>
        <v/>
      </c>
      <c r="B33" s="20"/>
      <c r="C33" s="21"/>
      <c r="D33" s="19" t="n">
        <f aca="true">IFERROR(DATEDIF($C33,TODAY(),"Y"),"")</f>
        <v>126</v>
      </c>
      <c r="E33" s="22"/>
      <c r="F33" s="22"/>
      <c r="G33" s="22"/>
      <c r="H33" s="22"/>
      <c r="I33" s="22"/>
      <c r="J33" s="23"/>
      <c r="K33" s="24"/>
      <c r="L33" s="25" t="str">
        <f aca="false">IFERROR(ROUND($K33/$J33^2,1),"")</f>
        <v/>
      </c>
      <c r="M33" s="26"/>
      <c r="N33" s="26"/>
      <c r="O33" s="26"/>
      <c r="P33" s="26"/>
      <c r="Q33" s="27" t="str">
        <f aca="false">IF(OR($O33="",$N33=""),"",$O33-$N33)</f>
        <v/>
      </c>
      <c r="R33" s="27" t="str">
        <f aca="false">IF(OR($P33="",$N33=""),"",$P33-$N33)</f>
        <v/>
      </c>
      <c r="S33" s="21"/>
      <c r="T33" s="22"/>
      <c r="U33" s="22"/>
      <c r="V33" s="22"/>
    </row>
    <row r="34" customFormat="false" ht="15" hidden="false" customHeight="false" outlineLevel="0" collapsed="false">
      <c r="A34" s="19" t="str">
        <f aca="false">IF($B34="","","ATL-"&amp;TEXT(ROW()-6,"000"))</f>
        <v/>
      </c>
      <c r="B34" s="20"/>
      <c r="C34" s="21"/>
      <c r="D34" s="19" t="n">
        <f aca="true">IFERROR(DATEDIF($C34,TODAY(),"Y"),"")</f>
        <v>126</v>
      </c>
      <c r="E34" s="22"/>
      <c r="F34" s="22"/>
      <c r="G34" s="22"/>
      <c r="H34" s="22"/>
      <c r="I34" s="22"/>
      <c r="J34" s="23"/>
      <c r="K34" s="24"/>
      <c r="L34" s="25" t="str">
        <f aca="false">IFERROR(ROUND($K34/$J34^2,1),"")</f>
        <v/>
      </c>
      <c r="M34" s="26"/>
      <c r="N34" s="26"/>
      <c r="O34" s="26"/>
      <c r="P34" s="26"/>
      <c r="Q34" s="27" t="str">
        <f aca="false">IF(OR($O34="",$N34=""),"",$O34-$N34)</f>
        <v/>
      </c>
      <c r="R34" s="27" t="str">
        <f aca="false">IF(OR($P34="",$N34=""),"",$P34-$N34)</f>
        <v/>
      </c>
      <c r="S34" s="21"/>
      <c r="T34" s="22"/>
      <c r="U34" s="22"/>
      <c r="V34" s="22"/>
    </row>
    <row r="35" customFormat="false" ht="15" hidden="false" customHeight="false" outlineLevel="0" collapsed="false">
      <c r="A35" s="19" t="str">
        <f aca="false">IF($B35="","","ATL-"&amp;TEXT(ROW()-6,"000"))</f>
        <v/>
      </c>
      <c r="B35" s="20"/>
      <c r="C35" s="21"/>
      <c r="D35" s="19" t="n">
        <f aca="true">IFERROR(DATEDIF($C35,TODAY(),"Y"),"")</f>
        <v>126</v>
      </c>
      <c r="E35" s="22"/>
      <c r="F35" s="22"/>
      <c r="G35" s="22"/>
      <c r="H35" s="22"/>
      <c r="I35" s="22"/>
      <c r="J35" s="23"/>
      <c r="K35" s="24"/>
      <c r="L35" s="25" t="str">
        <f aca="false">IFERROR(ROUND($K35/$J35^2,1),"")</f>
        <v/>
      </c>
      <c r="M35" s="26"/>
      <c r="N35" s="26"/>
      <c r="O35" s="26"/>
      <c r="P35" s="26"/>
      <c r="Q35" s="27" t="str">
        <f aca="false">IF(OR($O35="",$N35=""),"",$O35-$N35)</f>
        <v/>
      </c>
      <c r="R35" s="27" t="str">
        <f aca="false">IF(OR($P35="",$N35=""),"",$P35-$N35)</f>
        <v/>
      </c>
      <c r="S35" s="21"/>
      <c r="T35" s="22"/>
      <c r="U35" s="22"/>
      <c r="V35" s="22"/>
    </row>
    <row r="36" customFormat="false" ht="15" hidden="false" customHeight="false" outlineLevel="0" collapsed="false">
      <c r="A36" s="19" t="str">
        <f aca="false">IF($B36="","","ATL-"&amp;TEXT(ROW()-6,"000"))</f>
        <v/>
      </c>
      <c r="B36" s="20"/>
      <c r="C36" s="21"/>
      <c r="D36" s="19" t="n">
        <f aca="true">IFERROR(DATEDIF($C36,TODAY(),"Y"),"")</f>
        <v>126</v>
      </c>
      <c r="E36" s="22"/>
      <c r="F36" s="22"/>
      <c r="G36" s="22"/>
      <c r="H36" s="22"/>
      <c r="I36" s="22"/>
      <c r="J36" s="23"/>
      <c r="K36" s="24"/>
      <c r="L36" s="25" t="str">
        <f aca="false">IFERROR(ROUND($K36/$J36^2,1),"")</f>
        <v/>
      </c>
      <c r="M36" s="26"/>
      <c r="N36" s="26"/>
      <c r="O36" s="26"/>
      <c r="P36" s="26"/>
      <c r="Q36" s="27" t="str">
        <f aca="false">IF(OR($O36="",$N36=""),"",$O36-$N36)</f>
        <v/>
      </c>
      <c r="R36" s="27" t="str">
        <f aca="false">IF(OR($P36="",$N36=""),"",$P36-$N36)</f>
        <v/>
      </c>
      <c r="S36" s="21"/>
      <c r="T36" s="22"/>
      <c r="U36" s="22"/>
      <c r="V36" s="22"/>
    </row>
    <row r="37" customFormat="false" ht="15" hidden="false" customHeight="false" outlineLevel="0" collapsed="false">
      <c r="A37" s="19" t="str">
        <f aca="false">IF($B37="","","ATL-"&amp;TEXT(ROW()-6,"000"))</f>
        <v/>
      </c>
      <c r="B37" s="20"/>
      <c r="C37" s="21"/>
      <c r="D37" s="19" t="n">
        <f aca="true">IFERROR(DATEDIF($C37,TODAY(),"Y"),"")</f>
        <v>126</v>
      </c>
      <c r="E37" s="22"/>
      <c r="F37" s="22"/>
      <c r="G37" s="22"/>
      <c r="H37" s="22"/>
      <c r="I37" s="22"/>
      <c r="J37" s="23"/>
      <c r="K37" s="24"/>
      <c r="L37" s="25" t="str">
        <f aca="false">IFERROR(ROUND($K37/$J37^2,1),"")</f>
        <v/>
      </c>
      <c r="M37" s="26"/>
      <c r="N37" s="26"/>
      <c r="O37" s="26"/>
      <c r="P37" s="26"/>
      <c r="Q37" s="27" t="str">
        <f aca="false">IF(OR($O37="",$N37=""),"",$O37-$N37)</f>
        <v/>
      </c>
      <c r="R37" s="27" t="str">
        <f aca="false">IF(OR($P37="",$N37=""),"",$P37-$N37)</f>
        <v/>
      </c>
      <c r="S37" s="21"/>
      <c r="T37" s="22"/>
      <c r="U37" s="22"/>
      <c r="V37" s="22"/>
    </row>
    <row r="38" customFormat="false" ht="15" hidden="false" customHeight="false" outlineLevel="0" collapsed="false">
      <c r="A38" s="19" t="str">
        <f aca="false">IF($B38="","","ATL-"&amp;TEXT(ROW()-6,"000"))</f>
        <v/>
      </c>
      <c r="B38" s="20"/>
      <c r="C38" s="21"/>
      <c r="D38" s="19" t="n">
        <f aca="true">IFERROR(DATEDIF($C38,TODAY(),"Y"),"")</f>
        <v>126</v>
      </c>
      <c r="E38" s="22"/>
      <c r="F38" s="22"/>
      <c r="G38" s="22"/>
      <c r="H38" s="22"/>
      <c r="I38" s="22"/>
      <c r="J38" s="23"/>
      <c r="K38" s="24"/>
      <c r="L38" s="25" t="str">
        <f aca="false">IFERROR(ROUND($K38/$J38^2,1),"")</f>
        <v/>
      </c>
      <c r="M38" s="26"/>
      <c r="N38" s="26"/>
      <c r="O38" s="26"/>
      <c r="P38" s="26"/>
      <c r="Q38" s="27" t="str">
        <f aca="false">IF(OR($O38="",$N38=""),"",$O38-$N38)</f>
        <v/>
      </c>
      <c r="R38" s="27" t="str">
        <f aca="false">IF(OR($P38="",$N38=""),"",$P38-$N38)</f>
        <v/>
      </c>
      <c r="S38" s="21"/>
      <c r="T38" s="22"/>
      <c r="U38" s="22"/>
      <c r="V38" s="22"/>
    </row>
    <row r="39" customFormat="false" ht="15" hidden="false" customHeight="false" outlineLevel="0" collapsed="false">
      <c r="A39" s="19" t="str">
        <f aca="false">IF($B39="","","ATL-"&amp;TEXT(ROW()-6,"000"))</f>
        <v/>
      </c>
      <c r="B39" s="20"/>
      <c r="C39" s="21"/>
      <c r="D39" s="19" t="n">
        <f aca="true">IFERROR(DATEDIF($C39,TODAY(),"Y"),"")</f>
        <v>126</v>
      </c>
      <c r="E39" s="22"/>
      <c r="F39" s="22"/>
      <c r="G39" s="22"/>
      <c r="H39" s="22"/>
      <c r="I39" s="22"/>
      <c r="J39" s="23"/>
      <c r="K39" s="24"/>
      <c r="L39" s="25" t="str">
        <f aca="false">IFERROR(ROUND($K39/$J39^2,1),"")</f>
        <v/>
      </c>
      <c r="M39" s="26"/>
      <c r="N39" s="26"/>
      <c r="O39" s="26"/>
      <c r="P39" s="26"/>
      <c r="Q39" s="27" t="str">
        <f aca="false">IF(OR($O39="",$N39=""),"",$O39-$N39)</f>
        <v/>
      </c>
      <c r="R39" s="27" t="str">
        <f aca="false">IF(OR($P39="",$N39=""),"",$P39-$N39)</f>
        <v/>
      </c>
      <c r="S39" s="21"/>
      <c r="T39" s="22"/>
      <c r="U39" s="22"/>
      <c r="V39" s="22"/>
    </row>
    <row r="40" customFormat="false" ht="15" hidden="false" customHeight="false" outlineLevel="0" collapsed="false">
      <c r="A40" s="19" t="str">
        <f aca="false">IF($B40="","","ATL-"&amp;TEXT(ROW()-6,"000"))</f>
        <v/>
      </c>
      <c r="B40" s="20"/>
      <c r="C40" s="21"/>
      <c r="D40" s="19" t="n">
        <f aca="true">IFERROR(DATEDIF($C40,TODAY(),"Y"),"")</f>
        <v>126</v>
      </c>
      <c r="E40" s="22"/>
      <c r="F40" s="22"/>
      <c r="G40" s="22"/>
      <c r="H40" s="22"/>
      <c r="I40" s="22"/>
      <c r="J40" s="23"/>
      <c r="K40" s="24"/>
      <c r="L40" s="25" t="str">
        <f aca="false">IFERROR(ROUND($K40/$J40^2,1),"")</f>
        <v/>
      </c>
      <c r="M40" s="26"/>
      <c r="N40" s="26"/>
      <c r="O40" s="26"/>
      <c r="P40" s="26"/>
      <c r="Q40" s="27" t="str">
        <f aca="false">IF(OR($O40="",$N40=""),"",$O40-$N40)</f>
        <v/>
      </c>
      <c r="R40" s="27" t="str">
        <f aca="false">IF(OR($P40="",$N40=""),"",$P40-$N40)</f>
        <v/>
      </c>
      <c r="S40" s="21"/>
      <c r="T40" s="22"/>
      <c r="U40" s="22"/>
      <c r="V40" s="22"/>
    </row>
    <row r="41" customFormat="false" ht="15" hidden="false" customHeight="false" outlineLevel="0" collapsed="false">
      <c r="A41" s="19" t="str">
        <f aca="false">IF($B41="","","ATL-"&amp;TEXT(ROW()-6,"000"))</f>
        <v/>
      </c>
      <c r="B41" s="20"/>
      <c r="C41" s="21"/>
      <c r="D41" s="19" t="n">
        <f aca="true">IFERROR(DATEDIF($C41,TODAY(),"Y"),"")</f>
        <v>126</v>
      </c>
      <c r="E41" s="22"/>
      <c r="F41" s="22"/>
      <c r="G41" s="22"/>
      <c r="H41" s="22"/>
      <c r="I41" s="22"/>
      <c r="J41" s="23"/>
      <c r="K41" s="24"/>
      <c r="L41" s="25" t="str">
        <f aca="false">IFERROR(ROUND($K41/$J41^2,1),"")</f>
        <v/>
      </c>
      <c r="M41" s="26"/>
      <c r="N41" s="26"/>
      <c r="O41" s="26"/>
      <c r="P41" s="26"/>
      <c r="Q41" s="27" t="str">
        <f aca="false">IF(OR($O41="",$N41=""),"",$O41-$N41)</f>
        <v/>
      </c>
      <c r="R41" s="27" t="str">
        <f aca="false">IF(OR($P41="",$N41=""),"",$P41-$N41)</f>
        <v/>
      </c>
      <c r="S41" s="21"/>
      <c r="T41" s="22"/>
      <c r="U41" s="22"/>
      <c r="V41" s="22"/>
    </row>
    <row r="42" customFormat="false" ht="15" hidden="false" customHeight="false" outlineLevel="0" collapsed="false">
      <c r="A42" s="19" t="str">
        <f aca="false">IF($B42="","","ATL-"&amp;TEXT(ROW()-6,"000"))</f>
        <v/>
      </c>
      <c r="B42" s="20"/>
      <c r="C42" s="21"/>
      <c r="D42" s="19" t="n">
        <f aca="true">IFERROR(DATEDIF($C42,TODAY(),"Y"),"")</f>
        <v>126</v>
      </c>
      <c r="E42" s="22"/>
      <c r="F42" s="22"/>
      <c r="G42" s="22"/>
      <c r="H42" s="22"/>
      <c r="I42" s="22"/>
      <c r="J42" s="23"/>
      <c r="K42" s="24"/>
      <c r="L42" s="25" t="str">
        <f aca="false">IFERROR(ROUND($K42/$J42^2,1),"")</f>
        <v/>
      </c>
      <c r="M42" s="26"/>
      <c r="N42" s="26"/>
      <c r="O42" s="26"/>
      <c r="P42" s="26"/>
      <c r="Q42" s="27" t="str">
        <f aca="false">IF(OR($O42="",$N42=""),"",$O42-$N42)</f>
        <v/>
      </c>
      <c r="R42" s="27" t="str">
        <f aca="false">IF(OR($P42="",$N42=""),"",$P42-$N42)</f>
        <v/>
      </c>
      <c r="S42" s="21"/>
      <c r="T42" s="22"/>
      <c r="U42" s="22"/>
      <c r="V42" s="22"/>
    </row>
    <row r="43" customFormat="false" ht="15" hidden="false" customHeight="false" outlineLevel="0" collapsed="false">
      <c r="A43" s="19" t="str">
        <f aca="false">IF($B43="","","ATL-"&amp;TEXT(ROW()-6,"000"))</f>
        <v/>
      </c>
      <c r="B43" s="20"/>
      <c r="C43" s="21"/>
      <c r="D43" s="19" t="n">
        <f aca="true">IFERROR(DATEDIF($C43,TODAY(),"Y"),"")</f>
        <v>126</v>
      </c>
      <c r="E43" s="22"/>
      <c r="F43" s="22"/>
      <c r="G43" s="22"/>
      <c r="H43" s="22"/>
      <c r="I43" s="22"/>
      <c r="J43" s="23"/>
      <c r="K43" s="24"/>
      <c r="L43" s="25" t="str">
        <f aca="false">IFERROR(ROUND($K43/$J43^2,1),"")</f>
        <v/>
      </c>
      <c r="M43" s="26"/>
      <c r="N43" s="26"/>
      <c r="O43" s="26"/>
      <c r="P43" s="26"/>
      <c r="Q43" s="27" t="str">
        <f aca="false">IF(OR($O43="",$N43=""),"",$O43-$N43)</f>
        <v/>
      </c>
      <c r="R43" s="27" t="str">
        <f aca="false">IF(OR($P43="",$N43=""),"",$P43-$N43)</f>
        <v/>
      </c>
      <c r="S43" s="21"/>
      <c r="T43" s="22"/>
      <c r="U43" s="22"/>
      <c r="V43" s="22"/>
    </row>
    <row r="44" customFormat="false" ht="15" hidden="false" customHeight="false" outlineLevel="0" collapsed="false">
      <c r="A44" s="19" t="str">
        <f aca="false">IF($B44="","","ATL-"&amp;TEXT(ROW()-6,"000"))</f>
        <v/>
      </c>
      <c r="B44" s="20"/>
      <c r="C44" s="21"/>
      <c r="D44" s="19" t="n">
        <f aca="true">IFERROR(DATEDIF($C44,TODAY(),"Y"),"")</f>
        <v>126</v>
      </c>
      <c r="E44" s="22"/>
      <c r="F44" s="22"/>
      <c r="G44" s="22"/>
      <c r="H44" s="22"/>
      <c r="I44" s="22"/>
      <c r="J44" s="23"/>
      <c r="K44" s="24"/>
      <c r="L44" s="25" t="str">
        <f aca="false">IFERROR(ROUND($K44/$J44^2,1),"")</f>
        <v/>
      </c>
      <c r="M44" s="26"/>
      <c r="N44" s="26"/>
      <c r="O44" s="26"/>
      <c r="P44" s="26"/>
      <c r="Q44" s="27" t="str">
        <f aca="false">IF(OR($O44="",$N44=""),"",$O44-$N44)</f>
        <v/>
      </c>
      <c r="R44" s="27" t="str">
        <f aca="false">IF(OR($P44="",$N44=""),"",$P44-$N44)</f>
        <v/>
      </c>
      <c r="S44" s="21"/>
      <c r="T44" s="22"/>
      <c r="U44" s="22"/>
      <c r="V44" s="22"/>
    </row>
    <row r="45" customFormat="false" ht="15" hidden="false" customHeight="false" outlineLevel="0" collapsed="false">
      <c r="A45" s="19" t="str">
        <f aca="false">IF($B45="","","ATL-"&amp;TEXT(ROW()-6,"000"))</f>
        <v/>
      </c>
      <c r="B45" s="20"/>
      <c r="C45" s="21"/>
      <c r="D45" s="19" t="n">
        <f aca="true">IFERROR(DATEDIF($C45,TODAY(),"Y"),"")</f>
        <v>126</v>
      </c>
      <c r="E45" s="22"/>
      <c r="F45" s="22"/>
      <c r="G45" s="22"/>
      <c r="H45" s="22"/>
      <c r="I45" s="22"/>
      <c r="J45" s="23"/>
      <c r="K45" s="24"/>
      <c r="L45" s="25" t="str">
        <f aca="false">IFERROR(ROUND($K45/$J45^2,1),"")</f>
        <v/>
      </c>
      <c r="M45" s="26"/>
      <c r="N45" s="26"/>
      <c r="O45" s="26"/>
      <c r="P45" s="26"/>
      <c r="Q45" s="27" t="str">
        <f aca="false">IF(OR($O45="",$N45=""),"",$O45-$N45)</f>
        <v/>
      </c>
      <c r="R45" s="27" t="str">
        <f aca="false">IF(OR($P45="",$N45=""),"",$P45-$N45)</f>
        <v/>
      </c>
      <c r="S45" s="21"/>
      <c r="T45" s="22"/>
      <c r="U45" s="22"/>
      <c r="V45" s="22"/>
    </row>
    <row r="46" customFormat="false" ht="15" hidden="false" customHeight="false" outlineLevel="0" collapsed="false">
      <c r="A46" s="19" t="str">
        <f aca="false">IF($B46="","","ATL-"&amp;TEXT(ROW()-6,"000"))</f>
        <v/>
      </c>
      <c r="B46" s="20"/>
      <c r="C46" s="21"/>
      <c r="D46" s="19" t="n">
        <f aca="true">IFERROR(DATEDIF($C46,TODAY(),"Y"),"")</f>
        <v>126</v>
      </c>
      <c r="E46" s="22"/>
      <c r="F46" s="22"/>
      <c r="G46" s="22"/>
      <c r="H46" s="22"/>
      <c r="I46" s="22"/>
      <c r="J46" s="23"/>
      <c r="K46" s="24"/>
      <c r="L46" s="25" t="str">
        <f aca="false">IFERROR(ROUND($K46/$J46^2,1),"")</f>
        <v/>
      </c>
      <c r="M46" s="26"/>
      <c r="N46" s="26"/>
      <c r="O46" s="26"/>
      <c r="P46" s="26"/>
      <c r="Q46" s="27" t="str">
        <f aca="false">IF(OR($O46="",$N46=""),"",$O46-$N46)</f>
        <v/>
      </c>
      <c r="R46" s="27" t="str">
        <f aca="false">IF(OR($P46="",$N46=""),"",$P46-$N46)</f>
        <v/>
      </c>
      <c r="S46" s="21"/>
      <c r="T46" s="22"/>
      <c r="U46" s="22"/>
      <c r="V46" s="22"/>
    </row>
    <row r="47" customFormat="false" ht="15" hidden="false" customHeight="false" outlineLevel="0" collapsed="false">
      <c r="A47" s="19" t="str">
        <f aca="false">IF($B47="","","ATL-"&amp;TEXT(ROW()-6,"000"))</f>
        <v/>
      </c>
      <c r="B47" s="20"/>
      <c r="C47" s="21"/>
      <c r="D47" s="19" t="n">
        <f aca="true">IFERROR(DATEDIF($C47,TODAY(),"Y"),"")</f>
        <v>126</v>
      </c>
      <c r="E47" s="22"/>
      <c r="F47" s="22"/>
      <c r="G47" s="22"/>
      <c r="H47" s="22"/>
      <c r="I47" s="22"/>
      <c r="J47" s="23"/>
      <c r="K47" s="24"/>
      <c r="L47" s="25" t="str">
        <f aca="false">IFERROR(ROUND($K47/$J47^2,1),"")</f>
        <v/>
      </c>
      <c r="M47" s="26"/>
      <c r="N47" s="26"/>
      <c r="O47" s="26"/>
      <c r="P47" s="26"/>
      <c r="Q47" s="27" t="str">
        <f aca="false">IF(OR($O47="",$N47=""),"",$O47-$N47)</f>
        <v/>
      </c>
      <c r="R47" s="27" t="str">
        <f aca="false">IF(OR($P47="",$N47=""),"",$P47-$N47)</f>
        <v/>
      </c>
      <c r="S47" s="21"/>
      <c r="T47" s="22"/>
      <c r="U47" s="22"/>
      <c r="V47" s="22"/>
    </row>
    <row r="48" customFormat="false" ht="15" hidden="false" customHeight="false" outlineLevel="0" collapsed="false">
      <c r="A48" s="19" t="str">
        <f aca="false">IF($B48="","","ATL-"&amp;TEXT(ROW()-6,"000"))</f>
        <v/>
      </c>
      <c r="B48" s="20"/>
      <c r="C48" s="21"/>
      <c r="D48" s="19" t="n">
        <f aca="true">IFERROR(DATEDIF($C48,TODAY(),"Y"),"")</f>
        <v>126</v>
      </c>
      <c r="E48" s="22"/>
      <c r="F48" s="22"/>
      <c r="G48" s="22"/>
      <c r="H48" s="22"/>
      <c r="I48" s="22"/>
      <c r="J48" s="23"/>
      <c r="K48" s="24"/>
      <c r="L48" s="25" t="str">
        <f aca="false">IFERROR(ROUND($K48/$J48^2,1),"")</f>
        <v/>
      </c>
      <c r="M48" s="26"/>
      <c r="N48" s="26"/>
      <c r="O48" s="26"/>
      <c r="P48" s="26"/>
      <c r="Q48" s="27" t="str">
        <f aca="false">IF(OR($O48="",$N48=""),"",$O48-$N48)</f>
        <v/>
      </c>
      <c r="R48" s="27" t="str">
        <f aca="false">IF(OR($P48="",$N48=""),"",$P48-$N48)</f>
        <v/>
      </c>
      <c r="S48" s="21"/>
      <c r="T48" s="22"/>
      <c r="U48" s="22"/>
      <c r="V48" s="22"/>
    </row>
    <row r="49" customFormat="false" ht="15" hidden="false" customHeight="false" outlineLevel="0" collapsed="false">
      <c r="A49" s="19" t="str">
        <f aca="false">IF($B49="","","ATL-"&amp;TEXT(ROW()-6,"000"))</f>
        <v/>
      </c>
      <c r="B49" s="20"/>
      <c r="C49" s="21"/>
      <c r="D49" s="19" t="n">
        <f aca="true">IFERROR(DATEDIF($C49,TODAY(),"Y"),"")</f>
        <v>126</v>
      </c>
      <c r="E49" s="22"/>
      <c r="F49" s="22"/>
      <c r="G49" s="22"/>
      <c r="H49" s="22"/>
      <c r="I49" s="22"/>
      <c r="J49" s="23"/>
      <c r="K49" s="24"/>
      <c r="L49" s="25" t="str">
        <f aca="false">IFERROR(ROUND($K49/$J49^2,1),"")</f>
        <v/>
      </c>
      <c r="M49" s="26"/>
      <c r="N49" s="26"/>
      <c r="O49" s="26"/>
      <c r="P49" s="26"/>
      <c r="Q49" s="27" t="str">
        <f aca="false">IF(OR($O49="",$N49=""),"",$O49-$N49)</f>
        <v/>
      </c>
      <c r="R49" s="27" t="str">
        <f aca="false">IF(OR($P49="",$N49=""),"",$P49-$N49)</f>
        <v/>
      </c>
      <c r="S49" s="21"/>
      <c r="T49" s="22"/>
      <c r="U49" s="22"/>
      <c r="V49" s="22"/>
    </row>
    <row r="50" customFormat="false" ht="15" hidden="false" customHeight="false" outlineLevel="0" collapsed="false">
      <c r="A50" s="19" t="str">
        <f aca="false">IF($B50="","","ATL-"&amp;TEXT(ROW()-6,"000"))</f>
        <v/>
      </c>
      <c r="B50" s="20"/>
      <c r="C50" s="21"/>
      <c r="D50" s="19" t="n">
        <f aca="true">IFERROR(DATEDIF($C50,TODAY(),"Y"),"")</f>
        <v>126</v>
      </c>
      <c r="E50" s="22"/>
      <c r="F50" s="22"/>
      <c r="G50" s="22"/>
      <c r="H50" s="22"/>
      <c r="I50" s="22"/>
      <c r="J50" s="23"/>
      <c r="K50" s="24"/>
      <c r="L50" s="25" t="str">
        <f aca="false">IFERROR(ROUND($K50/$J50^2,1),"")</f>
        <v/>
      </c>
      <c r="M50" s="26"/>
      <c r="N50" s="26"/>
      <c r="O50" s="26"/>
      <c r="P50" s="26"/>
      <c r="Q50" s="27" t="str">
        <f aca="false">IF(OR($O50="",$N50=""),"",$O50-$N50)</f>
        <v/>
      </c>
      <c r="R50" s="27" t="str">
        <f aca="false">IF(OR($P50="",$N50=""),"",$P50-$N50)</f>
        <v/>
      </c>
      <c r="S50" s="21"/>
      <c r="T50" s="22"/>
      <c r="U50" s="22"/>
      <c r="V50" s="22"/>
    </row>
    <row r="51" customFormat="false" ht="15" hidden="false" customHeight="false" outlineLevel="0" collapsed="false">
      <c r="A51" s="19" t="str">
        <f aca="false">IF($B51="","","ATL-"&amp;TEXT(ROW()-6,"000"))</f>
        <v/>
      </c>
      <c r="B51" s="20"/>
      <c r="C51" s="21"/>
      <c r="D51" s="19" t="n">
        <f aca="true">IFERROR(DATEDIF($C51,TODAY(),"Y"),"")</f>
        <v>126</v>
      </c>
      <c r="E51" s="22"/>
      <c r="F51" s="22"/>
      <c r="G51" s="22"/>
      <c r="H51" s="22"/>
      <c r="I51" s="22"/>
      <c r="J51" s="23"/>
      <c r="K51" s="24"/>
      <c r="L51" s="25" t="str">
        <f aca="false">IFERROR(ROUND($K51/$J51^2,1),"")</f>
        <v/>
      </c>
      <c r="M51" s="26"/>
      <c r="N51" s="26"/>
      <c r="O51" s="26"/>
      <c r="P51" s="26"/>
      <c r="Q51" s="27" t="str">
        <f aca="false">IF(OR($O51="",$N51=""),"",$O51-$N51)</f>
        <v/>
      </c>
      <c r="R51" s="27" t="str">
        <f aca="false">IF(OR($P51="",$N51=""),"",$P51-$N51)</f>
        <v/>
      </c>
      <c r="S51" s="21"/>
      <c r="T51" s="22"/>
      <c r="U51" s="22"/>
      <c r="V51" s="22"/>
    </row>
    <row r="52" customFormat="false" ht="15" hidden="false" customHeight="false" outlineLevel="0" collapsed="false">
      <c r="A52" s="19" t="str">
        <f aca="false">IF($B52="","","ATL-"&amp;TEXT(ROW()-6,"000"))</f>
        <v/>
      </c>
      <c r="B52" s="20"/>
      <c r="C52" s="21"/>
      <c r="D52" s="19" t="n">
        <f aca="true">IFERROR(DATEDIF($C52,TODAY(),"Y"),"")</f>
        <v>126</v>
      </c>
      <c r="E52" s="22"/>
      <c r="F52" s="22"/>
      <c r="G52" s="22"/>
      <c r="H52" s="22"/>
      <c r="I52" s="22"/>
      <c r="J52" s="23"/>
      <c r="K52" s="24"/>
      <c r="L52" s="25" t="str">
        <f aca="false">IFERROR(ROUND($K52/$J52^2,1),"")</f>
        <v/>
      </c>
      <c r="M52" s="26"/>
      <c r="N52" s="26"/>
      <c r="O52" s="26"/>
      <c r="P52" s="26"/>
      <c r="Q52" s="27" t="str">
        <f aca="false">IF(OR($O52="",$N52=""),"",$O52-$N52)</f>
        <v/>
      </c>
      <c r="R52" s="27" t="str">
        <f aca="false">IF(OR($P52="",$N52=""),"",$P52-$N52)</f>
        <v/>
      </c>
      <c r="S52" s="21"/>
      <c r="T52" s="22"/>
      <c r="U52" s="22"/>
      <c r="V52" s="22"/>
    </row>
    <row r="53" customFormat="false" ht="15" hidden="false" customHeight="false" outlineLevel="0" collapsed="false">
      <c r="A53" s="19" t="str">
        <f aca="false">IF($B53="","","ATL-"&amp;TEXT(ROW()-6,"000"))</f>
        <v/>
      </c>
      <c r="B53" s="20"/>
      <c r="C53" s="21"/>
      <c r="D53" s="19" t="n">
        <f aca="true">IFERROR(DATEDIF($C53,TODAY(),"Y"),"")</f>
        <v>126</v>
      </c>
      <c r="E53" s="22"/>
      <c r="F53" s="22"/>
      <c r="G53" s="22"/>
      <c r="H53" s="22"/>
      <c r="I53" s="22"/>
      <c r="J53" s="23"/>
      <c r="K53" s="24"/>
      <c r="L53" s="25" t="str">
        <f aca="false">IFERROR(ROUND($K53/$J53^2,1),"")</f>
        <v/>
      </c>
      <c r="M53" s="26"/>
      <c r="N53" s="26"/>
      <c r="O53" s="26"/>
      <c r="P53" s="26"/>
      <c r="Q53" s="27" t="str">
        <f aca="false">IF(OR($O53="",$N53=""),"",$O53-$N53)</f>
        <v/>
      </c>
      <c r="R53" s="27" t="str">
        <f aca="false">IF(OR($P53="",$N53=""),"",$P53-$N53)</f>
        <v/>
      </c>
      <c r="S53" s="21"/>
      <c r="T53" s="22"/>
      <c r="U53" s="22"/>
      <c r="V53" s="22"/>
    </row>
    <row r="54" customFormat="false" ht="15" hidden="false" customHeight="false" outlineLevel="0" collapsed="false">
      <c r="A54" s="19" t="str">
        <f aca="false">IF($B54="","","ATL-"&amp;TEXT(ROW()-6,"000"))</f>
        <v/>
      </c>
      <c r="B54" s="20"/>
      <c r="C54" s="21"/>
      <c r="D54" s="19" t="n">
        <f aca="true">IFERROR(DATEDIF($C54,TODAY(),"Y"),"")</f>
        <v>126</v>
      </c>
      <c r="E54" s="22"/>
      <c r="F54" s="22"/>
      <c r="G54" s="22"/>
      <c r="H54" s="22"/>
      <c r="I54" s="22"/>
      <c r="J54" s="23"/>
      <c r="K54" s="24"/>
      <c r="L54" s="25" t="str">
        <f aca="false">IFERROR(ROUND($K54/$J54^2,1),"")</f>
        <v/>
      </c>
      <c r="M54" s="26"/>
      <c r="N54" s="26"/>
      <c r="O54" s="26"/>
      <c r="P54" s="26"/>
      <c r="Q54" s="27" t="str">
        <f aca="false">IF(OR($O54="",$N54=""),"",$O54-$N54)</f>
        <v/>
      </c>
      <c r="R54" s="27" t="str">
        <f aca="false">IF(OR($P54="",$N54=""),"",$P54-$N54)</f>
        <v/>
      </c>
      <c r="S54" s="21"/>
      <c r="T54" s="22"/>
      <c r="U54" s="22"/>
      <c r="V54" s="22"/>
    </row>
    <row r="55" customFormat="false" ht="15" hidden="false" customHeight="false" outlineLevel="0" collapsed="false">
      <c r="A55" s="19" t="str">
        <f aca="false">IF($B55="","","ATL-"&amp;TEXT(ROW()-6,"000"))</f>
        <v/>
      </c>
      <c r="B55" s="20"/>
      <c r="C55" s="21"/>
      <c r="D55" s="19" t="n">
        <f aca="true">IFERROR(DATEDIF($C55,TODAY(),"Y"),"")</f>
        <v>126</v>
      </c>
      <c r="E55" s="22"/>
      <c r="F55" s="22"/>
      <c r="G55" s="22"/>
      <c r="H55" s="22"/>
      <c r="I55" s="22"/>
      <c r="J55" s="23"/>
      <c r="K55" s="24"/>
      <c r="L55" s="25" t="str">
        <f aca="false">IFERROR(ROUND($K55/$J55^2,1),"")</f>
        <v/>
      </c>
      <c r="M55" s="26"/>
      <c r="N55" s="26"/>
      <c r="O55" s="26"/>
      <c r="P55" s="26"/>
      <c r="Q55" s="27" t="str">
        <f aca="false">IF(OR($O55="",$N55=""),"",$O55-$N55)</f>
        <v/>
      </c>
      <c r="R55" s="27" t="str">
        <f aca="false">IF(OR($P55="",$N55=""),"",$P55-$N55)</f>
        <v/>
      </c>
      <c r="S55" s="21"/>
      <c r="T55" s="22"/>
      <c r="U55" s="22"/>
      <c r="V55" s="22"/>
    </row>
    <row r="56" customFormat="false" ht="15" hidden="false" customHeight="false" outlineLevel="0" collapsed="false">
      <c r="A56" s="19" t="str">
        <f aca="false">IF($B56="","","ATL-"&amp;TEXT(ROW()-6,"000"))</f>
        <v/>
      </c>
      <c r="B56" s="20"/>
      <c r="C56" s="21"/>
      <c r="D56" s="19" t="n">
        <f aca="true">IFERROR(DATEDIF($C56,TODAY(),"Y"),"")</f>
        <v>126</v>
      </c>
      <c r="E56" s="22"/>
      <c r="F56" s="22"/>
      <c r="G56" s="22"/>
      <c r="H56" s="22"/>
      <c r="I56" s="22"/>
      <c r="J56" s="23"/>
      <c r="K56" s="24"/>
      <c r="L56" s="25" t="str">
        <f aca="false">IFERROR(ROUND($K56/$J56^2,1),"")</f>
        <v/>
      </c>
      <c r="M56" s="26"/>
      <c r="N56" s="26"/>
      <c r="O56" s="26"/>
      <c r="P56" s="26"/>
      <c r="Q56" s="27" t="str">
        <f aca="false">IF(OR($O56="",$N56=""),"",$O56-$N56)</f>
        <v/>
      </c>
      <c r="R56" s="27" t="str">
        <f aca="false">IF(OR($P56="",$N56=""),"",$P56-$N56)</f>
        <v/>
      </c>
      <c r="S56" s="21"/>
      <c r="T56" s="22"/>
      <c r="U56" s="22"/>
      <c r="V56" s="22"/>
    </row>
    <row r="57" customFormat="false" ht="15" hidden="false" customHeight="false" outlineLevel="0" collapsed="false">
      <c r="A57" s="19" t="str">
        <f aca="false">IF($B57="","","ATL-"&amp;TEXT(ROW()-6,"000"))</f>
        <v/>
      </c>
      <c r="B57" s="20"/>
      <c r="C57" s="21"/>
      <c r="D57" s="19" t="n">
        <f aca="true">IFERROR(DATEDIF($C57,TODAY(),"Y"),"")</f>
        <v>126</v>
      </c>
      <c r="E57" s="22"/>
      <c r="F57" s="22"/>
      <c r="G57" s="22"/>
      <c r="H57" s="22"/>
      <c r="I57" s="22"/>
      <c r="J57" s="23"/>
      <c r="K57" s="24"/>
      <c r="L57" s="25" t="str">
        <f aca="false">IFERROR(ROUND($K57/$J57^2,1),"")</f>
        <v/>
      </c>
      <c r="M57" s="26"/>
      <c r="N57" s="26"/>
      <c r="O57" s="26"/>
      <c r="P57" s="26"/>
      <c r="Q57" s="27" t="str">
        <f aca="false">IF(OR($O57="",$N57=""),"",$O57-$N57)</f>
        <v/>
      </c>
      <c r="R57" s="27" t="str">
        <f aca="false">IF(OR($P57="",$N57=""),"",$P57-$N57)</f>
        <v/>
      </c>
      <c r="S57" s="21"/>
      <c r="T57" s="22"/>
      <c r="U57" s="22"/>
      <c r="V57" s="22"/>
    </row>
    <row r="58" customFormat="false" ht="15" hidden="false" customHeight="false" outlineLevel="0" collapsed="false">
      <c r="A58" s="19" t="str">
        <f aca="false">IF($B58="","","ATL-"&amp;TEXT(ROW()-6,"000"))</f>
        <v/>
      </c>
      <c r="B58" s="20"/>
      <c r="C58" s="21"/>
      <c r="D58" s="19" t="n">
        <f aca="true">IFERROR(DATEDIF($C58,TODAY(),"Y"),"")</f>
        <v>126</v>
      </c>
      <c r="E58" s="22"/>
      <c r="F58" s="22"/>
      <c r="G58" s="22"/>
      <c r="H58" s="22"/>
      <c r="I58" s="22"/>
      <c r="J58" s="23"/>
      <c r="K58" s="24"/>
      <c r="L58" s="25" t="str">
        <f aca="false">IFERROR(ROUND($K58/$J58^2,1),"")</f>
        <v/>
      </c>
      <c r="M58" s="26"/>
      <c r="N58" s="26"/>
      <c r="O58" s="26"/>
      <c r="P58" s="26"/>
      <c r="Q58" s="27" t="str">
        <f aca="false">IF(OR($O58="",$N58=""),"",$O58-$N58)</f>
        <v/>
      </c>
      <c r="R58" s="27" t="str">
        <f aca="false">IF(OR($P58="",$N58=""),"",$P58-$N58)</f>
        <v/>
      </c>
      <c r="S58" s="21"/>
      <c r="T58" s="22"/>
      <c r="U58" s="22"/>
      <c r="V58" s="22"/>
    </row>
    <row r="59" customFormat="false" ht="15" hidden="false" customHeight="false" outlineLevel="0" collapsed="false">
      <c r="A59" s="19" t="str">
        <f aca="false">IF($B59="","","ATL-"&amp;TEXT(ROW()-6,"000"))</f>
        <v/>
      </c>
      <c r="B59" s="20"/>
      <c r="C59" s="21"/>
      <c r="D59" s="19" t="n">
        <f aca="true">IFERROR(DATEDIF($C59,TODAY(),"Y"),"")</f>
        <v>126</v>
      </c>
      <c r="E59" s="22"/>
      <c r="F59" s="22"/>
      <c r="G59" s="22"/>
      <c r="H59" s="22"/>
      <c r="I59" s="22"/>
      <c r="J59" s="23"/>
      <c r="K59" s="24"/>
      <c r="L59" s="25" t="str">
        <f aca="false">IFERROR(ROUND($K59/$J59^2,1),"")</f>
        <v/>
      </c>
      <c r="M59" s="26"/>
      <c r="N59" s="26"/>
      <c r="O59" s="26"/>
      <c r="P59" s="26"/>
      <c r="Q59" s="27" t="str">
        <f aca="false">IF(OR($O59="",$N59=""),"",$O59-$N59)</f>
        <v/>
      </c>
      <c r="R59" s="27" t="str">
        <f aca="false">IF(OR($P59="",$N59=""),"",$P59-$N59)</f>
        <v/>
      </c>
      <c r="S59" s="21"/>
      <c r="T59" s="22"/>
      <c r="U59" s="22"/>
      <c r="V59" s="22"/>
    </row>
    <row r="60" customFormat="false" ht="15" hidden="false" customHeight="false" outlineLevel="0" collapsed="false">
      <c r="A60" s="19" t="str">
        <f aca="false">IF($B60="","","ATL-"&amp;TEXT(ROW()-6,"000"))</f>
        <v/>
      </c>
      <c r="B60" s="20"/>
      <c r="C60" s="21"/>
      <c r="D60" s="19" t="n">
        <f aca="true">IFERROR(DATEDIF($C60,TODAY(),"Y"),"")</f>
        <v>126</v>
      </c>
      <c r="E60" s="22"/>
      <c r="F60" s="22"/>
      <c r="G60" s="22"/>
      <c r="H60" s="22"/>
      <c r="I60" s="22"/>
      <c r="J60" s="23"/>
      <c r="K60" s="24"/>
      <c r="L60" s="25" t="str">
        <f aca="false">IFERROR(ROUND($K60/$J60^2,1),"")</f>
        <v/>
      </c>
      <c r="M60" s="26"/>
      <c r="N60" s="26"/>
      <c r="O60" s="26"/>
      <c r="P60" s="26"/>
      <c r="Q60" s="27" t="str">
        <f aca="false">IF(OR($O60="",$N60=""),"",$O60-$N60)</f>
        <v/>
      </c>
      <c r="R60" s="27" t="str">
        <f aca="false">IF(OR($P60="",$N60=""),"",$P60-$N60)</f>
        <v/>
      </c>
      <c r="S60" s="21"/>
      <c r="T60" s="22"/>
      <c r="U60" s="22"/>
      <c r="V60" s="22"/>
    </row>
    <row r="61" customFormat="false" ht="15" hidden="false" customHeight="false" outlineLevel="0" collapsed="false">
      <c r="A61" s="19" t="str">
        <f aca="false">IF($B61="","","ATL-"&amp;TEXT(ROW()-6,"000"))</f>
        <v/>
      </c>
      <c r="B61" s="20"/>
      <c r="C61" s="21"/>
      <c r="D61" s="19" t="n">
        <f aca="true">IFERROR(DATEDIF($C61,TODAY(),"Y"),"")</f>
        <v>126</v>
      </c>
      <c r="E61" s="22"/>
      <c r="F61" s="22"/>
      <c r="G61" s="22"/>
      <c r="H61" s="22"/>
      <c r="I61" s="22"/>
      <c r="J61" s="23"/>
      <c r="K61" s="24"/>
      <c r="L61" s="25" t="str">
        <f aca="false">IFERROR(ROUND($K61/$J61^2,1),"")</f>
        <v/>
      </c>
      <c r="M61" s="26"/>
      <c r="N61" s="26"/>
      <c r="O61" s="26"/>
      <c r="P61" s="26"/>
      <c r="Q61" s="27" t="str">
        <f aca="false">IF(OR($O61="",$N61=""),"",$O61-$N61)</f>
        <v/>
      </c>
      <c r="R61" s="27" t="str">
        <f aca="false">IF(OR($P61="",$N61=""),"",$P61-$N61)</f>
        <v/>
      </c>
      <c r="S61" s="21"/>
      <c r="T61" s="22"/>
      <c r="U61" s="22"/>
      <c r="V61" s="22"/>
    </row>
    <row r="62" customFormat="false" ht="15" hidden="false" customHeight="false" outlineLevel="0" collapsed="false">
      <c r="A62" s="19" t="str">
        <f aca="false">IF($B62="","","ATL-"&amp;TEXT(ROW()-6,"000"))</f>
        <v/>
      </c>
      <c r="B62" s="20"/>
      <c r="C62" s="21"/>
      <c r="D62" s="19" t="n">
        <f aca="true">IFERROR(DATEDIF($C62,TODAY(),"Y"),"")</f>
        <v>126</v>
      </c>
      <c r="E62" s="22"/>
      <c r="F62" s="22"/>
      <c r="G62" s="22"/>
      <c r="H62" s="22"/>
      <c r="I62" s="22"/>
      <c r="J62" s="23"/>
      <c r="K62" s="24"/>
      <c r="L62" s="25" t="str">
        <f aca="false">IFERROR(ROUND($K62/$J62^2,1),"")</f>
        <v/>
      </c>
      <c r="M62" s="26"/>
      <c r="N62" s="26"/>
      <c r="O62" s="26"/>
      <c r="P62" s="26"/>
      <c r="Q62" s="27" t="str">
        <f aca="false">IF(OR($O62="",$N62=""),"",$O62-$N62)</f>
        <v/>
      </c>
      <c r="R62" s="27" t="str">
        <f aca="false">IF(OR($P62="",$N62=""),"",$P62-$N62)</f>
        <v/>
      </c>
      <c r="S62" s="21"/>
      <c r="T62" s="22"/>
      <c r="U62" s="22"/>
      <c r="V62" s="22"/>
    </row>
    <row r="63" customFormat="false" ht="15" hidden="false" customHeight="false" outlineLevel="0" collapsed="false">
      <c r="A63" s="19" t="str">
        <f aca="false">IF($B63="","","ATL-"&amp;TEXT(ROW()-6,"000"))</f>
        <v/>
      </c>
      <c r="B63" s="20"/>
      <c r="C63" s="21"/>
      <c r="D63" s="19" t="n">
        <f aca="true">IFERROR(DATEDIF($C63,TODAY(),"Y"),"")</f>
        <v>126</v>
      </c>
      <c r="E63" s="22"/>
      <c r="F63" s="22"/>
      <c r="G63" s="22"/>
      <c r="H63" s="22"/>
      <c r="I63" s="22"/>
      <c r="J63" s="23"/>
      <c r="K63" s="24"/>
      <c r="L63" s="25" t="str">
        <f aca="false">IFERROR(ROUND($K63/$J63^2,1),"")</f>
        <v/>
      </c>
      <c r="M63" s="26"/>
      <c r="N63" s="26"/>
      <c r="O63" s="26"/>
      <c r="P63" s="26"/>
      <c r="Q63" s="27" t="str">
        <f aca="false">IF(OR($O63="",$N63=""),"",$O63-$N63)</f>
        <v/>
      </c>
      <c r="R63" s="27" t="str">
        <f aca="false">IF(OR($P63="",$N63=""),"",$P63-$N63)</f>
        <v/>
      </c>
      <c r="S63" s="21"/>
      <c r="T63" s="22"/>
      <c r="U63" s="22"/>
      <c r="V63" s="22"/>
    </row>
    <row r="64" customFormat="false" ht="15" hidden="false" customHeight="false" outlineLevel="0" collapsed="false">
      <c r="A64" s="19" t="str">
        <f aca="false">IF($B64="","","ATL-"&amp;TEXT(ROW()-6,"000"))</f>
        <v/>
      </c>
      <c r="B64" s="20"/>
      <c r="C64" s="21"/>
      <c r="D64" s="19" t="n">
        <f aca="true">IFERROR(DATEDIF($C64,TODAY(),"Y"),"")</f>
        <v>126</v>
      </c>
      <c r="E64" s="22"/>
      <c r="F64" s="22"/>
      <c r="G64" s="22"/>
      <c r="H64" s="22"/>
      <c r="I64" s="22"/>
      <c r="J64" s="23"/>
      <c r="K64" s="24"/>
      <c r="L64" s="25" t="str">
        <f aca="false">IFERROR(ROUND($K64/$J64^2,1),"")</f>
        <v/>
      </c>
      <c r="M64" s="26"/>
      <c r="N64" s="26"/>
      <c r="O64" s="26"/>
      <c r="P64" s="26"/>
      <c r="Q64" s="27" t="str">
        <f aca="false">IF(OR($O64="",$N64=""),"",$O64-$N64)</f>
        <v/>
      </c>
      <c r="R64" s="27" t="str">
        <f aca="false">IF(OR($P64="",$N64=""),"",$P64-$N64)</f>
        <v/>
      </c>
      <c r="S64" s="21"/>
      <c r="T64" s="22"/>
      <c r="U64" s="22"/>
      <c r="V64" s="22"/>
    </row>
    <row r="65" customFormat="false" ht="15" hidden="false" customHeight="false" outlineLevel="0" collapsed="false">
      <c r="A65" s="19" t="str">
        <f aca="false">IF($B65="","","ATL-"&amp;TEXT(ROW()-6,"000"))</f>
        <v/>
      </c>
      <c r="B65" s="20"/>
      <c r="C65" s="21"/>
      <c r="D65" s="19" t="n">
        <f aca="true">IFERROR(DATEDIF($C65,TODAY(),"Y"),"")</f>
        <v>126</v>
      </c>
      <c r="E65" s="22"/>
      <c r="F65" s="22"/>
      <c r="G65" s="22"/>
      <c r="H65" s="22"/>
      <c r="I65" s="22"/>
      <c r="J65" s="23"/>
      <c r="K65" s="24"/>
      <c r="L65" s="25" t="str">
        <f aca="false">IFERROR(ROUND($K65/$J65^2,1),"")</f>
        <v/>
      </c>
      <c r="M65" s="26"/>
      <c r="N65" s="26"/>
      <c r="O65" s="26"/>
      <c r="P65" s="26"/>
      <c r="Q65" s="27" t="str">
        <f aca="false">IF(OR($O65="",$N65=""),"",$O65-$N65)</f>
        <v/>
      </c>
      <c r="R65" s="27" t="str">
        <f aca="false">IF(OR($P65="",$N65=""),"",$P65-$N65)</f>
        <v/>
      </c>
      <c r="S65" s="21"/>
      <c r="T65" s="22"/>
      <c r="U65" s="22"/>
      <c r="V65" s="22"/>
    </row>
    <row r="66" customFormat="false" ht="15" hidden="false" customHeight="false" outlineLevel="0" collapsed="false">
      <c r="A66" s="19" t="str">
        <f aca="false">IF($B66="","","ATL-"&amp;TEXT(ROW()-6,"000"))</f>
        <v/>
      </c>
      <c r="B66" s="20"/>
      <c r="C66" s="21"/>
      <c r="D66" s="19" t="n">
        <f aca="true">IFERROR(DATEDIF($C66,TODAY(),"Y"),"")</f>
        <v>126</v>
      </c>
      <c r="E66" s="22"/>
      <c r="F66" s="22"/>
      <c r="G66" s="22"/>
      <c r="H66" s="22"/>
      <c r="I66" s="22"/>
      <c r="J66" s="23"/>
      <c r="K66" s="24"/>
      <c r="L66" s="25" t="str">
        <f aca="false">IFERROR(ROUND($K66/$J66^2,1),"")</f>
        <v/>
      </c>
      <c r="M66" s="26"/>
      <c r="N66" s="26"/>
      <c r="O66" s="26"/>
      <c r="P66" s="26"/>
      <c r="Q66" s="27" t="str">
        <f aca="false">IF(OR($O66="",$N66=""),"",$O66-$N66)</f>
        <v/>
      </c>
      <c r="R66" s="27" t="str">
        <f aca="false">IF(OR($P66="",$N66=""),"",$P66-$N66)</f>
        <v/>
      </c>
      <c r="S66" s="21"/>
      <c r="T66" s="22"/>
      <c r="U66" s="22"/>
      <c r="V66" s="22"/>
    </row>
  </sheetData>
  <autoFilter ref="A6:V66"/>
  <mergeCells count="3">
    <mergeCell ref="A1:V1"/>
    <mergeCell ref="A2:V2"/>
    <mergeCell ref="B4:V4"/>
  </mergeCells>
  <conditionalFormatting sqref="T7:T66">
    <cfRule type="cellIs" priority="2" operator="equal" aboveAverage="0" equalAverage="0" bottom="0" percent="0" rank="0" text="" dxfId="6">
      <formula>"Ativo"</formula>
    </cfRule>
    <cfRule type="cellIs" priority="3" operator="equal" aboveAverage="0" equalAverage="0" bottom="0" percent="0" rank="0" text="" dxfId="7">
      <formula>"Lesionado"</formula>
    </cfRule>
    <cfRule type="cellIs" priority="4" operator="equal" aboveAverage="0" equalAverage="0" bottom="0" percent="0" rank="0" text="" dxfId="7">
      <formula>"Departamento Médico"</formula>
    </cfRule>
  </conditionalFormatting>
  <dataValidations count="5">
    <dataValidation allowBlank="true" errorStyle="stop" operator="between" showDropDown="false" showErrorMessage="false" showInputMessage="false" sqref="E7:E66" type="list">
      <formula1>Listas!$C$5:$C$15</formula1>
      <formula2>0</formula2>
    </dataValidation>
    <dataValidation allowBlank="true" errorStyle="stop" operator="between" showDropDown="false" showErrorMessage="false" showInputMessage="false" sqref="F7:F66" type="list">
      <formula1>Listas!$A$5:$A$15</formula1>
      <formula2>0</formula2>
    </dataValidation>
    <dataValidation allowBlank="true" errorStyle="stop" operator="between" showDropDown="false" showErrorMessage="false" showInputMessage="false" sqref="G7:G66" type="list">
      <formula1>Listas!$B$5:$B$15</formula1>
      <formula2>0</formula2>
    </dataValidation>
    <dataValidation allowBlank="true" errorStyle="stop" operator="between" showDropDown="false" showErrorMessage="false" showInputMessage="false" sqref="I7:I66" type="list">
      <formula1>Listas!$D$5:$D$15</formula1>
      <formula2>0</formula2>
    </dataValidation>
    <dataValidation allowBlank="true" errorStyle="stop" operator="between" showDropDown="false" showErrorMessage="false" showInputMessage="false" sqref="T7:T66" type="list">
      <formula1>Listas!$E$5:$E$15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N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58"/>
    <col collapsed="false" customWidth="true" hidden="false" outlineLevel="0" max="8" min="8" style="0" width="26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6" customFormat="false" ht="31.5" hidden="false" customHeight="true" outlineLevel="0" collapsed="false">
      <c r="A6" s="18" t="s">
        <v>57</v>
      </c>
      <c r="B6" s="18" t="s">
        <v>82</v>
      </c>
      <c r="C6" s="18" t="s">
        <v>63</v>
      </c>
      <c r="D6" s="18" t="s">
        <v>83</v>
      </c>
      <c r="E6" s="18" t="s">
        <v>84</v>
      </c>
      <c r="F6" s="18" t="s">
        <v>85</v>
      </c>
      <c r="G6" s="18" t="s">
        <v>86</v>
      </c>
      <c r="H6" s="18" t="s">
        <v>87</v>
      </c>
      <c r="I6" s="18" t="s">
        <v>88</v>
      </c>
      <c r="J6" s="18" t="s">
        <v>89</v>
      </c>
      <c r="K6" s="18" t="s">
        <v>90</v>
      </c>
      <c r="L6" s="18" t="s">
        <v>91</v>
      </c>
      <c r="M6" s="18" t="s">
        <v>92</v>
      </c>
      <c r="N6" s="18" t="s">
        <v>93</v>
      </c>
    </row>
    <row r="7" customFormat="false" ht="22.35" hidden="false" customHeight="false" outlineLevel="0" collapsed="false">
      <c r="A7" s="19" t="str">
        <f aca="false">IF($B7="","","EX-"&amp;TEXT(ROW()-6,"000"))</f>
        <v>EX-001</v>
      </c>
      <c r="B7" s="28" t="s">
        <v>94</v>
      </c>
      <c r="C7" s="22" t="s">
        <v>95</v>
      </c>
      <c r="D7" s="22" t="s">
        <v>96</v>
      </c>
      <c r="E7" s="22" t="s">
        <v>97</v>
      </c>
      <c r="F7" s="28" t="s">
        <v>98</v>
      </c>
      <c r="G7" s="28" t="s">
        <v>99</v>
      </c>
      <c r="H7" s="28" t="s">
        <v>100</v>
      </c>
      <c r="I7" s="22" t="n">
        <v>1</v>
      </c>
      <c r="J7" s="22" t="n">
        <v>12</v>
      </c>
      <c r="K7" s="22" t="s">
        <v>101</v>
      </c>
      <c r="L7" s="22" t="n">
        <v>4</v>
      </c>
      <c r="M7" s="22" t="s">
        <v>102</v>
      </c>
      <c r="N7" s="28"/>
    </row>
    <row r="8" customFormat="false" ht="22.35" hidden="false" customHeight="false" outlineLevel="0" collapsed="false">
      <c r="A8" s="19" t="str">
        <f aca="false">IF($B8="","","EX-"&amp;TEXT(ROW()-6,"000"))</f>
        <v>EX-002</v>
      </c>
      <c r="B8" s="28" t="s">
        <v>103</v>
      </c>
      <c r="C8" s="22" t="s">
        <v>95</v>
      </c>
      <c r="D8" s="22" t="s">
        <v>96</v>
      </c>
      <c r="E8" s="22" t="s">
        <v>97</v>
      </c>
      <c r="F8" s="28" t="s">
        <v>104</v>
      </c>
      <c r="G8" s="28" t="s">
        <v>105</v>
      </c>
      <c r="H8" s="28" t="s">
        <v>106</v>
      </c>
      <c r="I8" s="22" t="n">
        <v>1</v>
      </c>
      <c r="J8" s="22" t="n">
        <v>12</v>
      </c>
      <c r="K8" s="22" t="s">
        <v>107</v>
      </c>
      <c r="L8" s="22" t="n">
        <v>5</v>
      </c>
      <c r="M8" s="22" t="s">
        <v>108</v>
      </c>
      <c r="N8" s="28"/>
    </row>
    <row r="9" customFormat="false" ht="22.35" hidden="false" customHeight="false" outlineLevel="0" collapsed="false">
      <c r="A9" s="19" t="str">
        <f aca="false">IF($B9="","","EX-"&amp;TEXT(ROW()-6,"000"))</f>
        <v>EX-003</v>
      </c>
      <c r="B9" s="28" t="s">
        <v>109</v>
      </c>
      <c r="C9" s="22" t="s">
        <v>95</v>
      </c>
      <c r="D9" s="22" t="s">
        <v>96</v>
      </c>
      <c r="E9" s="22" t="s">
        <v>110</v>
      </c>
      <c r="F9" s="28" t="s">
        <v>111</v>
      </c>
      <c r="G9" s="28" t="s">
        <v>112</v>
      </c>
      <c r="H9" s="28" t="s">
        <v>106</v>
      </c>
      <c r="I9" s="22" t="n">
        <v>1</v>
      </c>
      <c r="J9" s="22" t="n">
        <v>15</v>
      </c>
      <c r="K9" s="22" t="s">
        <v>113</v>
      </c>
      <c r="L9" s="22" t="n">
        <v>7</v>
      </c>
      <c r="M9" s="22" t="s">
        <v>114</v>
      </c>
      <c r="N9" s="28"/>
    </row>
    <row r="10" customFormat="false" ht="15" hidden="false" customHeight="false" outlineLevel="0" collapsed="false">
      <c r="A10" s="19" t="str">
        <f aca="false">IF($B10="","","EX-"&amp;TEXT(ROW()-6,"000"))</f>
        <v>EX-004</v>
      </c>
      <c r="B10" s="28" t="s">
        <v>115</v>
      </c>
      <c r="C10" s="22" t="s">
        <v>95</v>
      </c>
      <c r="D10" s="22" t="s">
        <v>116</v>
      </c>
      <c r="E10" s="22" t="s">
        <v>97</v>
      </c>
      <c r="F10" s="28" t="s">
        <v>117</v>
      </c>
      <c r="G10" s="28" t="s">
        <v>118</v>
      </c>
      <c r="H10" s="28" t="s">
        <v>119</v>
      </c>
      <c r="I10" s="22" t="n">
        <v>2</v>
      </c>
      <c r="J10" s="22" t="n">
        <v>12</v>
      </c>
      <c r="K10" s="22" t="s">
        <v>101</v>
      </c>
      <c r="L10" s="22" t="n">
        <v>4</v>
      </c>
      <c r="M10" s="22" t="s">
        <v>102</v>
      </c>
      <c r="N10" s="28"/>
    </row>
    <row r="11" customFormat="false" ht="22.35" hidden="false" customHeight="false" outlineLevel="0" collapsed="false">
      <c r="A11" s="19" t="str">
        <f aca="false">IF($B11="","","EX-"&amp;TEXT(ROW()-6,"000"))</f>
        <v>EX-005</v>
      </c>
      <c r="B11" s="28" t="s">
        <v>120</v>
      </c>
      <c r="C11" s="22" t="s">
        <v>95</v>
      </c>
      <c r="D11" s="22" t="s">
        <v>116</v>
      </c>
      <c r="E11" s="22" t="s">
        <v>97</v>
      </c>
      <c r="F11" s="28" t="s">
        <v>121</v>
      </c>
      <c r="G11" s="28" t="s">
        <v>122</v>
      </c>
      <c r="H11" s="28" t="s">
        <v>123</v>
      </c>
      <c r="I11" s="22" t="n">
        <v>4</v>
      </c>
      <c r="J11" s="22" t="n">
        <v>20</v>
      </c>
      <c r="K11" s="22" t="s">
        <v>107</v>
      </c>
      <c r="L11" s="22" t="n">
        <v>6</v>
      </c>
      <c r="M11" s="22" t="s">
        <v>108</v>
      </c>
      <c r="N11" s="28"/>
    </row>
    <row r="12" customFormat="false" ht="22.35" hidden="false" customHeight="false" outlineLevel="0" collapsed="false">
      <c r="A12" s="19" t="str">
        <f aca="false">IF($B12="","","EX-"&amp;TEXT(ROW()-6,"000"))</f>
        <v>EX-006</v>
      </c>
      <c r="B12" s="28" t="s">
        <v>124</v>
      </c>
      <c r="C12" s="22" t="s">
        <v>95</v>
      </c>
      <c r="D12" s="22" t="s">
        <v>116</v>
      </c>
      <c r="E12" s="22" t="s">
        <v>125</v>
      </c>
      <c r="F12" s="28" t="s">
        <v>126</v>
      </c>
      <c r="G12" s="28" t="s">
        <v>127</v>
      </c>
      <c r="H12" s="28" t="s">
        <v>106</v>
      </c>
      <c r="I12" s="22" t="n">
        <v>1</v>
      </c>
      <c r="J12" s="22" t="n">
        <v>10</v>
      </c>
      <c r="K12" s="22" t="s">
        <v>107</v>
      </c>
      <c r="L12" s="22" t="n">
        <v>6</v>
      </c>
      <c r="M12" s="22" t="s">
        <v>108</v>
      </c>
      <c r="N12" s="28"/>
    </row>
    <row r="13" customFormat="false" ht="15" hidden="false" customHeight="false" outlineLevel="0" collapsed="false">
      <c r="A13" s="19" t="str">
        <f aca="false">IF($B13="","","EX-"&amp;TEXT(ROW()-6,"000"))</f>
        <v>EX-007</v>
      </c>
      <c r="B13" s="28" t="s">
        <v>128</v>
      </c>
      <c r="C13" s="22" t="s">
        <v>95</v>
      </c>
      <c r="D13" s="22" t="s">
        <v>129</v>
      </c>
      <c r="E13" s="22" t="s">
        <v>97</v>
      </c>
      <c r="F13" s="28" t="s">
        <v>130</v>
      </c>
      <c r="G13" s="28" t="s">
        <v>131</v>
      </c>
      <c r="H13" s="28" t="s">
        <v>132</v>
      </c>
      <c r="I13" s="22" t="n">
        <v>1</v>
      </c>
      <c r="J13" s="22" t="n">
        <v>8</v>
      </c>
      <c r="K13" s="22" t="s">
        <v>133</v>
      </c>
      <c r="L13" s="22" t="n">
        <v>3</v>
      </c>
      <c r="M13" s="22" t="s">
        <v>102</v>
      </c>
      <c r="N13" s="28"/>
    </row>
    <row r="14" customFormat="false" ht="22.35" hidden="false" customHeight="false" outlineLevel="0" collapsed="false">
      <c r="A14" s="19" t="str">
        <f aca="false">IF($B14="","","EX-"&amp;TEXT(ROW()-6,"000"))</f>
        <v>EX-008</v>
      </c>
      <c r="B14" s="28" t="s">
        <v>134</v>
      </c>
      <c r="C14" s="22" t="s">
        <v>95</v>
      </c>
      <c r="D14" s="22" t="s">
        <v>129</v>
      </c>
      <c r="E14" s="22" t="s">
        <v>97</v>
      </c>
      <c r="F14" s="28" t="s">
        <v>135</v>
      </c>
      <c r="G14" s="28" t="s">
        <v>136</v>
      </c>
      <c r="H14" s="28" t="s">
        <v>137</v>
      </c>
      <c r="I14" s="22" t="n">
        <v>2</v>
      </c>
      <c r="J14" s="22" t="n">
        <v>18</v>
      </c>
      <c r="K14" s="22" t="s">
        <v>101</v>
      </c>
      <c r="L14" s="22" t="n">
        <v>5</v>
      </c>
      <c r="M14" s="22" t="s">
        <v>108</v>
      </c>
      <c r="N14" s="28"/>
    </row>
    <row r="15" customFormat="false" ht="15" hidden="false" customHeight="false" outlineLevel="0" collapsed="false">
      <c r="A15" s="19" t="str">
        <f aca="false">IF($B15="","","EX-"&amp;TEXT(ROW()-6,"000"))</f>
        <v>EX-009</v>
      </c>
      <c r="B15" s="28" t="s">
        <v>138</v>
      </c>
      <c r="C15" s="22" t="s">
        <v>95</v>
      </c>
      <c r="D15" s="22" t="s">
        <v>129</v>
      </c>
      <c r="E15" s="22" t="s">
        <v>97</v>
      </c>
      <c r="F15" s="28" t="s">
        <v>139</v>
      </c>
      <c r="G15" s="28" t="s">
        <v>140</v>
      </c>
      <c r="H15" s="28" t="s">
        <v>106</v>
      </c>
      <c r="I15" s="22" t="n">
        <v>2</v>
      </c>
      <c r="J15" s="22" t="n">
        <v>12</v>
      </c>
      <c r="K15" s="22" t="s">
        <v>101</v>
      </c>
      <c r="L15" s="22" t="n">
        <v>5</v>
      </c>
      <c r="M15" s="22" t="s">
        <v>114</v>
      </c>
      <c r="N15" s="28"/>
    </row>
    <row r="16" customFormat="false" ht="15" hidden="false" customHeight="false" outlineLevel="0" collapsed="false">
      <c r="A16" s="19" t="str">
        <f aca="false">IF($B16="","","EX-"&amp;TEXT(ROW()-6,"000"))</f>
        <v>EX-010</v>
      </c>
      <c r="B16" s="28" t="s">
        <v>141</v>
      </c>
      <c r="C16" s="22" t="s">
        <v>95</v>
      </c>
      <c r="D16" s="22" t="s">
        <v>142</v>
      </c>
      <c r="E16" s="22" t="s">
        <v>110</v>
      </c>
      <c r="F16" s="28" t="s">
        <v>143</v>
      </c>
      <c r="G16" s="28" t="s">
        <v>144</v>
      </c>
      <c r="H16" s="28" t="s">
        <v>123</v>
      </c>
      <c r="I16" s="22" t="n">
        <v>3</v>
      </c>
      <c r="J16" s="22" t="n">
        <v>18</v>
      </c>
      <c r="K16" s="22" t="s">
        <v>107</v>
      </c>
      <c r="L16" s="22" t="n">
        <v>6</v>
      </c>
      <c r="M16" s="22" t="s">
        <v>108</v>
      </c>
      <c r="N16" s="28"/>
    </row>
    <row r="17" customFormat="false" ht="15" hidden="false" customHeight="false" outlineLevel="0" collapsed="false">
      <c r="A17" s="19" t="str">
        <f aca="false">IF($B17="","","EX-"&amp;TEXT(ROW()-6,"000"))</f>
        <v>EX-011</v>
      </c>
      <c r="B17" s="28" t="s">
        <v>145</v>
      </c>
      <c r="C17" s="22" t="s">
        <v>95</v>
      </c>
      <c r="D17" s="22" t="s">
        <v>142</v>
      </c>
      <c r="E17" s="22" t="s">
        <v>146</v>
      </c>
      <c r="F17" s="28" t="s">
        <v>147</v>
      </c>
      <c r="G17" s="28" t="s">
        <v>148</v>
      </c>
      <c r="H17" s="28" t="s">
        <v>123</v>
      </c>
      <c r="I17" s="22" t="n">
        <v>3</v>
      </c>
      <c r="J17" s="22" t="n">
        <v>15</v>
      </c>
      <c r="K17" s="22" t="s">
        <v>107</v>
      </c>
      <c r="L17" s="22" t="n">
        <v>6</v>
      </c>
      <c r="M17" s="22" t="s">
        <v>114</v>
      </c>
      <c r="N17" s="28"/>
    </row>
    <row r="18" customFormat="false" ht="15" hidden="false" customHeight="false" outlineLevel="0" collapsed="false">
      <c r="A18" s="19" t="str">
        <f aca="false">IF($B18="","","EX-"&amp;TEXT(ROW()-6,"000"))</f>
        <v>EX-012</v>
      </c>
      <c r="B18" s="28" t="s">
        <v>149</v>
      </c>
      <c r="C18" s="22" t="s">
        <v>95</v>
      </c>
      <c r="D18" s="22" t="s">
        <v>142</v>
      </c>
      <c r="E18" s="22" t="s">
        <v>110</v>
      </c>
      <c r="F18" s="28" t="s">
        <v>150</v>
      </c>
      <c r="G18" s="28" t="s">
        <v>151</v>
      </c>
      <c r="H18" s="28" t="s">
        <v>123</v>
      </c>
      <c r="I18" s="22" t="n">
        <v>3</v>
      </c>
      <c r="J18" s="22" t="n">
        <v>15</v>
      </c>
      <c r="K18" s="22" t="s">
        <v>107</v>
      </c>
      <c r="L18" s="22" t="n">
        <v>6</v>
      </c>
      <c r="M18" s="22" t="s">
        <v>114</v>
      </c>
      <c r="N18" s="28"/>
    </row>
    <row r="19" customFormat="false" ht="22.35" hidden="false" customHeight="false" outlineLevel="0" collapsed="false">
      <c r="A19" s="19" t="str">
        <f aca="false">IF($B19="","","EX-"&amp;TEXT(ROW()-6,"000"))</f>
        <v>EX-013</v>
      </c>
      <c r="B19" s="28" t="s">
        <v>152</v>
      </c>
      <c r="C19" s="22" t="s">
        <v>95</v>
      </c>
      <c r="D19" s="22" t="s">
        <v>142</v>
      </c>
      <c r="E19" s="22" t="s">
        <v>97</v>
      </c>
      <c r="F19" s="28" t="s">
        <v>153</v>
      </c>
      <c r="G19" s="28" t="s">
        <v>154</v>
      </c>
      <c r="H19" s="28" t="s">
        <v>123</v>
      </c>
      <c r="I19" s="22" t="n">
        <v>3</v>
      </c>
      <c r="J19" s="22" t="n">
        <v>12</v>
      </c>
      <c r="K19" s="22" t="s">
        <v>101</v>
      </c>
      <c r="L19" s="22" t="n">
        <v>5</v>
      </c>
      <c r="M19" s="22" t="s">
        <v>108</v>
      </c>
      <c r="N19" s="28"/>
    </row>
    <row r="20" customFormat="false" ht="15" hidden="false" customHeight="false" outlineLevel="0" collapsed="false">
      <c r="A20" s="19" t="str">
        <f aca="false">IF($B20="","","EX-"&amp;TEXT(ROW()-6,"000"))</f>
        <v>EX-014</v>
      </c>
      <c r="B20" s="28" t="s">
        <v>155</v>
      </c>
      <c r="C20" s="22" t="s">
        <v>95</v>
      </c>
      <c r="D20" s="22" t="s">
        <v>156</v>
      </c>
      <c r="E20" s="22" t="s">
        <v>125</v>
      </c>
      <c r="F20" s="28" t="s">
        <v>157</v>
      </c>
      <c r="G20" s="28" t="s">
        <v>158</v>
      </c>
      <c r="H20" s="28" t="s">
        <v>159</v>
      </c>
      <c r="I20" s="22" t="n">
        <v>1</v>
      </c>
      <c r="J20" s="22" t="n">
        <v>12</v>
      </c>
      <c r="K20" s="22" t="s">
        <v>107</v>
      </c>
      <c r="L20" s="22" t="n">
        <v>6</v>
      </c>
      <c r="M20" s="22" t="s">
        <v>108</v>
      </c>
      <c r="N20" s="28"/>
    </row>
    <row r="21" customFormat="false" ht="15" hidden="false" customHeight="false" outlineLevel="0" collapsed="false">
      <c r="A21" s="19" t="str">
        <f aca="false">IF($B21="","","EX-"&amp;TEXT(ROW()-6,"000"))</f>
        <v>EX-015</v>
      </c>
      <c r="B21" s="28" t="s">
        <v>160</v>
      </c>
      <c r="C21" s="22" t="s">
        <v>95</v>
      </c>
      <c r="D21" s="22" t="s">
        <v>156</v>
      </c>
      <c r="E21" s="22" t="s">
        <v>125</v>
      </c>
      <c r="F21" s="28" t="s">
        <v>161</v>
      </c>
      <c r="G21" s="28" t="s">
        <v>162</v>
      </c>
      <c r="H21" s="28" t="s">
        <v>163</v>
      </c>
      <c r="I21" s="22" t="n">
        <v>4</v>
      </c>
      <c r="J21" s="22" t="n">
        <v>15</v>
      </c>
      <c r="K21" s="22" t="s">
        <v>107</v>
      </c>
      <c r="L21" s="22" t="n">
        <v>6</v>
      </c>
      <c r="M21" s="22" t="s">
        <v>114</v>
      </c>
      <c r="N21" s="28"/>
    </row>
    <row r="22" customFormat="false" ht="15" hidden="false" customHeight="false" outlineLevel="0" collapsed="false">
      <c r="A22" s="19" t="str">
        <f aca="false">IF($B22="","","EX-"&amp;TEXT(ROW()-6,"000"))</f>
        <v>EX-016</v>
      </c>
      <c r="B22" s="28" t="s">
        <v>164</v>
      </c>
      <c r="C22" s="22" t="s">
        <v>95</v>
      </c>
      <c r="D22" s="22" t="s">
        <v>165</v>
      </c>
      <c r="E22" s="22" t="s">
        <v>97</v>
      </c>
      <c r="F22" s="28" t="s">
        <v>166</v>
      </c>
      <c r="G22" s="28" t="s">
        <v>167</v>
      </c>
      <c r="H22" s="28" t="s">
        <v>168</v>
      </c>
      <c r="I22" s="22" t="n">
        <v>1</v>
      </c>
      <c r="J22" s="22" t="n">
        <v>12</v>
      </c>
      <c r="K22" s="22" t="s">
        <v>107</v>
      </c>
      <c r="L22" s="22" t="n">
        <v>6</v>
      </c>
      <c r="M22" s="22" t="s">
        <v>108</v>
      </c>
      <c r="N22" s="28"/>
    </row>
    <row r="23" customFormat="false" ht="15" hidden="false" customHeight="false" outlineLevel="0" collapsed="false">
      <c r="A23" s="19" t="str">
        <f aca="false">IF($B23="","","EX-"&amp;TEXT(ROW()-6,"000"))</f>
        <v>EX-017</v>
      </c>
      <c r="B23" s="28" t="s">
        <v>169</v>
      </c>
      <c r="C23" s="22" t="s">
        <v>95</v>
      </c>
      <c r="D23" s="22" t="s">
        <v>165</v>
      </c>
      <c r="E23" s="22" t="s">
        <v>125</v>
      </c>
      <c r="F23" s="28" t="s">
        <v>170</v>
      </c>
      <c r="G23" s="28" t="s">
        <v>171</v>
      </c>
      <c r="H23" s="28" t="s">
        <v>172</v>
      </c>
      <c r="I23" s="22" t="n">
        <v>3</v>
      </c>
      <c r="J23" s="22" t="n">
        <v>15</v>
      </c>
      <c r="K23" s="22" t="s">
        <v>113</v>
      </c>
      <c r="L23" s="22" t="n">
        <v>7</v>
      </c>
      <c r="M23" s="22" t="s">
        <v>114</v>
      </c>
      <c r="N23" s="28"/>
    </row>
    <row r="24" customFormat="false" ht="15" hidden="false" customHeight="false" outlineLevel="0" collapsed="false">
      <c r="A24" s="19" t="str">
        <f aca="false">IF($B24="","","EX-"&amp;TEXT(ROW()-6,"000"))</f>
        <v>EX-018</v>
      </c>
      <c r="B24" s="28" t="s">
        <v>173</v>
      </c>
      <c r="C24" s="22" t="s">
        <v>95</v>
      </c>
      <c r="D24" s="22" t="s">
        <v>174</v>
      </c>
      <c r="E24" s="22" t="s">
        <v>125</v>
      </c>
      <c r="F24" s="28" t="s">
        <v>175</v>
      </c>
      <c r="G24" s="28" t="s">
        <v>176</v>
      </c>
      <c r="H24" s="28" t="s">
        <v>177</v>
      </c>
      <c r="I24" s="22" t="n">
        <v>1</v>
      </c>
      <c r="J24" s="22" t="n">
        <v>12</v>
      </c>
      <c r="K24" s="22" t="s">
        <v>107</v>
      </c>
      <c r="L24" s="22" t="n">
        <v>6</v>
      </c>
      <c r="M24" s="22" t="s">
        <v>108</v>
      </c>
      <c r="N24" s="28"/>
    </row>
    <row r="25" customFormat="false" ht="15" hidden="false" customHeight="false" outlineLevel="0" collapsed="false">
      <c r="A25" s="19" t="str">
        <f aca="false">IF($B25="","","EX-"&amp;TEXT(ROW()-6,"000"))</f>
        <v>EX-019</v>
      </c>
      <c r="B25" s="28" t="s">
        <v>178</v>
      </c>
      <c r="C25" s="22" t="s">
        <v>179</v>
      </c>
      <c r="D25" s="22" t="s">
        <v>180</v>
      </c>
      <c r="E25" s="22" t="s">
        <v>181</v>
      </c>
      <c r="F25" s="28" t="s">
        <v>182</v>
      </c>
      <c r="G25" s="28" t="s">
        <v>183</v>
      </c>
      <c r="H25" s="28" t="s">
        <v>123</v>
      </c>
      <c r="I25" s="22" t="n">
        <v>12</v>
      </c>
      <c r="J25" s="22" t="n">
        <v>25</v>
      </c>
      <c r="K25" s="22" t="s">
        <v>107</v>
      </c>
      <c r="L25" s="22" t="n">
        <v>7</v>
      </c>
      <c r="M25" s="22" t="s">
        <v>108</v>
      </c>
      <c r="N25" s="28"/>
    </row>
    <row r="26" customFormat="false" ht="15" hidden="false" customHeight="false" outlineLevel="0" collapsed="false">
      <c r="A26" s="19" t="str">
        <f aca="false">IF($B26="","","EX-"&amp;TEXT(ROW()-6,"000"))</f>
        <v>EX-020</v>
      </c>
      <c r="B26" s="28" t="s">
        <v>184</v>
      </c>
      <c r="C26" s="22" t="s">
        <v>179</v>
      </c>
      <c r="D26" s="22" t="s">
        <v>180</v>
      </c>
      <c r="E26" s="22" t="s">
        <v>181</v>
      </c>
      <c r="F26" s="28" t="s">
        <v>185</v>
      </c>
      <c r="G26" s="28" t="s">
        <v>186</v>
      </c>
      <c r="H26" s="28" t="s">
        <v>123</v>
      </c>
      <c r="I26" s="22" t="n">
        <v>12</v>
      </c>
      <c r="J26" s="22" t="n">
        <v>25</v>
      </c>
      <c r="K26" s="22" t="s">
        <v>107</v>
      </c>
      <c r="L26" s="22" t="n">
        <v>7</v>
      </c>
      <c r="M26" s="22" t="s">
        <v>108</v>
      </c>
      <c r="N26" s="28"/>
    </row>
    <row r="27" customFormat="false" ht="15" hidden="false" customHeight="false" outlineLevel="0" collapsed="false">
      <c r="A27" s="19" t="str">
        <f aca="false">IF($B27="","","EX-"&amp;TEXT(ROW()-6,"000"))</f>
        <v>EX-021</v>
      </c>
      <c r="B27" s="28" t="s">
        <v>187</v>
      </c>
      <c r="C27" s="22" t="s">
        <v>179</v>
      </c>
      <c r="D27" s="22" t="s">
        <v>180</v>
      </c>
      <c r="E27" s="22" t="s">
        <v>181</v>
      </c>
      <c r="F27" s="28" t="s">
        <v>188</v>
      </c>
      <c r="G27" s="28" t="s">
        <v>189</v>
      </c>
      <c r="H27" s="28" t="s">
        <v>190</v>
      </c>
      <c r="I27" s="22" t="n">
        <v>12</v>
      </c>
      <c r="J27" s="22" t="n">
        <v>30</v>
      </c>
      <c r="K27" s="22" t="s">
        <v>107</v>
      </c>
      <c r="L27" s="22" t="n">
        <v>7</v>
      </c>
      <c r="M27" s="22" t="s">
        <v>108</v>
      </c>
      <c r="N27" s="28"/>
    </row>
    <row r="28" customFormat="false" ht="15" hidden="false" customHeight="false" outlineLevel="0" collapsed="false">
      <c r="A28" s="19" t="str">
        <f aca="false">IF($B28="","","EX-"&amp;TEXT(ROW()-6,"000"))</f>
        <v>EX-022</v>
      </c>
      <c r="B28" s="28" t="s">
        <v>191</v>
      </c>
      <c r="C28" s="22" t="s">
        <v>179</v>
      </c>
      <c r="D28" s="22" t="s">
        <v>180</v>
      </c>
      <c r="E28" s="22" t="s">
        <v>181</v>
      </c>
      <c r="F28" s="28" t="s">
        <v>192</v>
      </c>
      <c r="G28" s="28" t="s">
        <v>193</v>
      </c>
      <c r="H28" s="28" t="s">
        <v>123</v>
      </c>
      <c r="I28" s="22" t="n">
        <v>8</v>
      </c>
      <c r="J28" s="22" t="n">
        <v>20</v>
      </c>
      <c r="K28" s="22" t="s">
        <v>101</v>
      </c>
      <c r="L28" s="22" t="n">
        <v>6</v>
      </c>
      <c r="M28" s="22" t="s">
        <v>102</v>
      </c>
      <c r="N28" s="28"/>
    </row>
    <row r="29" customFormat="false" ht="15" hidden="false" customHeight="false" outlineLevel="0" collapsed="false">
      <c r="A29" s="19" t="str">
        <f aca="false">IF($B29="","","EX-"&amp;TEXT(ROW()-6,"000"))</f>
        <v>EX-023</v>
      </c>
      <c r="B29" s="28" t="s">
        <v>194</v>
      </c>
      <c r="C29" s="22" t="s">
        <v>179</v>
      </c>
      <c r="D29" s="22" t="s">
        <v>180</v>
      </c>
      <c r="E29" s="22" t="s">
        <v>181</v>
      </c>
      <c r="F29" s="28" t="s">
        <v>195</v>
      </c>
      <c r="G29" s="28" t="s">
        <v>196</v>
      </c>
      <c r="H29" s="28" t="s">
        <v>163</v>
      </c>
      <c r="I29" s="22" t="n">
        <v>12</v>
      </c>
      <c r="J29" s="22" t="n">
        <v>20</v>
      </c>
      <c r="K29" s="22" t="s">
        <v>133</v>
      </c>
      <c r="L29" s="22" t="n">
        <v>4</v>
      </c>
      <c r="M29" s="22" t="s">
        <v>108</v>
      </c>
      <c r="N29" s="28"/>
    </row>
    <row r="30" customFormat="false" ht="15" hidden="false" customHeight="false" outlineLevel="0" collapsed="false">
      <c r="A30" s="19" t="str">
        <f aca="false">IF($B30="","","EX-"&amp;TEXT(ROW()-6,"000"))</f>
        <v>EX-024</v>
      </c>
      <c r="B30" s="28" t="s">
        <v>197</v>
      </c>
      <c r="C30" s="22" t="s">
        <v>179</v>
      </c>
      <c r="D30" s="22" t="s">
        <v>180</v>
      </c>
      <c r="E30" s="22" t="s">
        <v>181</v>
      </c>
      <c r="F30" s="28" t="s">
        <v>198</v>
      </c>
      <c r="G30" s="28" t="s">
        <v>199</v>
      </c>
      <c r="H30" s="28" t="s">
        <v>200</v>
      </c>
      <c r="I30" s="22" t="n">
        <v>12</v>
      </c>
      <c r="J30" s="22" t="n">
        <v>20</v>
      </c>
      <c r="K30" s="22" t="s">
        <v>113</v>
      </c>
      <c r="L30" s="22" t="n">
        <v>8</v>
      </c>
      <c r="M30" s="22" t="s">
        <v>114</v>
      </c>
      <c r="N30" s="28"/>
    </row>
    <row r="31" customFormat="false" ht="15" hidden="false" customHeight="false" outlineLevel="0" collapsed="false">
      <c r="A31" s="19" t="str">
        <f aca="false">IF($B31="","","EX-"&amp;TEXT(ROW()-6,"000"))</f>
        <v>EX-025</v>
      </c>
      <c r="B31" s="28" t="s">
        <v>201</v>
      </c>
      <c r="C31" s="22" t="s">
        <v>202</v>
      </c>
      <c r="D31" s="22" t="s">
        <v>181</v>
      </c>
      <c r="E31" s="22" t="s">
        <v>203</v>
      </c>
      <c r="F31" s="28" t="s">
        <v>204</v>
      </c>
      <c r="G31" s="28" t="s">
        <v>205</v>
      </c>
      <c r="H31" s="28" t="s">
        <v>206</v>
      </c>
      <c r="I31" s="22" t="n">
        <v>1</v>
      </c>
      <c r="J31" s="22" t="n">
        <v>25</v>
      </c>
      <c r="K31" s="22" t="s">
        <v>113</v>
      </c>
      <c r="L31" s="22" t="n">
        <v>8</v>
      </c>
      <c r="M31" s="22" t="s">
        <v>114</v>
      </c>
      <c r="N31" s="28"/>
    </row>
    <row r="32" customFormat="false" ht="15" hidden="false" customHeight="false" outlineLevel="0" collapsed="false">
      <c r="A32" s="19" t="str">
        <f aca="false">IF($B32="","","EX-"&amp;TEXT(ROW()-6,"000"))</f>
        <v>EX-026</v>
      </c>
      <c r="B32" s="28" t="s">
        <v>207</v>
      </c>
      <c r="C32" s="22" t="s">
        <v>202</v>
      </c>
      <c r="D32" s="22" t="s">
        <v>181</v>
      </c>
      <c r="E32" s="22" t="s">
        <v>203</v>
      </c>
      <c r="F32" s="28" t="s">
        <v>208</v>
      </c>
      <c r="G32" s="28" t="s">
        <v>209</v>
      </c>
      <c r="H32" s="28" t="s">
        <v>210</v>
      </c>
      <c r="I32" s="22" t="n">
        <v>1</v>
      </c>
      <c r="J32" s="22" t="n">
        <v>18</v>
      </c>
      <c r="K32" s="22" t="s">
        <v>107</v>
      </c>
      <c r="L32" s="22" t="n">
        <v>7</v>
      </c>
      <c r="M32" s="22" t="s">
        <v>108</v>
      </c>
      <c r="N32" s="28"/>
    </row>
    <row r="33" customFormat="false" ht="15" hidden="false" customHeight="false" outlineLevel="0" collapsed="false">
      <c r="A33" s="19" t="str">
        <f aca="false">IF($B33="","","EX-"&amp;TEXT(ROW()-6,"000"))</f>
        <v>EX-027</v>
      </c>
      <c r="B33" s="28" t="s">
        <v>211</v>
      </c>
      <c r="C33" s="22" t="s">
        <v>202</v>
      </c>
      <c r="D33" s="22" t="s">
        <v>181</v>
      </c>
      <c r="E33" s="22" t="s">
        <v>203</v>
      </c>
      <c r="F33" s="28" t="s">
        <v>212</v>
      </c>
      <c r="G33" s="28" t="s">
        <v>213</v>
      </c>
      <c r="H33" s="28" t="s">
        <v>214</v>
      </c>
      <c r="I33" s="22" t="n">
        <v>1</v>
      </c>
      <c r="J33" s="22" t="n">
        <v>15</v>
      </c>
      <c r="K33" s="22" t="s">
        <v>107</v>
      </c>
      <c r="L33" s="22" t="n">
        <v>6</v>
      </c>
      <c r="M33" s="22" t="s">
        <v>108</v>
      </c>
      <c r="N33" s="28"/>
    </row>
    <row r="34" customFormat="false" ht="15" hidden="false" customHeight="false" outlineLevel="0" collapsed="false">
      <c r="A34" s="19" t="str">
        <f aca="false">IF($B34="","","EX-"&amp;TEXT(ROW()-6,"000"))</f>
        <v>EX-028</v>
      </c>
      <c r="B34" s="28" t="s">
        <v>215</v>
      </c>
      <c r="C34" s="22" t="s">
        <v>202</v>
      </c>
      <c r="D34" s="22" t="s">
        <v>181</v>
      </c>
      <c r="E34" s="22" t="s">
        <v>110</v>
      </c>
      <c r="F34" s="28" t="s">
        <v>216</v>
      </c>
      <c r="G34" s="28" t="s">
        <v>217</v>
      </c>
      <c r="H34" s="28" t="s">
        <v>218</v>
      </c>
      <c r="I34" s="22" t="n">
        <v>1</v>
      </c>
      <c r="J34" s="22" t="n">
        <v>25</v>
      </c>
      <c r="K34" s="22" t="s">
        <v>113</v>
      </c>
      <c r="L34" s="22" t="n">
        <v>8</v>
      </c>
      <c r="M34" s="22" t="s">
        <v>114</v>
      </c>
      <c r="N34" s="28"/>
    </row>
    <row r="35" customFormat="false" ht="15" hidden="false" customHeight="false" outlineLevel="0" collapsed="false">
      <c r="A35" s="19" t="str">
        <f aca="false">IF($B35="","","EX-"&amp;TEXT(ROW()-6,"000"))</f>
        <v>EX-029</v>
      </c>
      <c r="B35" s="28" t="s">
        <v>219</v>
      </c>
      <c r="C35" s="22" t="s">
        <v>202</v>
      </c>
      <c r="D35" s="22" t="s">
        <v>181</v>
      </c>
      <c r="E35" s="22" t="s">
        <v>110</v>
      </c>
      <c r="F35" s="28" t="s">
        <v>220</v>
      </c>
      <c r="G35" s="28" t="s">
        <v>221</v>
      </c>
      <c r="H35" s="28" t="s">
        <v>222</v>
      </c>
      <c r="I35" s="22" t="n">
        <v>1</v>
      </c>
      <c r="J35" s="22" t="n">
        <v>18</v>
      </c>
      <c r="K35" s="22" t="s">
        <v>107</v>
      </c>
      <c r="L35" s="22" t="n">
        <v>7</v>
      </c>
      <c r="M35" s="22" t="s">
        <v>114</v>
      </c>
      <c r="N35" s="28"/>
    </row>
    <row r="36" customFormat="false" ht="15" hidden="false" customHeight="false" outlineLevel="0" collapsed="false">
      <c r="A36" s="19" t="str">
        <f aca="false">IF($B36="","","EX-"&amp;TEXT(ROW()-6,"000"))</f>
        <v>EX-030</v>
      </c>
      <c r="B36" s="28" t="s">
        <v>223</v>
      </c>
      <c r="C36" s="22" t="s">
        <v>202</v>
      </c>
      <c r="D36" s="22" t="s">
        <v>181</v>
      </c>
      <c r="E36" s="22" t="s">
        <v>224</v>
      </c>
      <c r="F36" s="28" t="s">
        <v>225</v>
      </c>
      <c r="G36" s="28" t="s">
        <v>226</v>
      </c>
      <c r="H36" s="28" t="s">
        <v>227</v>
      </c>
      <c r="I36" s="22" t="n">
        <v>1</v>
      </c>
      <c r="J36" s="22" t="n">
        <v>15</v>
      </c>
      <c r="K36" s="22" t="s">
        <v>107</v>
      </c>
      <c r="L36" s="22" t="n">
        <v>7</v>
      </c>
      <c r="M36" s="22" t="s">
        <v>114</v>
      </c>
      <c r="N36" s="28"/>
    </row>
    <row r="37" customFormat="false" ht="15" hidden="false" customHeight="false" outlineLevel="0" collapsed="false">
      <c r="A37" s="19" t="str">
        <f aca="false">IF($B37="","","EX-"&amp;TEXT(ROW()-6,"000"))</f>
        <v>EX-031</v>
      </c>
      <c r="B37" s="28" t="s">
        <v>228</v>
      </c>
      <c r="C37" s="22" t="s">
        <v>202</v>
      </c>
      <c r="D37" s="22" t="s">
        <v>181</v>
      </c>
      <c r="E37" s="22" t="s">
        <v>224</v>
      </c>
      <c r="F37" s="28" t="s">
        <v>229</v>
      </c>
      <c r="G37" s="28" t="s">
        <v>230</v>
      </c>
      <c r="H37" s="28" t="s">
        <v>231</v>
      </c>
      <c r="I37" s="22" t="n">
        <v>1</v>
      </c>
      <c r="J37" s="22" t="n">
        <v>12</v>
      </c>
      <c r="K37" s="22" t="s">
        <v>107</v>
      </c>
      <c r="L37" s="22" t="n">
        <v>7</v>
      </c>
      <c r="M37" s="22" t="s">
        <v>108</v>
      </c>
      <c r="N37" s="28"/>
    </row>
    <row r="38" customFormat="false" ht="15" hidden="false" customHeight="false" outlineLevel="0" collapsed="false">
      <c r="A38" s="19" t="str">
        <f aca="false">IF($B38="","","EX-"&amp;TEXT(ROW()-6,"000"))</f>
        <v>EX-032</v>
      </c>
      <c r="B38" s="28" t="s">
        <v>232</v>
      </c>
      <c r="C38" s="22" t="s">
        <v>202</v>
      </c>
      <c r="D38" s="22" t="s">
        <v>181</v>
      </c>
      <c r="E38" s="22" t="s">
        <v>146</v>
      </c>
      <c r="F38" s="28" t="s">
        <v>233</v>
      </c>
      <c r="G38" s="28" t="s">
        <v>234</v>
      </c>
      <c r="H38" s="28" t="s">
        <v>235</v>
      </c>
      <c r="I38" s="22" t="n">
        <v>1</v>
      </c>
      <c r="J38" s="22" t="n">
        <v>15</v>
      </c>
      <c r="K38" s="22" t="s">
        <v>113</v>
      </c>
      <c r="L38" s="22" t="n">
        <v>7</v>
      </c>
      <c r="M38" s="22" t="s">
        <v>108</v>
      </c>
      <c r="N38" s="28"/>
    </row>
    <row r="39" customFormat="false" ht="15" hidden="false" customHeight="false" outlineLevel="0" collapsed="false">
      <c r="A39" s="19" t="str">
        <f aca="false">IF($B39="","","EX-"&amp;TEXT(ROW()-6,"000"))</f>
        <v>EX-033</v>
      </c>
      <c r="B39" s="28" t="s">
        <v>236</v>
      </c>
      <c r="C39" s="22" t="s">
        <v>202</v>
      </c>
      <c r="D39" s="22" t="s">
        <v>181</v>
      </c>
      <c r="E39" s="22" t="s">
        <v>125</v>
      </c>
      <c r="F39" s="28" t="s">
        <v>237</v>
      </c>
      <c r="G39" s="28" t="s">
        <v>238</v>
      </c>
      <c r="H39" s="28" t="s">
        <v>235</v>
      </c>
      <c r="I39" s="22" t="n">
        <v>1</v>
      </c>
      <c r="J39" s="22" t="n">
        <v>12</v>
      </c>
      <c r="K39" s="22" t="s">
        <v>107</v>
      </c>
      <c r="L39" s="22" t="n">
        <v>6</v>
      </c>
      <c r="M39" s="22" t="s">
        <v>108</v>
      </c>
      <c r="N39" s="28"/>
    </row>
    <row r="40" customFormat="false" ht="15" hidden="false" customHeight="false" outlineLevel="0" collapsed="false">
      <c r="A40" s="19" t="str">
        <f aca="false">IF($B40="","","EX-"&amp;TEXT(ROW()-6,"000"))</f>
        <v>EX-034</v>
      </c>
      <c r="B40" s="28" t="s">
        <v>239</v>
      </c>
      <c r="C40" s="22" t="s">
        <v>202</v>
      </c>
      <c r="D40" s="22" t="s">
        <v>181</v>
      </c>
      <c r="E40" s="22" t="s">
        <v>240</v>
      </c>
      <c r="F40" s="28" t="s">
        <v>241</v>
      </c>
      <c r="G40" s="28" t="s">
        <v>242</v>
      </c>
      <c r="H40" s="28" t="s">
        <v>243</v>
      </c>
      <c r="I40" s="22" t="n">
        <v>1</v>
      </c>
      <c r="J40" s="22" t="n">
        <v>20</v>
      </c>
      <c r="K40" s="22" t="s">
        <v>113</v>
      </c>
      <c r="L40" s="22" t="n">
        <v>8</v>
      </c>
      <c r="M40" s="22" t="s">
        <v>108</v>
      </c>
      <c r="N40" s="28"/>
    </row>
    <row r="41" customFormat="false" ht="15" hidden="false" customHeight="false" outlineLevel="0" collapsed="false">
      <c r="A41" s="19" t="str">
        <f aca="false">IF($B41="","","EX-"&amp;TEXT(ROW()-6,"000"))</f>
        <v>EX-035</v>
      </c>
      <c r="B41" s="28" t="s">
        <v>244</v>
      </c>
      <c r="C41" s="22" t="s">
        <v>202</v>
      </c>
      <c r="D41" s="22" t="s">
        <v>181</v>
      </c>
      <c r="E41" s="22" t="s">
        <v>245</v>
      </c>
      <c r="F41" s="28" t="s">
        <v>246</v>
      </c>
      <c r="G41" s="28" t="s">
        <v>247</v>
      </c>
      <c r="H41" s="28" t="s">
        <v>243</v>
      </c>
      <c r="I41" s="22" t="n">
        <v>1</v>
      </c>
      <c r="J41" s="22" t="n">
        <v>25</v>
      </c>
      <c r="K41" s="22" t="s">
        <v>133</v>
      </c>
      <c r="L41" s="22" t="n">
        <v>3</v>
      </c>
      <c r="M41" s="22" t="s">
        <v>102</v>
      </c>
      <c r="N41" s="28"/>
    </row>
    <row r="42" customFormat="false" ht="15" hidden="false" customHeight="false" outlineLevel="0" collapsed="false">
      <c r="A42" s="19" t="str">
        <f aca="false">IF($B42="","","EX-"&amp;TEXT(ROW()-6,"000"))</f>
        <v>EX-036</v>
      </c>
      <c r="B42" s="28" t="s">
        <v>248</v>
      </c>
      <c r="C42" s="22" t="s">
        <v>202</v>
      </c>
      <c r="D42" s="22" t="s">
        <v>181</v>
      </c>
      <c r="E42" s="22" t="s">
        <v>249</v>
      </c>
      <c r="F42" s="28" t="s">
        <v>250</v>
      </c>
      <c r="G42" s="28" t="s">
        <v>251</v>
      </c>
      <c r="H42" s="28" t="s">
        <v>252</v>
      </c>
      <c r="I42" s="22" t="n">
        <v>1</v>
      </c>
      <c r="J42" s="22" t="n">
        <v>12</v>
      </c>
      <c r="K42" s="22" t="s">
        <v>101</v>
      </c>
      <c r="L42" s="22" t="n">
        <v>4</v>
      </c>
      <c r="M42" s="22" t="s">
        <v>102</v>
      </c>
      <c r="N42" s="28"/>
    </row>
    <row r="43" customFormat="false" ht="15" hidden="false" customHeight="false" outlineLevel="0" collapsed="false">
      <c r="A43" s="19" t="str">
        <f aca="false">IF($B43="","","EX-"&amp;TEXT(ROW()-6,"000"))</f>
        <v>EX-037</v>
      </c>
      <c r="B43" s="28" t="s">
        <v>253</v>
      </c>
      <c r="C43" s="22" t="s">
        <v>254</v>
      </c>
      <c r="D43" s="22" t="s">
        <v>181</v>
      </c>
      <c r="E43" s="22" t="s">
        <v>249</v>
      </c>
      <c r="F43" s="28" t="s">
        <v>255</v>
      </c>
      <c r="G43" s="28" t="s">
        <v>256</v>
      </c>
      <c r="H43" s="28" t="s">
        <v>257</v>
      </c>
      <c r="I43" s="22" t="n">
        <v>1</v>
      </c>
      <c r="J43" s="22" t="n">
        <v>10</v>
      </c>
      <c r="K43" s="22" t="s">
        <v>133</v>
      </c>
      <c r="L43" s="22" t="n">
        <v>3</v>
      </c>
      <c r="M43" s="22" t="s">
        <v>102</v>
      </c>
      <c r="N43" s="28"/>
    </row>
    <row r="44" customFormat="false" ht="15" hidden="false" customHeight="false" outlineLevel="0" collapsed="false">
      <c r="A44" s="19" t="str">
        <f aca="false">IF($B44="","","EX-"&amp;TEXT(ROW()-6,"000"))</f>
        <v>EX-038</v>
      </c>
      <c r="B44" s="28" t="s">
        <v>258</v>
      </c>
      <c r="C44" s="22" t="s">
        <v>254</v>
      </c>
      <c r="D44" s="22" t="s">
        <v>181</v>
      </c>
      <c r="E44" s="22" t="s">
        <v>203</v>
      </c>
      <c r="F44" s="28" t="s">
        <v>259</v>
      </c>
      <c r="G44" s="28" t="s">
        <v>260</v>
      </c>
      <c r="H44" s="28" t="s">
        <v>261</v>
      </c>
      <c r="I44" s="22" t="n">
        <v>2</v>
      </c>
      <c r="J44" s="22" t="n">
        <v>10</v>
      </c>
      <c r="K44" s="22" t="s">
        <v>107</v>
      </c>
      <c r="L44" s="22" t="n">
        <v>6</v>
      </c>
      <c r="M44" s="22" t="s">
        <v>108</v>
      </c>
      <c r="N44" s="28"/>
    </row>
    <row r="45" customFormat="false" ht="15" hidden="false" customHeight="false" outlineLevel="0" collapsed="false">
      <c r="A45" s="19" t="str">
        <f aca="false">IF($B45="","","EX-"&amp;TEXT(ROW()-6,"000"))</f>
        <v>EX-039</v>
      </c>
      <c r="B45" s="28" t="s">
        <v>262</v>
      </c>
      <c r="C45" s="22" t="s">
        <v>254</v>
      </c>
      <c r="D45" s="22" t="s">
        <v>181</v>
      </c>
      <c r="E45" s="22" t="s">
        <v>203</v>
      </c>
      <c r="F45" s="28" t="s">
        <v>263</v>
      </c>
      <c r="G45" s="28" t="s">
        <v>264</v>
      </c>
      <c r="H45" s="28" t="s">
        <v>265</v>
      </c>
      <c r="I45" s="22" t="n">
        <v>1</v>
      </c>
      <c r="J45" s="22" t="n">
        <v>8</v>
      </c>
      <c r="K45" s="22" t="s">
        <v>101</v>
      </c>
      <c r="L45" s="22" t="n">
        <v>4</v>
      </c>
      <c r="M45" s="22" t="s">
        <v>102</v>
      </c>
      <c r="N45" s="28"/>
    </row>
    <row r="46" customFormat="false" ht="15" hidden="false" customHeight="false" outlineLevel="0" collapsed="false">
      <c r="A46" s="19" t="str">
        <f aca="false">IF($B46="","","EX-"&amp;TEXT(ROW()-6,"000"))</f>
        <v>EX-040</v>
      </c>
      <c r="B46" s="28" t="s">
        <v>266</v>
      </c>
      <c r="C46" s="22" t="s">
        <v>254</v>
      </c>
      <c r="D46" s="22" t="s">
        <v>181</v>
      </c>
      <c r="E46" s="22" t="s">
        <v>267</v>
      </c>
      <c r="F46" s="28" t="s">
        <v>268</v>
      </c>
      <c r="G46" s="28" t="s">
        <v>269</v>
      </c>
      <c r="H46" s="28" t="s">
        <v>270</v>
      </c>
      <c r="I46" s="22" t="n">
        <v>1</v>
      </c>
      <c r="J46" s="22" t="n">
        <v>10</v>
      </c>
      <c r="K46" s="22" t="s">
        <v>271</v>
      </c>
      <c r="L46" s="22" t="n">
        <v>2</v>
      </c>
      <c r="M46" s="22" t="s">
        <v>102</v>
      </c>
      <c r="N46" s="28"/>
    </row>
    <row r="47" customFormat="false" ht="15" hidden="false" customHeight="false" outlineLevel="0" collapsed="false">
      <c r="A47" s="19" t="str">
        <f aca="false">IF($B47="","","EX-"&amp;TEXT(ROW()-6,"000"))</f>
        <v>EX-041</v>
      </c>
      <c r="B47" s="28" t="s">
        <v>272</v>
      </c>
      <c r="C47" s="22" t="s">
        <v>273</v>
      </c>
      <c r="D47" s="22" t="s">
        <v>181</v>
      </c>
      <c r="E47" s="22" t="s">
        <v>267</v>
      </c>
      <c r="F47" s="28" t="s">
        <v>274</v>
      </c>
      <c r="G47" s="28" t="s">
        <v>275</v>
      </c>
      <c r="H47" s="28" t="s">
        <v>276</v>
      </c>
      <c r="I47" s="22" t="n">
        <v>1</v>
      </c>
      <c r="J47" s="22" t="n">
        <v>15</v>
      </c>
      <c r="K47" s="22" t="s">
        <v>271</v>
      </c>
      <c r="L47" s="22" t="n">
        <v>2</v>
      </c>
      <c r="M47" s="22" t="s">
        <v>102</v>
      </c>
      <c r="N47" s="28"/>
    </row>
    <row r="48" customFormat="false" ht="15" hidden="false" customHeight="false" outlineLevel="0" collapsed="false">
      <c r="A48" s="19" t="str">
        <f aca="false">IF($B48="","","EX-"&amp;TEXT(ROW()-6,"000"))</f>
        <v>EX-042</v>
      </c>
      <c r="B48" s="28" t="s">
        <v>277</v>
      </c>
      <c r="C48" s="22" t="s">
        <v>278</v>
      </c>
      <c r="D48" s="22" t="s">
        <v>165</v>
      </c>
      <c r="E48" s="22" t="s">
        <v>97</v>
      </c>
      <c r="F48" s="28" t="s">
        <v>279</v>
      </c>
      <c r="G48" s="28" t="s">
        <v>280</v>
      </c>
      <c r="H48" s="28" t="s">
        <v>281</v>
      </c>
      <c r="I48" s="22" t="n">
        <v>1</v>
      </c>
      <c r="J48" s="22" t="n">
        <v>10</v>
      </c>
      <c r="K48" s="22" t="s">
        <v>107</v>
      </c>
      <c r="L48" s="22" t="n">
        <v>6</v>
      </c>
      <c r="M48" s="22" t="s">
        <v>108</v>
      </c>
      <c r="N48" s="28"/>
    </row>
    <row r="49" customFormat="false" ht="15" hidden="false" customHeight="false" outlineLevel="0" collapsed="false">
      <c r="A49" s="19" t="str">
        <f aca="false">IF($B49="","","EX-"&amp;TEXT(ROW()-6,"000"))</f>
        <v/>
      </c>
      <c r="B49" s="28"/>
      <c r="C49" s="22"/>
      <c r="D49" s="22"/>
      <c r="E49" s="22"/>
      <c r="F49" s="28"/>
      <c r="G49" s="28"/>
      <c r="H49" s="28"/>
      <c r="I49" s="22"/>
      <c r="J49" s="22"/>
      <c r="K49" s="22"/>
      <c r="L49" s="22"/>
      <c r="M49" s="22"/>
      <c r="N49" s="28"/>
    </row>
    <row r="50" customFormat="false" ht="15" hidden="false" customHeight="false" outlineLevel="0" collapsed="false">
      <c r="A50" s="19" t="str">
        <f aca="false">IF($B50="","","EX-"&amp;TEXT(ROW()-6,"000"))</f>
        <v/>
      </c>
      <c r="B50" s="28"/>
      <c r="C50" s="22"/>
      <c r="D50" s="22"/>
      <c r="E50" s="22"/>
      <c r="F50" s="28"/>
      <c r="G50" s="28"/>
      <c r="H50" s="28"/>
      <c r="I50" s="22"/>
      <c r="J50" s="22"/>
      <c r="K50" s="22"/>
      <c r="L50" s="22"/>
      <c r="M50" s="22"/>
      <c r="N50" s="28"/>
    </row>
    <row r="51" customFormat="false" ht="15" hidden="false" customHeight="false" outlineLevel="0" collapsed="false">
      <c r="A51" s="19" t="str">
        <f aca="false">IF($B51="","","EX-"&amp;TEXT(ROW()-6,"000"))</f>
        <v/>
      </c>
      <c r="B51" s="28"/>
      <c r="C51" s="22"/>
      <c r="D51" s="22"/>
      <c r="E51" s="22"/>
      <c r="F51" s="28"/>
      <c r="G51" s="28"/>
      <c r="H51" s="28"/>
      <c r="I51" s="22"/>
      <c r="J51" s="22"/>
      <c r="K51" s="22"/>
      <c r="L51" s="22"/>
      <c r="M51" s="22"/>
      <c r="N51" s="28"/>
    </row>
    <row r="52" customFormat="false" ht="15" hidden="false" customHeight="false" outlineLevel="0" collapsed="false">
      <c r="A52" s="19" t="str">
        <f aca="false">IF($B52="","","EX-"&amp;TEXT(ROW()-6,"000"))</f>
        <v/>
      </c>
      <c r="B52" s="28"/>
      <c r="C52" s="22"/>
      <c r="D52" s="22"/>
      <c r="E52" s="22"/>
      <c r="F52" s="28"/>
      <c r="G52" s="28"/>
      <c r="H52" s="28"/>
      <c r="I52" s="22"/>
      <c r="J52" s="22"/>
      <c r="K52" s="22"/>
      <c r="L52" s="22"/>
      <c r="M52" s="22"/>
      <c r="N52" s="28"/>
    </row>
    <row r="53" customFormat="false" ht="15" hidden="false" customHeight="false" outlineLevel="0" collapsed="false">
      <c r="A53" s="19" t="str">
        <f aca="false">IF($B53="","","EX-"&amp;TEXT(ROW()-6,"000"))</f>
        <v/>
      </c>
      <c r="B53" s="28"/>
      <c r="C53" s="22"/>
      <c r="D53" s="22"/>
      <c r="E53" s="22"/>
      <c r="F53" s="28"/>
      <c r="G53" s="28"/>
      <c r="H53" s="28"/>
      <c r="I53" s="22"/>
      <c r="J53" s="22"/>
      <c r="K53" s="22"/>
      <c r="L53" s="22"/>
      <c r="M53" s="22"/>
      <c r="N53" s="28"/>
    </row>
    <row r="54" customFormat="false" ht="15" hidden="false" customHeight="false" outlineLevel="0" collapsed="false">
      <c r="A54" s="19" t="str">
        <f aca="false">IF($B54="","","EX-"&amp;TEXT(ROW()-6,"000"))</f>
        <v/>
      </c>
      <c r="B54" s="28"/>
      <c r="C54" s="22"/>
      <c r="D54" s="22"/>
      <c r="E54" s="22"/>
      <c r="F54" s="28"/>
      <c r="G54" s="28"/>
      <c r="H54" s="28"/>
      <c r="I54" s="22"/>
      <c r="J54" s="22"/>
      <c r="K54" s="22"/>
      <c r="L54" s="22"/>
      <c r="M54" s="22"/>
      <c r="N54" s="28"/>
    </row>
    <row r="55" customFormat="false" ht="15" hidden="false" customHeight="false" outlineLevel="0" collapsed="false">
      <c r="A55" s="19" t="str">
        <f aca="false">IF($B55="","","EX-"&amp;TEXT(ROW()-6,"000"))</f>
        <v/>
      </c>
      <c r="B55" s="28"/>
      <c r="C55" s="22"/>
      <c r="D55" s="22"/>
      <c r="E55" s="22"/>
      <c r="F55" s="28"/>
      <c r="G55" s="28"/>
      <c r="H55" s="28"/>
      <c r="I55" s="22"/>
      <c r="J55" s="22"/>
      <c r="K55" s="22"/>
      <c r="L55" s="22"/>
      <c r="M55" s="22"/>
      <c r="N55" s="28"/>
    </row>
    <row r="56" customFormat="false" ht="15" hidden="false" customHeight="false" outlineLevel="0" collapsed="false">
      <c r="A56" s="19" t="str">
        <f aca="false">IF($B56="","","EX-"&amp;TEXT(ROW()-6,"000"))</f>
        <v/>
      </c>
      <c r="B56" s="28"/>
      <c r="C56" s="22"/>
      <c r="D56" s="22"/>
      <c r="E56" s="22"/>
      <c r="F56" s="28"/>
      <c r="G56" s="28"/>
      <c r="H56" s="28"/>
      <c r="I56" s="22"/>
      <c r="J56" s="22"/>
      <c r="K56" s="22"/>
      <c r="L56" s="22"/>
      <c r="M56" s="22"/>
      <c r="N56" s="28"/>
    </row>
    <row r="57" customFormat="false" ht="15" hidden="false" customHeight="false" outlineLevel="0" collapsed="false">
      <c r="A57" s="19" t="str">
        <f aca="false">IF($B57="","","EX-"&amp;TEXT(ROW()-6,"000"))</f>
        <v/>
      </c>
      <c r="B57" s="28"/>
      <c r="C57" s="22"/>
      <c r="D57" s="22"/>
      <c r="E57" s="22"/>
      <c r="F57" s="28"/>
      <c r="G57" s="28"/>
      <c r="H57" s="28"/>
      <c r="I57" s="22"/>
      <c r="J57" s="22"/>
      <c r="K57" s="22"/>
      <c r="L57" s="22"/>
      <c r="M57" s="22"/>
      <c r="N57" s="28"/>
    </row>
    <row r="58" customFormat="false" ht="15" hidden="false" customHeight="false" outlineLevel="0" collapsed="false">
      <c r="A58" s="19" t="str">
        <f aca="false">IF($B58="","","EX-"&amp;TEXT(ROW()-6,"000"))</f>
        <v/>
      </c>
      <c r="B58" s="28"/>
      <c r="C58" s="22"/>
      <c r="D58" s="22"/>
      <c r="E58" s="22"/>
      <c r="F58" s="28"/>
      <c r="G58" s="28"/>
      <c r="H58" s="28"/>
      <c r="I58" s="22"/>
      <c r="J58" s="22"/>
      <c r="K58" s="22"/>
      <c r="L58" s="22"/>
      <c r="M58" s="22"/>
      <c r="N58" s="28"/>
    </row>
    <row r="59" customFormat="false" ht="15" hidden="false" customHeight="false" outlineLevel="0" collapsed="false">
      <c r="A59" s="19" t="str">
        <f aca="false">IF($B59="","","EX-"&amp;TEXT(ROW()-6,"000"))</f>
        <v/>
      </c>
      <c r="B59" s="28"/>
      <c r="C59" s="22"/>
      <c r="D59" s="22"/>
      <c r="E59" s="22"/>
      <c r="F59" s="28"/>
      <c r="G59" s="28"/>
      <c r="H59" s="28"/>
      <c r="I59" s="22"/>
      <c r="J59" s="22"/>
      <c r="K59" s="22"/>
      <c r="L59" s="22"/>
      <c r="M59" s="22"/>
      <c r="N59" s="28"/>
    </row>
    <row r="60" customFormat="false" ht="15" hidden="false" customHeight="false" outlineLevel="0" collapsed="false">
      <c r="A60" s="19" t="str">
        <f aca="false">IF($B60="","","EX-"&amp;TEXT(ROW()-6,"000"))</f>
        <v/>
      </c>
      <c r="B60" s="28"/>
      <c r="C60" s="22"/>
      <c r="D60" s="22"/>
      <c r="E60" s="22"/>
      <c r="F60" s="28"/>
      <c r="G60" s="28"/>
      <c r="H60" s="28"/>
      <c r="I60" s="22"/>
      <c r="J60" s="22"/>
      <c r="K60" s="22"/>
      <c r="L60" s="22"/>
      <c r="M60" s="22"/>
      <c r="N60" s="28"/>
    </row>
    <row r="61" customFormat="false" ht="15" hidden="false" customHeight="false" outlineLevel="0" collapsed="false">
      <c r="A61" s="19" t="str">
        <f aca="false">IF($B61="","","EX-"&amp;TEXT(ROW()-6,"000"))</f>
        <v/>
      </c>
      <c r="B61" s="28"/>
      <c r="C61" s="22"/>
      <c r="D61" s="22"/>
      <c r="E61" s="22"/>
      <c r="F61" s="28"/>
      <c r="G61" s="28"/>
      <c r="H61" s="28"/>
      <c r="I61" s="22"/>
      <c r="J61" s="22"/>
      <c r="K61" s="22"/>
      <c r="L61" s="22"/>
      <c r="M61" s="22"/>
      <c r="N61" s="28"/>
    </row>
    <row r="62" customFormat="false" ht="15" hidden="false" customHeight="false" outlineLevel="0" collapsed="false">
      <c r="A62" s="19" t="str">
        <f aca="false">IF($B62="","","EX-"&amp;TEXT(ROW()-6,"000"))</f>
        <v/>
      </c>
      <c r="B62" s="28"/>
      <c r="C62" s="22"/>
      <c r="D62" s="22"/>
      <c r="E62" s="22"/>
      <c r="F62" s="28"/>
      <c r="G62" s="28"/>
      <c r="H62" s="28"/>
      <c r="I62" s="22"/>
      <c r="J62" s="22"/>
      <c r="K62" s="22"/>
      <c r="L62" s="22"/>
      <c r="M62" s="22"/>
      <c r="N62" s="28"/>
    </row>
    <row r="63" customFormat="false" ht="15" hidden="false" customHeight="false" outlineLevel="0" collapsed="false">
      <c r="A63" s="19" t="str">
        <f aca="false">IF($B63="","","EX-"&amp;TEXT(ROW()-6,"000"))</f>
        <v/>
      </c>
      <c r="B63" s="28"/>
      <c r="C63" s="22"/>
      <c r="D63" s="22"/>
      <c r="E63" s="22"/>
      <c r="F63" s="28"/>
      <c r="G63" s="28"/>
      <c r="H63" s="28"/>
      <c r="I63" s="22"/>
      <c r="J63" s="22"/>
      <c r="K63" s="22"/>
      <c r="L63" s="22"/>
      <c r="M63" s="22"/>
      <c r="N63" s="28"/>
    </row>
    <row r="64" customFormat="false" ht="15" hidden="false" customHeight="false" outlineLevel="0" collapsed="false">
      <c r="A64" s="19" t="str">
        <f aca="false">IF($B64="","","EX-"&amp;TEXT(ROW()-6,"000"))</f>
        <v/>
      </c>
      <c r="B64" s="28"/>
      <c r="C64" s="22"/>
      <c r="D64" s="22"/>
      <c r="E64" s="22"/>
      <c r="F64" s="28"/>
      <c r="G64" s="28"/>
      <c r="H64" s="28"/>
      <c r="I64" s="22"/>
      <c r="J64" s="22"/>
      <c r="K64" s="22"/>
      <c r="L64" s="22"/>
      <c r="M64" s="22"/>
      <c r="N64" s="28"/>
    </row>
    <row r="65" customFormat="false" ht="15" hidden="false" customHeight="false" outlineLevel="0" collapsed="false">
      <c r="A65" s="19" t="str">
        <f aca="false">IF($B65="","","EX-"&amp;TEXT(ROW()-6,"000"))</f>
        <v/>
      </c>
      <c r="B65" s="28"/>
      <c r="C65" s="22"/>
      <c r="D65" s="22"/>
      <c r="E65" s="22"/>
      <c r="F65" s="28"/>
      <c r="G65" s="28"/>
      <c r="H65" s="28"/>
      <c r="I65" s="22"/>
      <c r="J65" s="22"/>
      <c r="K65" s="22"/>
      <c r="L65" s="22"/>
      <c r="M65" s="22"/>
      <c r="N65" s="28"/>
    </row>
    <row r="66" customFormat="false" ht="15" hidden="false" customHeight="false" outlineLevel="0" collapsed="false">
      <c r="A66" s="19" t="str">
        <f aca="false">IF($B66="","","EX-"&amp;TEXT(ROW()-6,"000"))</f>
        <v/>
      </c>
      <c r="B66" s="28"/>
      <c r="C66" s="22"/>
      <c r="D66" s="22"/>
      <c r="E66" s="22"/>
      <c r="F66" s="28"/>
      <c r="G66" s="28"/>
      <c r="H66" s="28"/>
      <c r="I66" s="22"/>
      <c r="J66" s="22"/>
      <c r="K66" s="22"/>
      <c r="L66" s="22"/>
      <c r="M66" s="22"/>
      <c r="N66" s="28"/>
    </row>
    <row r="67" customFormat="false" ht="15" hidden="false" customHeight="false" outlineLevel="0" collapsed="false">
      <c r="A67" s="19" t="str">
        <f aca="false">IF($B67="","","EX-"&amp;TEXT(ROW()-6,"000"))</f>
        <v/>
      </c>
      <c r="B67" s="28"/>
      <c r="C67" s="22"/>
      <c r="D67" s="22"/>
      <c r="E67" s="22"/>
      <c r="F67" s="28"/>
      <c r="G67" s="28"/>
      <c r="H67" s="28"/>
      <c r="I67" s="22"/>
      <c r="J67" s="22"/>
      <c r="K67" s="22"/>
      <c r="L67" s="22"/>
      <c r="M67" s="22"/>
      <c r="N67" s="28"/>
    </row>
    <row r="68" customFormat="false" ht="15" hidden="false" customHeight="false" outlineLevel="0" collapsed="false">
      <c r="A68" s="19" t="str">
        <f aca="false">IF($B68="","","EX-"&amp;TEXT(ROW()-6,"000"))</f>
        <v/>
      </c>
      <c r="B68" s="28"/>
      <c r="C68" s="22"/>
      <c r="D68" s="22"/>
      <c r="E68" s="22"/>
      <c r="F68" s="28"/>
      <c r="G68" s="28"/>
      <c r="H68" s="28"/>
      <c r="I68" s="22"/>
      <c r="J68" s="22"/>
      <c r="K68" s="22"/>
      <c r="L68" s="22"/>
      <c r="M68" s="22"/>
      <c r="N68" s="28"/>
    </row>
    <row r="69" customFormat="false" ht="15" hidden="false" customHeight="false" outlineLevel="0" collapsed="false">
      <c r="A69" s="19" t="str">
        <f aca="false">IF($B69="","","EX-"&amp;TEXT(ROW()-6,"000"))</f>
        <v/>
      </c>
      <c r="B69" s="28"/>
      <c r="C69" s="22"/>
      <c r="D69" s="22"/>
      <c r="E69" s="22"/>
      <c r="F69" s="28"/>
      <c r="G69" s="28"/>
      <c r="H69" s="28"/>
      <c r="I69" s="22"/>
      <c r="J69" s="22"/>
      <c r="K69" s="22"/>
      <c r="L69" s="22"/>
      <c r="M69" s="22"/>
      <c r="N69" s="28"/>
    </row>
    <row r="70" customFormat="false" ht="15" hidden="false" customHeight="false" outlineLevel="0" collapsed="false">
      <c r="A70" s="19" t="str">
        <f aca="false">IF($B70="","","EX-"&amp;TEXT(ROW()-6,"000"))</f>
        <v/>
      </c>
      <c r="B70" s="28"/>
      <c r="C70" s="22"/>
      <c r="D70" s="22"/>
      <c r="E70" s="22"/>
      <c r="F70" s="28"/>
      <c r="G70" s="28"/>
      <c r="H70" s="28"/>
      <c r="I70" s="22"/>
      <c r="J70" s="22"/>
      <c r="K70" s="22"/>
      <c r="L70" s="22"/>
      <c r="M70" s="22"/>
      <c r="N70" s="28"/>
    </row>
    <row r="71" customFormat="false" ht="15" hidden="false" customHeight="false" outlineLevel="0" collapsed="false">
      <c r="A71" s="19" t="str">
        <f aca="false">IF($B71="","","EX-"&amp;TEXT(ROW()-6,"000"))</f>
        <v/>
      </c>
      <c r="B71" s="28"/>
      <c r="C71" s="22"/>
      <c r="D71" s="22"/>
      <c r="E71" s="22"/>
      <c r="F71" s="28"/>
      <c r="G71" s="28"/>
      <c r="H71" s="28"/>
      <c r="I71" s="22"/>
      <c r="J71" s="22"/>
      <c r="K71" s="22"/>
      <c r="L71" s="22"/>
      <c r="M71" s="22"/>
      <c r="N71" s="28"/>
    </row>
    <row r="72" customFormat="false" ht="15" hidden="false" customHeight="false" outlineLevel="0" collapsed="false">
      <c r="A72" s="19" t="str">
        <f aca="false">IF($B72="","","EX-"&amp;TEXT(ROW()-6,"000"))</f>
        <v/>
      </c>
      <c r="B72" s="28"/>
      <c r="C72" s="22"/>
      <c r="D72" s="22"/>
      <c r="E72" s="22"/>
      <c r="F72" s="28"/>
      <c r="G72" s="28"/>
      <c r="H72" s="28"/>
      <c r="I72" s="22"/>
      <c r="J72" s="22"/>
      <c r="K72" s="22"/>
      <c r="L72" s="22"/>
      <c r="M72" s="22"/>
      <c r="N72" s="28"/>
    </row>
    <row r="73" customFormat="false" ht="15" hidden="false" customHeight="false" outlineLevel="0" collapsed="false">
      <c r="A73" s="19" t="str">
        <f aca="false">IF($B73="","","EX-"&amp;TEXT(ROW()-6,"000"))</f>
        <v/>
      </c>
      <c r="B73" s="28"/>
      <c r="C73" s="22"/>
      <c r="D73" s="22"/>
      <c r="E73" s="22"/>
      <c r="F73" s="28"/>
      <c r="G73" s="28"/>
      <c r="H73" s="28"/>
      <c r="I73" s="22"/>
      <c r="J73" s="22"/>
      <c r="K73" s="22"/>
      <c r="L73" s="22"/>
      <c r="M73" s="22"/>
      <c r="N73" s="28"/>
    </row>
    <row r="74" customFormat="false" ht="15" hidden="false" customHeight="false" outlineLevel="0" collapsed="false">
      <c r="A74" s="19" t="str">
        <f aca="false">IF($B74="","","EX-"&amp;TEXT(ROW()-6,"000"))</f>
        <v/>
      </c>
      <c r="B74" s="28"/>
      <c r="C74" s="22"/>
      <c r="D74" s="22"/>
      <c r="E74" s="22"/>
      <c r="F74" s="28"/>
      <c r="G74" s="28"/>
      <c r="H74" s="28"/>
      <c r="I74" s="22"/>
      <c r="J74" s="22"/>
      <c r="K74" s="22"/>
      <c r="L74" s="22"/>
      <c r="M74" s="22"/>
      <c r="N74" s="28"/>
    </row>
    <row r="75" customFormat="false" ht="15" hidden="false" customHeight="false" outlineLevel="0" collapsed="false">
      <c r="A75" s="19" t="str">
        <f aca="false">IF($B75="","","EX-"&amp;TEXT(ROW()-6,"000"))</f>
        <v/>
      </c>
      <c r="B75" s="28"/>
      <c r="C75" s="22"/>
      <c r="D75" s="22"/>
      <c r="E75" s="22"/>
      <c r="F75" s="28"/>
      <c r="G75" s="28"/>
      <c r="H75" s="28"/>
      <c r="I75" s="22"/>
      <c r="J75" s="22"/>
      <c r="K75" s="22"/>
      <c r="L75" s="22"/>
      <c r="M75" s="22"/>
      <c r="N75" s="28"/>
    </row>
    <row r="76" customFormat="false" ht="15" hidden="false" customHeight="false" outlineLevel="0" collapsed="false">
      <c r="A76" s="19" t="str">
        <f aca="false">IF($B76="","","EX-"&amp;TEXT(ROW()-6,"000"))</f>
        <v/>
      </c>
      <c r="B76" s="28"/>
      <c r="C76" s="22"/>
      <c r="D76" s="22"/>
      <c r="E76" s="22"/>
      <c r="F76" s="28"/>
      <c r="G76" s="28"/>
      <c r="H76" s="28"/>
      <c r="I76" s="22"/>
      <c r="J76" s="22"/>
      <c r="K76" s="22"/>
      <c r="L76" s="22"/>
      <c r="M76" s="22"/>
      <c r="N76" s="28"/>
    </row>
    <row r="77" customFormat="false" ht="15" hidden="false" customHeight="false" outlineLevel="0" collapsed="false">
      <c r="A77" s="19" t="str">
        <f aca="false">IF($B77="","","EX-"&amp;TEXT(ROW()-6,"000"))</f>
        <v/>
      </c>
      <c r="B77" s="28"/>
      <c r="C77" s="22"/>
      <c r="D77" s="22"/>
      <c r="E77" s="22"/>
      <c r="F77" s="28"/>
      <c r="G77" s="28"/>
      <c r="H77" s="28"/>
      <c r="I77" s="22"/>
      <c r="J77" s="22"/>
      <c r="K77" s="22"/>
      <c r="L77" s="22"/>
      <c r="M77" s="22"/>
      <c r="N77" s="28"/>
    </row>
    <row r="78" customFormat="false" ht="15" hidden="false" customHeight="false" outlineLevel="0" collapsed="false">
      <c r="A78" s="19" t="str">
        <f aca="false">IF($B78="","","EX-"&amp;TEXT(ROW()-6,"000"))</f>
        <v/>
      </c>
      <c r="B78" s="28"/>
      <c r="C78" s="22"/>
      <c r="D78" s="22"/>
      <c r="E78" s="22"/>
      <c r="F78" s="28"/>
      <c r="G78" s="28"/>
      <c r="H78" s="28"/>
      <c r="I78" s="22"/>
      <c r="J78" s="22"/>
      <c r="K78" s="22"/>
      <c r="L78" s="22"/>
      <c r="M78" s="22"/>
      <c r="N78" s="28"/>
    </row>
    <row r="79" customFormat="false" ht="15" hidden="false" customHeight="false" outlineLevel="0" collapsed="false">
      <c r="A79" s="19" t="str">
        <f aca="false">IF($B79="","","EX-"&amp;TEXT(ROW()-6,"000"))</f>
        <v/>
      </c>
      <c r="B79" s="28"/>
      <c r="C79" s="22"/>
      <c r="D79" s="22"/>
      <c r="E79" s="22"/>
      <c r="F79" s="28"/>
      <c r="G79" s="28"/>
      <c r="H79" s="28"/>
      <c r="I79" s="22"/>
      <c r="J79" s="22"/>
      <c r="K79" s="22"/>
      <c r="L79" s="22"/>
      <c r="M79" s="22"/>
      <c r="N79" s="28"/>
    </row>
    <row r="80" customFormat="false" ht="15" hidden="false" customHeight="false" outlineLevel="0" collapsed="false">
      <c r="A80" s="19" t="str">
        <f aca="false">IF($B80="","","EX-"&amp;TEXT(ROW()-6,"000"))</f>
        <v/>
      </c>
      <c r="B80" s="28"/>
      <c r="C80" s="22"/>
      <c r="D80" s="22"/>
      <c r="E80" s="22"/>
      <c r="F80" s="28"/>
      <c r="G80" s="28"/>
      <c r="H80" s="28"/>
      <c r="I80" s="22"/>
      <c r="J80" s="22"/>
      <c r="K80" s="22"/>
      <c r="L80" s="22"/>
      <c r="M80" s="22"/>
      <c r="N80" s="28"/>
    </row>
    <row r="81" customFormat="false" ht="15" hidden="false" customHeight="false" outlineLevel="0" collapsed="false">
      <c r="A81" s="19" t="str">
        <f aca="false">IF($B81="","","EX-"&amp;TEXT(ROW()-6,"000"))</f>
        <v/>
      </c>
      <c r="B81" s="28"/>
      <c r="C81" s="22"/>
      <c r="D81" s="22"/>
      <c r="E81" s="22"/>
      <c r="F81" s="28"/>
      <c r="G81" s="28"/>
      <c r="H81" s="28"/>
      <c r="I81" s="22"/>
      <c r="J81" s="22"/>
      <c r="K81" s="22"/>
      <c r="L81" s="22"/>
      <c r="M81" s="22"/>
      <c r="N81" s="28"/>
    </row>
    <row r="82" customFormat="false" ht="15" hidden="false" customHeight="false" outlineLevel="0" collapsed="false">
      <c r="A82" s="19" t="str">
        <f aca="false">IF($B82="","","EX-"&amp;TEXT(ROW()-6,"000"))</f>
        <v/>
      </c>
      <c r="B82" s="28"/>
      <c r="C82" s="22"/>
      <c r="D82" s="22"/>
      <c r="E82" s="22"/>
      <c r="F82" s="28"/>
      <c r="G82" s="28"/>
      <c r="H82" s="28"/>
      <c r="I82" s="22"/>
      <c r="J82" s="22"/>
      <c r="K82" s="22"/>
      <c r="L82" s="22"/>
      <c r="M82" s="22"/>
      <c r="N82" s="28"/>
    </row>
    <row r="83" customFormat="false" ht="15" hidden="false" customHeight="false" outlineLevel="0" collapsed="false">
      <c r="A83" s="19" t="str">
        <f aca="false">IF($B83="","","EX-"&amp;TEXT(ROW()-6,"000"))</f>
        <v/>
      </c>
      <c r="B83" s="28"/>
      <c r="C83" s="22"/>
      <c r="D83" s="22"/>
      <c r="E83" s="22"/>
      <c r="F83" s="28"/>
      <c r="G83" s="28"/>
      <c r="H83" s="28"/>
      <c r="I83" s="22"/>
      <c r="J83" s="22"/>
      <c r="K83" s="22"/>
      <c r="L83" s="22"/>
      <c r="M83" s="22"/>
      <c r="N83" s="28"/>
    </row>
    <row r="84" customFormat="false" ht="15" hidden="false" customHeight="false" outlineLevel="0" collapsed="false">
      <c r="A84" s="19" t="str">
        <f aca="false">IF($B84="","","EX-"&amp;TEXT(ROW()-6,"000"))</f>
        <v/>
      </c>
      <c r="B84" s="28"/>
      <c r="C84" s="22"/>
      <c r="D84" s="22"/>
      <c r="E84" s="22"/>
      <c r="F84" s="28"/>
      <c r="G84" s="28"/>
      <c r="H84" s="28"/>
      <c r="I84" s="22"/>
      <c r="J84" s="22"/>
      <c r="K84" s="22"/>
      <c r="L84" s="22"/>
      <c r="M84" s="22"/>
      <c r="N84" s="28"/>
    </row>
    <row r="85" customFormat="false" ht="15" hidden="false" customHeight="false" outlineLevel="0" collapsed="false">
      <c r="A85" s="19" t="str">
        <f aca="false">IF($B85="","","EX-"&amp;TEXT(ROW()-6,"000"))</f>
        <v/>
      </c>
      <c r="B85" s="28"/>
      <c r="C85" s="22"/>
      <c r="D85" s="22"/>
      <c r="E85" s="22"/>
      <c r="F85" s="28"/>
      <c r="G85" s="28"/>
      <c r="H85" s="28"/>
      <c r="I85" s="22"/>
      <c r="J85" s="22"/>
      <c r="K85" s="22"/>
      <c r="L85" s="22"/>
      <c r="M85" s="22"/>
      <c r="N85" s="28"/>
    </row>
    <row r="86" customFormat="false" ht="15" hidden="false" customHeight="false" outlineLevel="0" collapsed="false">
      <c r="A86" s="19" t="str">
        <f aca="false">IF($B86="","","EX-"&amp;TEXT(ROW()-6,"000"))</f>
        <v/>
      </c>
      <c r="B86" s="28"/>
      <c r="C86" s="22"/>
      <c r="D86" s="22"/>
      <c r="E86" s="22"/>
      <c r="F86" s="28"/>
      <c r="G86" s="28"/>
      <c r="H86" s="28"/>
      <c r="I86" s="22"/>
      <c r="J86" s="22"/>
      <c r="K86" s="22"/>
      <c r="L86" s="22"/>
      <c r="M86" s="22"/>
      <c r="N86" s="28"/>
    </row>
    <row r="87" customFormat="false" ht="15" hidden="false" customHeight="false" outlineLevel="0" collapsed="false">
      <c r="A87" s="19" t="str">
        <f aca="false">IF($B87="","","EX-"&amp;TEXT(ROW()-6,"000"))</f>
        <v/>
      </c>
      <c r="B87" s="28"/>
      <c r="C87" s="22"/>
      <c r="D87" s="22"/>
      <c r="E87" s="22"/>
      <c r="F87" s="28"/>
      <c r="G87" s="28"/>
      <c r="H87" s="28"/>
      <c r="I87" s="22"/>
      <c r="J87" s="22"/>
      <c r="K87" s="22"/>
      <c r="L87" s="22"/>
      <c r="M87" s="22"/>
      <c r="N87" s="28"/>
    </row>
    <row r="88" customFormat="false" ht="15" hidden="false" customHeight="false" outlineLevel="0" collapsed="false">
      <c r="A88" s="19" t="str">
        <f aca="false">IF($B88="","","EX-"&amp;TEXT(ROW()-6,"000"))</f>
        <v/>
      </c>
      <c r="B88" s="28"/>
      <c r="C88" s="22"/>
      <c r="D88" s="22"/>
      <c r="E88" s="22"/>
      <c r="F88" s="28"/>
      <c r="G88" s="28"/>
      <c r="H88" s="28"/>
      <c r="I88" s="22"/>
      <c r="J88" s="22"/>
      <c r="K88" s="22"/>
      <c r="L88" s="22"/>
      <c r="M88" s="22"/>
      <c r="N88" s="28"/>
    </row>
    <row r="89" customFormat="false" ht="15" hidden="false" customHeight="false" outlineLevel="0" collapsed="false">
      <c r="A89" s="19" t="str">
        <f aca="false">IF($B89="","","EX-"&amp;TEXT(ROW()-6,"000"))</f>
        <v/>
      </c>
      <c r="B89" s="28"/>
      <c r="C89" s="22"/>
      <c r="D89" s="22"/>
      <c r="E89" s="22"/>
      <c r="F89" s="28"/>
      <c r="G89" s="28"/>
      <c r="H89" s="28"/>
      <c r="I89" s="22"/>
      <c r="J89" s="22"/>
      <c r="K89" s="22"/>
      <c r="L89" s="22"/>
      <c r="M89" s="22"/>
      <c r="N89" s="28"/>
    </row>
    <row r="90" customFormat="false" ht="15" hidden="false" customHeight="false" outlineLevel="0" collapsed="false">
      <c r="A90" s="19" t="str">
        <f aca="false">IF($B90="","","EX-"&amp;TEXT(ROW()-6,"000"))</f>
        <v/>
      </c>
      <c r="B90" s="28"/>
      <c r="C90" s="22"/>
      <c r="D90" s="22"/>
      <c r="E90" s="22"/>
      <c r="F90" s="28"/>
      <c r="G90" s="28"/>
      <c r="H90" s="28"/>
      <c r="I90" s="22"/>
      <c r="J90" s="22"/>
      <c r="K90" s="22"/>
      <c r="L90" s="22"/>
      <c r="M90" s="22"/>
      <c r="N90" s="28"/>
    </row>
    <row r="91" customFormat="false" ht="15" hidden="false" customHeight="false" outlineLevel="0" collapsed="false">
      <c r="A91" s="19" t="str">
        <f aca="false">IF($B91="","","EX-"&amp;TEXT(ROW()-6,"000"))</f>
        <v/>
      </c>
      <c r="B91" s="28"/>
      <c r="C91" s="22"/>
      <c r="D91" s="22"/>
      <c r="E91" s="22"/>
      <c r="F91" s="28"/>
      <c r="G91" s="28"/>
      <c r="H91" s="28"/>
      <c r="I91" s="22"/>
      <c r="J91" s="22"/>
      <c r="K91" s="22"/>
      <c r="L91" s="22"/>
      <c r="M91" s="22"/>
      <c r="N91" s="28"/>
    </row>
    <row r="92" customFormat="false" ht="15" hidden="false" customHeight="false" outlineLevel="0" collapsed="false">
      <c r="A92" s="19" t="str">
        <f aca="false">IF($B92="","","EX-"&amp;TEXT(ROW()-6,"000"))</f>
        <v/>
      </c>
      <c r="B92" s="28"/>
      <c r="C92" s="22"/>
      <c r="D92" s="22"/>
      <c r="E92" s="22"/>
      <c r="F92" s="28"/>
      <c r="G92" s="28"/>
      <c r="H92" s="28"/>
      <c r="I92" s="22"/>
      <c r="J92" s="22"/>
      <c r="K92" s="22"/>
      <c r="L92" s="22"/>
      <c r="M92" s="22"/>
      <c r="N92" s="28"/>
    </row>
    <row r="93" customFormat="false" ht="15" hidden="false" customHeight="false" outlineLevel="0" collapsed="false">
      <c r="A93" s="19" t="str">
        <f aca="false">IF($B93="","","EX-"&amp;TEXT(ROW()-6,"000"))</f>
        <v/>
      </c>
      <c r="B93" s="28"/>
      <c r="C93" s="22"/>
      <c r="D93" s="22"/>
      <c r="E93" s="22"/>
      <c r="F93" s="28"/>
      <c r="G93" s="28"/>
      <c r="H93" s="28"/>
      <c r="I93" s="22"/>
      <c r="J93" s="22"/>
      <c r="K93" s="22"/>
      <c r="L93" s="22"/>
      <c r="M93" s="22"/>
      <c r="N93" s="28"/>
    </row>
    <row r="94" customFormat="false" ht="15" hidden="false" customHeight="false" outlineLevel="0" collapsed="false">
      <c r="A94" s="19" t="str">
        <f aca="false">IF($B94="","","EX-"&amp;TEXT(ROW()-6,"000"))</f>
        <v/>
      </c>
      <c r="B94" s="28"/>
      <c r="C94" s="22"/>
      <c r="D94" s="22"/>
      <c r="E94" s="22"/>
      <c r="F94" s="28"/>
      <c r="G94" s="28"/>
      <c r="H94" s="28"/>
      <c r="I94" s="22"/>
      <c r="J94" s="22"/>
      <c r="K94" s="22"/>
      <c r="L94" s="22"/>
      <c r="M94" s="22"/>
      <c r="N94" s="28"/>
    </row>
    <row r="95" customFormat="false" ht="15" hidden="false" customHeight="false" outlineLevel="0" collapsed="false">
      <c r="A95" s="19" t="str">
        <f aca="false">IF($B95="","","EX-"&amp;TEXT(ROW()-6,"000"))</f>
        <v/>
      </c>
      <c r="B95" s="28"/>
      <c r="C95" s="22"/>
      <c r="D95" s="22"/>
      <c r="E95" s="22"/>
      <c r="F95" s="28"/>
      <c r="G95" s="28"/>
      <c r="H95" s="28"/>
      <c r="I95" s="22"/>
      <c r="J95" s="22"/>
      <c r="K95" s="22"/>
      <c r="L95" s="22"/>
      <c r="M95" s="22"/>
      <c r="N95" s="28"/>
    </row>
    <row r="96" customFormat="false" ht="15" hidden="false" customHeight="false" outlineLevel="0" collapsed="false">
      <c r="A96" s="19" t="str">
        <f aca="false">IF($B96="","","EX-"&amp;TEXT(ROW()-6,"000"))</f>
        <v/>
      </c>
      <c r="B96" s="28"/>
      <c r="C96" s="22"/>
      <c r="D96" s="22"/>
      <c r="E96" s="22"/>
      <c r="F96" s="28"/>
      <c r="G96" s="28"/>
      <c r="H96" s="28"/>
      <c r="I96" s="22"/>
      <c r="J96" s="22"/>
      <c r="K96" s="22"/>
      <c r="L96" s="22"/>
      <c r="M96" s="22"/>
      <c r="N96" s="28"/>
    </row>
    <row r="97" customFormat="false" ht="15" hidden="false" customHeight="false" outlineLevel="0" collapsed="false">
      <c r="A97" s="19" t="str">
        <f aca="false">IF($B97="","","EX-"&amp;TEXT(ROW()-6,"000"))</f>
        <v/>
      </c>
      <c r="B97" s="28"/>
      <c r="C97" s="22"/>
      <c r="D97" s="22"/>
      <c r="E97" s="22"/>
      <c r="F97" s="28"/>
      <c r="G97" s="28"/>
      <c r="H97" s="28"/>
      <c r="I97" s="22"/>
      <c r="J97" s="22"/>
      <c r="K97" s="22"/>
      <c r="L97" s="22"/>
      <c r="M97" s="22"/>
      <c r="N97" s="28"/>
    </row>
    <row r="98" customFormat="false" ht="15" hidden="false" customHeight="false" outlineLevel="0" collapsed="false">
      <c r="A98" s="19" t="str">
        <f aca="false">IF($B98="","","EX-"&amp;TEXT(ROW()-6,"000"))</f>
        <v/>
      </c>
      <c r="B98" s="28"/>
      <c r="C98" s="22"/>
      <c r="D98" s="22"/>
      <c r="E98" s="22"/>
      <c r="F98" s="28"/>
      <c r="G98" s="28"/>
      <c r="H98" s="28"/>
      <c r="I98" s="22"/>
      <c r="J98" s="22"/>
      <c r="K98" s="22"/>
      <c r="L98" s="22"/>
      <c r="M98" s="22"/>
      <c r="N98" s="28"/>
    </row>
    <row r="99" customFormat="false" ht="15" hidden="false" customHeight="false" outlineLevel="0" collapsed="false">
      <c r="A99" s="19" t="str">
        <f aca="false">IF($B99="","","EX-"&amp;TEXT(ROW()-6,"000"))</f>
        <v/>
      </c>
      <c r="B99" s="28"/>
      <c r="C99" s="22"/>
      <c r="D99" s="22"/>
      <c r="E99" s="22"/>
      <c r="F99" s="28"/>
      <c r="G99" s="28"/>
      <c r="H99" s="28"/>
      <c r="I99" s="22"/>
      <c r="J99" s="22"/>
      <c r="K99" s="22"/>
      <c r="L99" s="22"/>
      <c r="M99" s="22"/>
      <c r="N99" s="28"/>
    </row>
    <row r="100" customFormat="false" ht="15" hidden="false" customHeight="false" outlineLevel="0" collapsed="false">
      <c r="A100" s="19" t="str">
        <f aca="false">IF($B100="","","EX-"&amp;TEXT(ROW()-6,"000"))</f>
        <v/>
      </c>
      <c r="B100" s="28"/>
      <c r="C100" s="22"/>
      <c r="D100" s="22"/>
      <c r="E100" s="22"/>
      <c r="F100" s="28"/>
      <c r="G100" s="28"/>
      <c r="H100" s="28"/>
      <c r="I100" s="22"/>
      <c r="J100" s="22"/>
      <c r="K100" s="22"/>
      <c r="L100" s="22"/>
      <c r="M100" s="22"/>
      <c r="N100" s="28"/>
    </row>
    <row r="101" customFormat="false" ht="15" hidden="false" customHeight="false" outlineLevel="0" collapsed="false">
      <c r="A101" s="19" t="str">
        <f aca="false">IF($B101="","","EX-"&amp;TEXT(ROW()-6,"000"))</f>
        <v/>
      </c>
      <c r="B101" s="28"/>
      <c r="C101" s="22"/>
      <c r="D101" s="22"/>
      <c r="E101" s="22"/>
      <c r="F101" s="28"/>
      <c r="G101" s="28"/>
      <c r="H101" s="28"/>
      <c r="I101" s="22"/>
      <c r="J101" s="22"/>
      <c r="K101" s="22"/>
      <c r="L101" s="22"/>
      <c r="M101" s="22"/>
      <c r="N101" s="28"/>
    </row>
    <row r="102" customFormat="false" ht="15" hidden="false" customHeight="false" outlineLevel="0" collapsed="false">
      <c r="A102" s="19" t="str">
        <f aca="false">IF($B102="","","EX-"&amp;TEXT(ROW()-6,"000"))</f>
        <v/>
      </c>
      <c r="B102" s="28"/>
      <c r="C102" s="22"/>
      <c r="D102" s="22"/>
      <c r="E102" s="22"/>
      <c r="F102" s="28"/>
      <c r="G102" s="28"/>
      <c r="H102" s="28"/>
      <c r="I102" s="22"/>
      <c r="J102" s="22"/>
      <c r="K102" s="22"/>
      <c r="L102" s="22"/>
      <c r="M102" s="22"/>
      <c r="N102" s="28"/>
    </row>
    <row r="103" customFormat="false" ht="15" hidden="false" customHeight="false" outlineLevel="0" collapsed="false">
      <c r="A103" s="19" t="str">
        <f aca="false">IF($B103="","","EX-"&amp;TEXT(ROW()-6,"000"))</f>
        <v/>
      </c>
      <c r="B103" s="28"/>
      <c r="C103" s="22"/>
      <c r="D103" s="22"/>
      <c r="E103" s="22"/>
      <c r="F103" s="28"/>
      <c r="G103" s="28"/>
      <c r="H103" s="28"/>
      <c r="I103" s="22"/>
      <c r="J103" s="22"/>
      <c r="K103" s="22"/>
      <c r="L103" s="22"/>
      <c r="M103" s="22"/>
      <c r="N103" s="28"/>
    </row>
    <row r="104" customFormat="false" ht="15" hidden="false" customHeight="false" outlineLevel="0" collapsed="false">
      <c r="A104" s="19" t="str">
        <f aca="false">IF($B104="","","EX-"&amp;TEXT(ROW()-6,"000"))</f>
        <v/>
      </c>
      <c r="B104" s="28"/>
      <c r="C104" s="22"/>
      <c r="D104" s="22"/>
      <c r="E104" s="22"/>
      <c r="F104" s="28"/>
      <c r="G104" s="28"/>
      <c r="H104" s="28"/>
      <c r="I104" s="22"/>
      <c r="J104" s="22"/>
      <c r="K104" s="22"/>
      <c r="L104" s="22"/>
      <c r="M104" s="22"/>
      <c r="N104" s="28"/>
    </row>
    <row r="105" customFormat="false" ht="15" hidden="false" customHeight="false" outlineLevel="0" collapsed="false">
      <c r="A105" s="19" t="str">
        <f aca="false">IF($B105="","","EX-"&amp;TEXT(ROW()-6,"000"))</f>
        <v/>
      </c>
      <c r="B105" s="28"/>
      <c r="C105" s="22"/>
      <c r="D105" s="22"/>
      <c r="E105" s="22"/>
      <c r="F105" s="28"/>
      <c r="G105" s="28"/>
      <c r="H105" s="28"/>
      <c r="I105" s="22"/>
      <c r="J105" s="22"/>
      <c r="K105" s="22"/>
      <c r="L105" s="22"/>
      <c r="M105" s="22"/>
      <c r="N105" s="28"/>
    </row>
    <row r="106" customFormat="false" ht="15" hidden="false" customHeight="false" outlineLevel="0" collapsed="false">
      <c r="A106" s="19" t="str">
        <f aca="false">IF($B106="","","EX-"&amp;TEXT(ROW()-6,"000"))</f>
        <v/>
      </c>
      <c r="B106" s="28"/>
      <c r="C106" s="22"/>
      <c r="D106" s="22"/>
      <c r="E106" s="22"/>
      <c r="F106" s="28"/>
      <c r="G106" s="28"/>
      <c r="H106" s="28"/>
      <c r="I106" s="22"/>
      <c r="J106" s="22"/>
      <c r="K106" s="22"/>
      <c r="L106" s="22"/>
      <c r="M106" s="22"/>
      <c r="N106" s="28"/>
    </row>
    <row r="107" customFormat="false" ht="15" hidden="false" customHeight="false" outlineLevel="0" collapsed="false">
      <c r="A107" s="19" t="str">
        <f aca="false">IF($B107="","","EX-"&amp;TEXT(ROW()-6,"000"))</f>
        <v/>
      </c>
      <c r="B107" s="28"/>
      <c r="C107" s="22"/>
      <c r="D107" s="22"/>
      <c r="E107" s="22"/>
      <c r="F107" s="28"/>
      <c r="G107" s="28"/>
      <c r="H107" s="28"/>
      <c r="I107" s="22"/>
      <c r="J107" s="22"/>
      <c r="K107" s="22"/>
      <c r="L107" s="22"/>
      <c r="M107" s="22"/>
      <c r="N107" s="28"/>
    </row>
    <row r="108" customFormat="false" ht="15" hidden="false" customHeight="false" outlineLevel="0" collapsed="false">
      <c r="A108" s="19" t="str">
        <f aca="false">IF($B108="","","EX-"&amp;TEXT(ROW()-6,"000"))</f>
        <v/>
      </c>
      <c r="B108" s="28"/>
      <c r="C108" s="22"/>
      <c r="D108" s="22"/>
      <c r="E108" s="22"/>
      <c r="F108" s="28"/>
      <c r="G108" s="28"/>
      <c r="H108" s="28"/>
      <c r="I108" s="22"/>
      <c r="J108" s="22"/>
      <c r="K108" s="22"/>
      <c r="L108" s="22"/>
      <c r="M108" s="22"/>
      <c r="N108" s="28"/>
    </row>
    <row r="109" customFormat="false" ht="15" hidden="false" customHeight="false" outlineLevel="0" collapsed="false">
      <c r="A109" s="19" t="str">
        <f aca="false">IF($B109="","","EX-"&amp;TEXT(ROW()-6,"000"))</f>
        <v/>
      </c>
      <c r="B109" s="28"/>
      <c r="C109" s="22"/>
      <c r="D109" s="22"/>
      <c r="E109" s="22"/>
      <c r="F109" s="28"/>
      <c r="G109" s="28"/>
      <c r="H109" s="28"/>
      <c r="I109" s="22"/>
      <c r="J109" s="22"/>
      <c r="K109" s="22"/>
      <c r="L109" s="22"/>
      <c r="M109" s="22"/>
      <c r="N109" s="28"/>
    </row>
    <row r="110" customFormat="false" ht="15" hidden="false" customHeight="false" outlineLevel="0" collapsed="false">
      <c r="A110" s="19" t="str">
        <f aca="false">IF($B110="","","EX-"&amp;TEXT(ROW()-6,"000"))</f>
        <v/>
      </c>
      <c r="B110" s="28"/>
      <c r="C110" s="22"/>
      <c r="D110" s="22"/>
      <c r="E110" s="22"/>
      <c r="F110" s="28"/>
      <c r="G110" s="28"/>
      <c r="H110" s="28"/>
      <c r="I110" s="22"/>
      <c r="J110" s="22"/>
      <c r="K110" s="22"/>
      <c r="L110" s="22"/>
      <c r="M110" s="22"/>
      <c r="N110" s="28"/>
    </row>
    <row r="111" customFormat="false" ht="15" hidden="false" customHeight="false" outlineLevel="0" collapsed="false">
      <c r="A111" s="19" t="str">
        <f aca="false">IF($B111="","","EX-"&amp;TEXT(ROW()-6,"000"))</f>
        <v/>
      </c>
      <c r="B111" s="28"/>
      <c r="C111" s="22"/>
      <c r="D111" s="22"/>
      <c r="E111" s="22"/>
      <c r="F111" s="28"/>
      <c r="G111" s="28"/>
      <c r="H111" s="28"/>
      <c r="I111" s="22"/>
      <c r="J111" s="22"/>
      <c r="K111" s="22"/>
      <c r="L111" s="22"/>
      <c r="M111" s="22"/>
      <c r="N111" s="28"/>
    </row>
    <row r="112" customFormat="false" ht="15" hidden="false" customHeight="false" outlineLevel="0" collapsed="false">
      <c r="A112" s="19" t="str">
        <f aca="false">IF($B112="","","EX-"&amp;TEXT(ROW()-6,"000"))</f>
        <v/>
      </c>
      <c r="B112" s="28"/>
      <c r="C112" s="22"/>
      <c r="D112" s="22"/>
      <c r="E112" s="22"/>
      <c r="F112" s="28"/>
      <c r="G112" s="28"/>
      <c r="H112" s="28"/>
      <c r="I112" s="22"/>
      <c r="J112" s="22"/>
      <c r="K112" s="22"/>
      <c r="L112" s="22"/>
      <c r="M112" s="22"/>
      <c r="N112" s="28"/>
    </row>
    <row r="113" customFormat="false" ht="15" hidden="false" customHeight="false" outlineLevel="0" collapsed="false">
      <c r="A113" s="19" t="str">
        <f aca="false">IF($B113="","","EX-"&amp;TEXT(ROW()-6,"000"))</f>
        <v/>
      </c>
      <c r="B113" s="28"/>
      <c r="C113" s="22"/>
      <c r="D113" s="22"/>
      <c r="E113" s="22"/>
      <c r="F113" s="28"/>
      <c r="G113" s="28"/>
      <c r="H113" s="28"/>
      <c r="I113" s="22"/>
      <c r="J113" s="22"/>
      <c r="K113" s="22"/>
      <c r="L113" s="22"/>
      <c r="M113" s="22"/>
      <c r="N113" s="28"/>
    </row>
    <row r="114" customFormat="false" ht="15" hidden="false" customHeight="false" outlineLevel="0" collapsed="false">
      <c r="A114" s="19" t="str">
        <f aca="false">IF($B114="","","EX-"&amp;TEXT(ROW()-6,"000"))</f>
        <v/>
      </c>
      <c r="B114" s="28"/>
      <c r="C114" s="22"/>
      <c r="D114" s="22"/>
      <c r="E114" s="22"/>
      <c r="F114" s="28"/>
      <c r="G114" s="28"/>
      <c r="H114" s="28"/>
      <c r="I114" s="22"/>
      <c r="J114" s="22"/>
      <c r="K114" s="22"/>
      <c r="L114" s="22"/>
      <c r="M114" s="22"/>
      <c r="N114" s="28"/>
    </row>
    <row r="115" customFormat="false" ht="15" hidden="false" customHeight="false" outlineLevel="0" collapsed="false">
      <c r="A115" s="19" t="str">
        <f aca="false">IF($B115="","","EX-"&amp;TEXT(ROW()-6,"000"))</f>
        <v/>
      </c>
      <c r="B115" s="28"/>
      <c r="C115" s="22"/>
      <c r="D115" s="22"/>
      <c r="E115" s="22"/>
      <c r="F115" s="28"/>
      <c r="G115" s="28"/>
      <c r="H115" s="28"/>
      <c r="I115" s="22"/>
      <c r="J115" s="22"/>
      <c r="K115" s="22"/>
      <c r="L115" s="22"/>
      <c r="M115" s="22"/>
      <c r="N115" s="28"/>
    </row>
    <row r="116" customFormat="false" ht="15" hidden="false" customHeight="false" outlineLevel="0" collapsed="false">
      <c r="A116" s="19" t="str">
        <f aca="false">IF($B116="","","EX-"&amp;TEXT(ROW()-6,"000"))</f>
        <v/>
      </c>
      <c r="B116" s="28"/>
      <c r="C116" s="22"/>
      <c r="D116" s="22"/>
      <c r="E116" s="22"/>
      <c r="F116" s="28"/>
      <c r="G116" s="28"/>
      <c r="H116" s="28"/>
      <c r="I116" s="22"/>
      <c r="J116" s="22"/>
      <c r="K116" s="22"/>
      <c r="L116" s="22"/>
      <c r="M116" s="22"/>
      <c r="N116" s="28"/>
    </row>
    <row r="117" customFormat="false" ht="15" hidden="false" customHeight="false" outlineLevel="0" collapsed="false">
      <c r="A117" s="19" t="str">
        <f aca="false">IF($B117="","","EX-"&amp;TEXT(ROW()-6,"000"))</f>
        <v/>
      </c>
      <c r="B117" s="28"/>
      <c r="C117" s="22"/>
      <c r="D117" s="22"/>
      <c r="E117" s="22"/>
      <c r="F117" s="28"/>
      <c r="G117" s="28"/>
      <c r="H117" s="28"/>
      <c r="I117" s="22"/>
      <c r="J117" s="22"/>
      <c r="K117" s="22"/>
      <c r="L117" s="22"/>
      <c r="M117" s="22"/>
      <c r="N117" s="28"/>
    </row>
    <row r="118" customFormat="false" ht="15" hidden="false" customHeight="false" outlineLevel="0" collapsed="false">
      <c r="A118" s="19" t="str">
        <f aca="false">IF($B118="","","EX-"&amp;TEXT(ROW()-6,"000"))</f>
        <v/>
      </c>
      <c r="B118" s="28"/>
      <c r="C118" s="22"/>
      <c r="D118" s="22"/>
      <c r="E118" s="22"/>
      <c r="F118" s="28"/>
      <c r="G118" s="28"/>
      <c r="H118" s="28"/>
      <c r="I118" s="22"/>
      <c r="J118" s="22"/>
      <c r="K118" s="22"/>
      <c r="L118" s="22"/>
      <c r="M118" s="22"/>
      <c r="N118" s="28"/>
    </row>
    <row r="119" customFormat="false" ht="15" hidden="false" customHeight="false" outlineLevel="0" collapsed="false">
      <c r="A119" s="19" t="str">
        <f aca="false">IF($B119="","","EX-"&amp;TEXT(ROW()-6,"000"))</f>
        <v/>
      </c>
      <c r="B119" s="28"/>
      <c r="C119" s="22"/>
      <c r="D119" s="22"/>
      <c r="E119" s="22"/>
      <c r="F119" s="28"/>
      <c r="G119" s="28"/>
      <c r="H119" s="28"/>
      <c r="I119" s="22"/>
      <c r="J119" s="22"/>
      <c r="K119" s="22"/>
      <c r="L119" s="22"/>
      <c r="M119" s="22"/>
      <c r="N119" s="28"/>
    </row>
    <row r="120" customFormat="false" ht="15" hidden="false" customHeight="false" outlineLevel="0" collapsed="false">
      <c r="A120" s="19" t="str">
        <f aca="false">IF($B120="","","EX-"&amp;TEXT(ROW()-6,"000"))</f>
        <v/>
      </c>
      <c r="B120" s="28"/>
      <c r="C120" s="22"/>
      <c r="D120" s="22"/>
      <c r="E120" s="22"/>
      <c r="F120" s="28"/>
      <c r="G120" s="28"/>
      <c r="H120" s="28"/>
      <c r="I120" s="22"/>
      <c r="J120" s="22"/>
      <c r="K120" s="22"/>
      <c r="L120" s="22"/>
      <c r="M120" s="22"/>
      <c r="N120" s="28"/>
    </row>
    <row r="121" customFormat="false" ht="15" hidden="false" customHeight="false" outlineLevel="0" collapsed="false">
      <c r="A121" s="19" t="str">
        <f aca="false">IF($B121="","","EX-"&amp;TEXT(ROW()-6,"000"))</f>
        <v/>
      </c>
      <c r="B121" s="28"/>
      <c r="C121" s="22"/>
      <c r="D121" s="22"/>
      <c r="E121" s="22"/>
      <c r="F121" s="28"/>
      <c r="G121" s="28"/>
      <c r="H121" s="28"/>
      <c r="I121" s="22"/>
      <c r="J121" s="22"/>
      <c r="K121" s="22"/>
      <c r="L121" s="22"/>
      <c r="M121" s="22"/>
      <c r="N121" s="28"/>
    </row>
    <row r="122" customFormat="false" ht="15" hidden="false" customHeight="false" outlineLevel="0" collapsed="false">
      <c r="A122" s="19" t="str">
        <f aca="false">IF($B122="","","EX-"&amp;TEXT(ROW()-6,"000"))</f>
        <v/>
      </c>
      <c r="B122" s="28"/>
      <c r="C122" s="22"/>
      <c r="D122" s="22"/>
      <c r="E122" s="22"/>
      <c r="F122" s="28"/>
      <c r="G122" s="28"/>
      <c r="H122" s="28"/>
      <c r="I122" s="22"/>
      <c r="J122" s="22"/>
      <c r="K122" s="22"/>
      <c r="L122" s="22"/>
      <c r="M122" s="22"/>
      <c r="N122" s="28"/>
    </row>
    <row r="123" customFormat="false" ht="15" hidden="false" customHeight="false" outlineLevel="0" collapsed="false">
      <c r="A123" s="19" t="str">
        <f aca="false">IF($B123="","","EX-"&amp;TEXT(ROW()-6,"000"))</f>
        <v/>
      </c>
      <c r="B123" s="28"/>
      <c r="C123" s="22"/>
      <c r="D123" s="22"/>
      <c r="E123" s="22"/>
      <c r="F123" s="28"/>
      <c r="G123" s="28"/>
      <c r="H123" s="28"/>
      <c r="I123" s="22"/>
      <c r="J123" s="22"/>
      <c r="K123" s="22"/>
      <c r="L123" s="22"/>
      <c r="M123" s="22"/>
      <c r="N123" s="28"/>
    </row>
    <row r="124" customFormat="false" ht="15" hidden="false" customHeight="false" outlineLevel="0" collapsed="false">
      <c r="A124" s="19" t="str">
        <f aca="false">IF($B124="","","EX-"&amp;TEXT(ROW()-6,"000"))</f>
        <v/>
      </c>
      <c r="B124" s="28"/>
      <c r="C124" s="22"/>
      <c r="D124" s="22"/>
      <c r="E124" s="22"/>
      <c r="F124" s="28"/>
      <c r="G124" s="28"/>
      <c r="H124" s="28"/>
      <c r="I124" s="22"/>
      <c r="J124" s="22"/>
      <c r="K124" s="22"/>
      <c r="L124" s="22"/>
      <c r="M124" s="22"/>
      <c r="N124" s="28"/>
    </row>
    <row r="125" customFormat="false" ht="15" hidden="false" customHeight="false" outlineLevel="0" collapsed="false">
      <c r="A125" s="19" t="str">
        <f aca="false">IF($B125="","","EX-"&amp;TEXT(ROW()-6,"000"))</f>
        <v/>
      </c>
      <c r="B125" s="28"/>
      <c r="C125" s="22"/>
      <c r="D125" s="22"/>
      <c r="E125" s="22"/>
      <c r="F125" s="28"/>
      <c r="G125" s="28"/>
      <c r="H125" s="28"/>
      <c r="I125" s="22"/>
      <c r="J125" s="22"/>
      <c r="K125" s="22"/>
      <c r="L125" s="22"/>
      <c r="M125" s="22"/>
      <c r="N125" s="28"/>
    </row>
    <row r="126" customFormat="false" ht="15" hidden="false" customHeight="false" outlineLevel="0" collapsed="false">
      <c r="A126" s="19" t="str">
        <f aca="false">IF($B126="","","EX-"&amp;TEXT(ROW()-6,"000"))</f>
        <v/>
      </c>
      <c r="B126" s="28"/>
      <c r="C126" s="22"/>
      <c r="D126" s="22"/>
      <c r="E126" s="22"/>
      <c r="F126" s="28"/>
      <c r="G126" s="28"/>
      <c r="H126" s="28"/>
      <c r="I126" s="22"/>
      <c r="J126" s="22"/>
      <c r="K126" s="22"/>
      <c r="L126" s="22"/>
      <c r="M126" s="22"/>
      <c r="N126" s="28"/>
    </row>
    <row r="127" customFormat="false" ht="15" hidden="false" customHeight="false" outlineLevel="0" collapsed="false">
      <c r="A127" s="19" t="str">
        <f aca="false">IF($B127="","","EX-"&amp;TEXT(ROW()-6,"000"))</f>
        <v/>
      </c>
      <c r="B127" s="28"/>
      <c r="C127" s="22"/>
      <c r="D127" s="22"/>
      <c r="E127" s="22"/>
      <c r="F127" s="28"/>
      <c r="G127" s="28"/>
      <c r="H127" s="28"/>
      <c r="I127" s="22"/>
      <c r="J127" s="22"/>
      <c r="K127" s="22"/>
      <c r="L127" s="22"/>
      <c r="M127" s="22"/>
      <c r="N127" s="28"/>
    </row>
    <row r="128" customFormat="false" ht="15" hidden="false" customHeight="false" outlineLevel="0" collapsed="false">
      <c r="A128" s="19" t="str">
        <f aca="false">IF($B128="","","EX-"&amp;TEXT(ROW()-6,"000"))</f>
        <v/>
      </c>
      <c r="B128" s="28"/>
      <c r="C128" s="22"/>
      <c r="D128" s="22"/>
      <c r="E128" s="22"/>
      <c r="F128" s="28"/>
      <c r="G128" s="28"/>
      <c r="H128" s="28"/>
      <c r="I128" s="22"/>
      <c r="J128" s="22"/>
      <c r="K128" s="22"/>
      <c r="L128" s="22"/>
      <c r="M128" s="22"/>
      <c r="N128" s="28"/>
    </row>
    <row r="129" customFormat="false" ht="15" hidden="false" customHeight="false" outlineLevel="0" collapsed="false">
      <c r="A129" s="19" t="str">
        <f aca="false">IF($B129="","","EX-"&amp;TEXT(ROW()-6,"000"))</f>
        <v/>
      </c>
      <c r="B129" s="28"/>
      <c r="C129" s="22"/>
      <c r="D129" s="22"/>
      <c r="E129" s="22"/>
      <c r="F129" s="28"/>
      <c r="G129" s="28"/>
      <c r="H129" s="28"/>
      <c r="I129" s="22"/>
      <c r="J129" s="22"/>
      <c r="K129" s="22"/>
      <c r="L129" s="22"/>
      <c r="M129" s="22"/>
      <c r="N129" s="28"/>
    </row>
    <row r="130" customFormat="false" ht="15" hidden="false" customHeight="false" outlineLevel="0" collapsed="false">
      <c r="A130" s="19" t="str">
        <f aca="false">IF($B130="","","EX-"&amp;TEXT(ROW()-6,"000"))</f>
        <v/>
      </c>
      <c r="B130" s="28"/>
      <c r="C130" s="22"/>
      <c r="D130" s="22"/>
      <c r="E130" s="22"/>
      <c r="F130" s="28"/>
      <c r="G130" s="28"/>
      <c r="H130" s="28"/>
      <c r="I130" s="22"/>
      <c r="J130" s="22"/>
      <c r="K130" s="22"/>
      <c r="L130" s="22"/>
      <c r="M130" s="22"/>
      <c r="N130" s="28"/>
    </row>
    <row r="131" customFormat="false" ht="15" hidden="false" customHeight="false" outlineLevel="0" collapsed="false">
      <c r="A131" s="19" t="str">
        <f aca="false">IF($B131="","","EX-"&amp;TEXT(ROW()-6,"000"))</f>
        <v/>
      </c>
      <c r="B131" s="28"/>
      <c r="C131" s="22"/>
      <c r="D131" s="22"/>
      <c r="E131" s="22"/>
      <c r="F131" s="28"/>
      <c r="G131" s="28"/>
      <c r="H131" s="28"/>
      <c r="I131" s="22"/>
      <c r="J131" s="22"/>
      <c r="K131" s="22"/>
      <c r="L131" s="22"/>
      <c r="M131" s="22"/>
      <c r="N131" s="28"/>
    </row>
    <row r="132" customFormat="false" ht="15" hidden="false" customHeight="false" outlineLevel="0" collapsed="false">
      <c r="A132" s="19" t="str">
        <f aca="false">IF($B132="","","EX-"&amp;TEXT(ROW()-6,"000"))</f>
        <v/>
      </c>
      <c r="B132" s="28"/>
      <c r="C132" s="22"/>
      <c r="D132" s="22"/>
      <c r="E132" s="22"/>
      <c r="F132" s="28"/>
      <c r="G132" s="28"/>
      <c r="H132" s="28"/>
      <c r="I132" s="22"/>
      <c r="J132" s="22"/>
      <c r="K132" s="22"/>
      <c r="L132" s="22"/>
      <c r="M132" s="22"/>
      <c r="N132" s="28"/>
    </row>
    <row r="133" customFormat="false" ht="15" hidden="false" customHeight="false" outlineLevel="0" collapsed="false">
      <c r="A133" s="19" t="str">
        <f aca="false">IF($B133="","","EX-"&amp;TEXT(ROW()-6,"000"))</f>
        <v/>
      </c>
      <c r="B133" s="28"/>
      <c r="C133" s="22"/>
      <c r="D133" s="22"/>
      <c r="E133" s="22"/>
      <c r="F133" s="28"/>
      <c r="G133" s="28"/>
      <c r="H133" s="28"/>
      <c r="I133" s="22"/>
      <c r="J133" s="22"/>
      <c r="K133" s="22"/>
      <c r="L133" s="22"/>
      <c r="M133" s="22"/>
      <c r="N133" s="28"/>
    </row>
    <row r="134" customFormat="false" ht="15" hidden="false" customHeight="false" outlineLevel="0" collapsed="false">
      <c r="A134" s="19" t="str">
        <f aca="false">IF($B134="","","EX-"&amp;TEXT(ROW()-6,"000"))</f>
        <v/>
      </c>
      <c r="B134" s="28"/>
      <c r="C134" s="22"/>
      <c r="D134" s="22"/>
      <c r="E134" s="22"/>
      <c r="F134" s="28"/>
      <c r="G134" s="28"/>
      <c r="H134" s="28"/>
      <c r="I134" s="22"/>
      <c r="J134" s="22"/>
      <c r="K134" s="22"/>
      <c r="L134" s="22"/>
      <c r="M134" s="22"/>
      <c r="N134" s="28"/>
    </row>
    <row r="135" customFormat="false" ht="15" hidden="false" customHeight="false" outlineLevel="0" collapsed="false">
      <c r="A135" s="19" t="str">
        <f aca="false">IF($B135="","","EX-"&amp;TEXT(ROW()-6,"000"))</f>
        <v/>
      </c>
      <c r="B135" s="28"/>
      <c r="C135" s="22"/>
      <c r="D135" s="22"/>
      <c r="E135" s="22"/>
      <c r="F135" s="28"/>
      <c r="G135" s="28"/>
      <c r="H135" s="28"/>
      <c r="I135" s="22"/>
      <c r="J135" s="22"/>
      <c r="K135" s="22"/>
      <c r="L135" s="22"/>
      <c r="M135" s="22"/>
      <c r="N135" s="28"/>
    </row>
    <row r="136" customFormat="false" ht="15" hidden="false" customHeight="false" outlineLevel="0" collapsed="false">
      <c r="A136" s="19" t="str">
        <f aca="false">IF($B136="","","EX-"&amp;TEXT(ROW()-6,"000"))</f>
        <v/>
      </c>
      <c r="B136" s="28"/>
      <c r="C136" s="22"/>
      <c r="D136" s="22"/>
      <c r="E136" s="22"/>
      <c r="F136" s="28"/>
      <c r="G136" s="28"/>
      <c r="H136" s="28"/>
      <c r="I136" s="22"/>
      <c r="J136" s="22"/>
      <c r="K136" s="22"/>
      <c r="L136" s="22"/>
      <c r="M136" s="22"/>
      <c r="N136" s="28"/>
    </row>
    <row r="137" customFormat="false" ht="15" hidden="false" customHeight="false" outlineLevel="0" collapsed="false">
      <c r="A137" s="19" t="str">
        <f aca="false">IF($B137="","","EX-"&amp;TEXT(ROW()-6,"000"))</f>
        <v/>
      </c>
      <c r="B137" s="28"/>
      <c r="C137" s="22"/>
      <c r="D137" s="22"/>
      <c r="E137" s="22"/>
      <c r="F137" s="28"/>
      <c r="G137" s="28"/>
      <c r="H137" s="28"/>
      <c r="I137" s="22"/>
      <c r="J137" s="22"/>
      <c r="K137" s="22"/>
      <c r="L137" s="22"/>
      <c r="M137" s="22"/>
      <c r="N137" s="28"/>
    </row>
    <row r="138" customFormat="false" ht="15" hidden="false" customHeight="false" outlineLevel="0" collapsed="false">
      <c r="A138" s="19" t="str">
        <f aca="false">IF($B138="","","EX-"&amp;TEXT(ROW()-6,"000"))</f>
        <v/>
      </c>
      <c r="B138" s="28"/>
      <c r="C138" s="22"/>
      <c r="D138" s="22"/>
      <c r="E138" s="22"/>
      <c r="F138" s="28"/>
      <c r="G138" s="28"/>
      <c r="H138" s="28"/>
      <c r="I138" s="22"/>
      <c r="J138" s="22"/>
      <c r="K138" s="22"/>
      <c r="L138" s="22"/>
      <c r="M138" s="22"/>
      <c r="N138" s="28"/>
    </row>
    <row r="139" customFormat="false" ht="15" hidden="false" customHeight="false" outlineLevel="0" collapsed="false">
      <c r="A139" s="19" t="str">
        <f aca="false">IF($B139="","","EX-"&amp;TEXT(ROW()-6,"000"))</f>
        <v/>
      </c>
      <c r="B139" s="28"/>
      <c r="C139" s="22"/>
      <c r="D139" s="22"/>
      <c r="E139" s="22"/>
      <c r="F139" s="28"/>
      <c r="G139" s="28"/>
      <c r="H139" s="28"/>
      <c r="I139" s="22"/>
      <c r="J139" s="22"/>
      <c r="K139" s="22"/>
      <c r="L139" s="22"/>
      <c r="M139" s="22"/>
      <c r="N139" s="28"/>
    </row>
    <row r="140" customFormat="false" ht="15" hidden="false" customHeight="false" outlineLevel="0" collapsed="false">
      <c r="A140" s="19" t="str">
        <f aca="false">IF($B140="","","EX-"&amp;TEXT(ROW()-6,"000"))</f>
        <v/>
      </c>
      <c r="B140" s="28"/>
      <c r="C140" s="22"/>
      <c r="D140" s="22"/>
      <c r="E140" s="22"/>
      <c r="F140" s="28"/>
      <c r="G140" s="28"/>
      <c r="H140" s="28"/>
      <c r="I140" s="22"/>
      <c r="J140" s="22"/>
      <c r="K140" s="22"/>
      <c r="L140" s="22"/>
      <c r="M140" s="22"/>
      <c r="N140" s="28"/>
    </row>
    <row r="141" customFormat="false" ht="15" hidden="false" customHeight="false" outlineLevel="0" collapsed="false">
      <c r="A141" s="19" t="str">
        <f aca="false">IF($B141="","","EX-"&amp;TEXT(ROW()-6,"000"))</f>
        <v/>
      </c>
      <c r="B141" s="28"/>
      <c r="C141" s="22"/>
      <c r="D141" s="22"/>
      <c r="E141" s="22"/>
      <c r="F141" s="28"/>
      <c r="G141" s="28"/>
      <c r="H141" s="28"/>
      <c r="I141" s="22"/>
      <c r="J141" s="22"/>
      <c r="K141" s="22"/>
      <c r="L141" s="22"/>
      <c r="M141" s="22"/>
      <c r="N141" s="28"/>
    </row>
    <row r="142" customFormat="false" ht="15" hidden="false" customHeight="false" outlineLevel="0" collapsed="false">
      <c r="A142" s="19" t="str">
        <f aca="false">IF($B142="","","EX-"&amp;TEXT(ROW()-6,"000"))</f>
        <v/>
      </c>
      <c r="B142" s="28"/>
      <c r="C142" s="22"/>
      <c r="D142" s="22"/>
      <c r="E142" s="22"/>
      <c r="F142" s="28"/>
      <c r="G142" s="28"/>
      <c r="H142" s="28"/>
      <c r="I142" s="22"/>
      <c r="J142" s="22"/>
      <c r="K142" s="22"/>
      <c r="L142" s="22"/>
      <c r="M142" s="22"/>
      <c r="N142" s="28"/>
    </row>
    <row r="143" customFormat="false" ht="15" hidden="false" customHeight="false" outlineLevel="0" collapsed="false">
      <c r="A143" s="19" t="str">
        <f aca="false">IF($B143="","","EX-"&amp;TEXT(ROW()-6,"000"))</f>
        <v/>
      </c>
      <c r="B143" s="28"/>
      <c r="C143" s="22"/>
      <c r="D143" s="22"/>
      <c r="E143" s="22"/>
      <c r="F143" s="28"/>
      <c r="G143" s="28"/>
      <c r="H143" s="28"/>
      <c r="I143" s="22"/>
      <c r="J143" s="22"/>
      <c r="K143" s="22"/>
      <c r="L143" s="22"/>
      <c r="M143" s="22"/>
      <c r="N143" s="28"/>
    </row>
    <row r="144" customFormat="false" ht="15" hidden="false" customHeight="false" outlineLevel="0" collapsed="false">
      <c r="A144" s="19" t="str">
        <f aca="false">IF($B144="","","EX-"&amp;TEXT(ROW()-6,"000"))</f>
        <v/>
      </c>
      <c r="B144" s="28"/>
      <c r="C144" s="22"/>
      <c r="D144" s="22"/>
      <c r="E144" s="22"/>
      <c r="F144" s="28"/>
      <c r="G144" s="28"/>
      <c r="H144" s="28"/>
      <c r="I144" s="22"/>
      <c r="J144" s="22"/>
      <c r="K144" s="22"/>
      <c r="L144" s="22"/>
      <c r="M144" s="22"/>
      <c r="N144" s="28"/>
    </row>
    <row r="145" customFormat="false" ht="15" hidden="false" customHeight="false" outlineLevel="0" collapsed="false">
      <c r="A145" s="19" t="str">
        <f aca="false">IF($B145="","","EX-"&amp;TEXT(ROW()-6,"000"))</f>
        <v/>
      </c>
      <c r="B145" s="28"/>
      <c r="C145" s="22"/>
      <c r="D145" s="22"/>
      <c r="E145" s="22"/>
      <c r="F145" s="28"/>
      <c r="G145" s="28"/>
      <c r="H145" s="28"/>
      <c r="I145" s="22"/>
      <c r="J145" s="22"/>
      <c r="K145" s="22"/>
      <c r="L145" s="22"/>
      <c r="M145" s="22"/>
      <c r="N145" s="28"/>
    </row>
    <row r="146" customFormat="false" ht="15" hidden="false" customHeight="false" outlineLevel="0" collapsed="false">
      <c r="A146" s="19" t="str">
        <f aca="false">IF($B146="","","EX-"&amp;TEXT(ROW()-6,"000"))</f>
        <v/>
      </c>
      <c r="B146" s="28"/>
      <c r="C146" s="22"/>
      <c r="D146" s="22"/>
      <c r="E146" s="22"/>
      <c r="F146" s="28"/>
      <c r="G146" s="28"/>
      <c r="H146" s="28"/>
      <c r="I146" s="22"/>
      <c r="J146" s="22"/>
      <c r="K146" s="22"/>
      <c r="L146" s="22"/>
      <c r="M146" s="22"/>
      <c r="N146" s="28"/>
    </row>
    <row r="147" customFormat="false" ht="15" hidden="false" customHeight="false" outlineLevel="0" collapsed="false">
      <c r="A147" s="19" t="str">
        <f aca="false">IF($B147="","","EX-"&amp;TEXT(ROW()-6,"000"))</f>
        <v/>
      </c>
      <c r="B147" s="28"/>
      <c r="C147" s="22"/>
      <c r="D147" s="22"/>
      <c r="E147" s="22"/>
      <c r="F147" s="28"/>
      <c r="G147" s="28"/>
      <c r="H147" s="28"/>
      <c r="I147" s="22"/>
      <c r="J147" s="22"/>
      <c r="K147" s="22"/>
      <c r="L147" s="22"/>
      <c r="M147" s="22"/>
      <c r="N147" s="28"/>
    </row>
    <row r="148" customFormat="false" ht="15" hidden="false" customHeight="false" outlineLevel="0" collapsed="false">
      <c r="A148" s="19" t="str">
        <f aca="false">IF($B148="","","EX-"&amp;TEXT(ROW()-6,"000"))</f>
        <v/>
      </c>
      <c r="B148" s="28"/>
      <c r="C148" s="22"/>
      <c r="D148" s="22"/>
      <c r="E148" s="22"/>
      <c r="F148" s="28"/>
      <c r="G148" s="28"/>
      <c r="H148" s="28"/>
      <c r="I148" s="22"/>
      <c r="J148" s="22"/>
      <c r="K148" s="22"/>
      <c r="L148" s="22"/>
      <c r="M148" s="22"/>
      <c r="N148" s="28"/>
    </row>
    <row r="149" customFormat="false" ht="15" hidden="false" customHeight="false" outlineLevel="0" collapsed="false">
      <c r="A149" s="19" t="str">
        <f aca="false">IF($B149="","","EX-"&amp;TEXT(ROW()-6,"000"))</f>
        <v/>
      </c>
      <c r="B149" s="28"/>
      <c r="C149" s="22"/>
      <c r="D149" s="22"/>
      <c r="E149" s="22"/>
      <c r="F149" s="28"/>
      <c r="G149" s="28"/>
      <c r="H149" s="28"/>
      <c r="I149" s="22"/>
      <c r="J149" s="22"/>
      <c r="K149" s="22"/>
      <c r="L149" s="22"/>
      <c r="M149" s="22"/>
      <c r="N149" s="28"/>
    </row>
    <row r="150" customFormat="false" ht="15" hidden="false" customHeight="false" outlineLevel="0" collapsed="false">
      <c r="A150" s="19" t="str">
        <f aca="false">IF($B150="","","EX-"&amp;TEXT(ROW()-6,"000"))</f>
        <v/>
      </c>
      <c r="B150" s="28"/>
      <c r="C150" s="22"/>
      <c r="D150" s="22"/>
      <c r="E150" s="22"/>
      <c r="F150" s="28"/>
      <c r="G150" s="28"/>
      <c r="H150" s="28"/>
      <c r="I150" s="22"/>
      <c r="J150" s="22"/>
      <c r="K150" s="22"/>
      <c r="L150" s="22"/>
      <c r="M150" s="22"/>
      <c r="N150" s="28"/>
    </row>
    <row r="151" customFormat="false" ht="15" hidden="false" customHeight="false" outlineLevel="0" collapsed="false">
      <c r="A151" s="19" t="str">
        <f aca="false">IF($B151="","","EX-"&amp;TEXT(ROW()-6,"000"))</f>
        <v/>
      </c>
      <c r="B151" s="28"/>
      <c r="C151" s="22"/>
      <c r="D151" s="22"/>
      <c r="E151" s="22"/>
      <c r="F151" s="28"/>
      <c r="G151" s="28"/>
      <c r="H151" s="28"/>
      <c r="I151" s="22"/>
      <c r="J151" s="22"/>
      <c r="K151" s="22"/>
      <c r="L151" s="22"/>
      <c r="M151" s="22"/>
      <c r="N151" s="28"/>
    </row>
    <row r="152" customFormat="false" ht="15" hidden="false" customHeight="false" outlineLevel="0" collapsed="false">
      <c r="A152" s="19" t="str">
        <f aca="false">IF($B152="","","EX-"&amp;TEXT(ROW()-6,"000"))</f>
        <v/>
      </c>
      <c r="B152" s="28"/>
      <c r="C152" s="22"/>
      <c r="D152" s="22"/>
      <c r="E152" s="22"/>
      <c r="F152" s="28"/>
      <c r="G152" s="28"/>
      <c r="H152" s="28"/>
      <c r="I152" s="22"/>
      <c r="J152" s="22"/>
      <c r="K152" s="22"/>
      <c r="L152" s="22"/>
      <c r="M152" s="22"/>
      <c r="N152" s="28"/>
    </row>
    <row r="153" customFormat="false" ht="15" hidden="false" customHeight="false" outlineLevel="0" collapsed="false">
      <c r="A153" s="19" t="str">
        <f aca="false">IF($B153="","","EX-"&amp;TEXT(ROW()-6,"000"))</f>
        <v/>
      </c>
      <c r="B153" s="28"/>
      <c r="C153" s="22"/>
      <c r="D153" s="22"/>
      <c r="E153" s="22"/>
      <c r="F153" s="28"/>
      <c r="G153" s="28"/>
      <c r="H153" s="28"/>
      <c r="I153" s="22"/>
      <c r="J153" s="22"/>
      <c r="K153" s="22"/>
      <c r="L153" s="22"/>
      <c r="M153" s="22"/>
      <c r="N153" s="28"/>
    </row>
    <row r="154" customFormat="false" ht="15" hidden="false" customHeight="false" outlineLevel="0" collapsed="false">
      <c r="A154" s="19" t="str">
        <f aca="false">IF($B154="","","EX-"&amp;TEXT(ROW()-6,"000"))</f>
        <v/>
      </c>
      <c r="B154" s="28"/>
      <c r="C154" s="22"/>
      <c r="D154" s="22"/>
      <c r="E154" s="22"/>
      <c r="F154" s="28"/>
      <c r="G154" s="28"/>
      <c r="H154" s="28"/>
      <c r="I154" s="22"/>
      <c r="J154" s="22"/>
      <c r="K154" s="22"/>
      <c r="L154" s="22"/>
      <c r="M154" s="22"/>
      <c r="N154" s="28"/>
    </row>
    <row r="155" customFormat="false" ht="15" hidden="false" customHeight="false" outlineLevel="0" collapsed="false">
      <c r="A155" s="19" t="str">
        <f aca="false">IF($B155="","","EX-"&amp;TEXT(ROW()-6,"000"))</f>
        <v/>
      </c>
      <c r="B155" s="28"/>
      <c r="C155" s="22"/>
      <c r="D155" s="22"/>
      <c r="E155" s="22"/>
      <c r="F155" s="28"/>
      <c r="G155" s="28"/>
      <c r="H155" s="28"/>
      <c r="I155" s="22"/>
      <c r="J155" s="22"/>
      <c r="K155" s="22"/>
      <c r="L155" s="22"/>
      <c r="M155" s="22"/>
      <c r="N155" s="28"/>
    </row>
    <row r="156" customFormat="false" ht="15" hidden="false" customHeight="false" outlineLevel="0" collapsed="false">
      <c r="A156" s="19" t="str">
        <f aca="false">IF($B156="","","EX-"&amp;TEXT(ROW()-6,"000"))</f>
        <v/>
      </c>
      <c r="B156" s="28"/>
      <c r="C156" s="22"/>
      <c r="D156" s="22"/>
      <c r="E156" s="22"/>
      <c r="F156" s="28"/>
      <c r="G156" s="28"/>
      <c r="H156" s="28"/>
      <c r="I156" s="22"/>
      <c r="J156" s="22"/>
      <c r="K156" s="22"/>
      <c r="L156" s="22"/>
      <c r="M156" s="22"/>
      <c r="N156" s="28"/>
    </row>
    <row r="157" customFormat="false" ht="15" hidden="false" customHeight="false" outlineLevel="0" collapsed="false">
      <c r="A157" s="19" t="str">
        <f aca="false">IF($B157="","","EX-"&amp;TEXT(ROW()-6,"000"))</f>
        <v/>
      </c>
      <c r="B157" s="28"/>
      <c r="C157" s="22"/>
      <c r="D157" s="22"/>
      <c r="E157" s="22"/>
      <c r="F157" s="28"/>
      <c r="G157" s="28"/>
      <c r="H157" s="28"/>
      <c r="I157" s="22"/>
      <c r="J157" s="22"/>
      <c r="K157" s="22"/>
      <c r="L157" s="22"/>
      <c r="M157" s="22"/>
      <c r="N157" s="28"/>
    </row>
    <row r="158" customFormat="false" ht="15" hidden="false" customHeight="false" outlineLevel="0" collapsed="false">
      <c r="A158" s="19" t="str">
        <f aca="false">IF($B158="","","EX-"&amp;TEXT(ROW()-6,"000"))</f>
        <v/>
      </c>
      <c r="B158" s="28"/>
      <c r="C158" s="22"/>
      <c r="D158" s="22"/>
      <c r="E158" s="22"/>
      <c r="F158" s="28"/>
      <c r="G158" s="28"/>
      <c r="H158" s="28"/>
      <c r="I158" s="22"/>
      <c r="J158" s="22"/>
      <c r="K158" s="22"/>
      <c r="L158" s="22"/>
      <c r="M158" s="22"/>
      <c r="N158" s="28"/>
    </row>
    <row r="159" customFormat="false" ht="15" hidden="false" customHeight="false" outlineLevel="0" collapsed="false">
      <c r="A159" s="19" t="str">
        <f aca="false">IF($B159="","","EX-"&amp;TEXT(ROW()-6,"000"))</f>
        <v/>
      </c>
      <c r="B159" s="28"/>
      <c r="C159" s="22"/>
      <c r="D159" s="22"/>
      <c r="E159" s="22"/>
      <c r="F159" s="28"/>
      <c r="G159" s="28"/>
      <c r="H159" s="28"/>
      <c r="I159" s="22"/>
      <c r="J159" s="22"/>
      <c r="K159" s="22"/>
      <c r="L159" s="22"/>
      <c r="M159" s="22"/>
      <c r="N159" s="28"/>
    </row>
    <row r="160" customFormat="false" ht="15" hidden="false" customHeight="false" outlineLevel="0" collapsed="false">
      <c r="A160" s="19" t="str">
        <f aca="false">IF($B160="","","EX-"&amp;TEXT(ROW()-6,"000"))</f>
        <v/>
      </c>
      <c r="B160" s="28"/>
      <c r="C160" s="22"/>
      <c r="D160" s="22"/>
      <c r="E160" s="22"/>
      <c r="F160" s="28"/>
      <c r="G160" s="28"/>
      <c r="H160" s="28"/>
      <c r="I160" s="22"/>
      <c r="J160" s="22"/>
      <c r="K160" s="22"/>
      <c r="L160" s="22"/>
      <c r="M160" s="22"/>
      <c r="N160" s="28"/>
    </row>
    <row r="161" customFormat="false" ht="15" hidden="false" customHeight="false" outlineLevel="0" collapsed="false">
      <c r="A161" s="19" t="str">
        <f aca="false">IF($B161="","","EX-"&amp;TEXT(ROW()-6,"000"))</f>
        <v/>
      </c>
      <c r="B161" s="28"/>
      <c r="C161" s="22"/>
      <c r="D161" s="22"/>
      <c r="E161" s="22"/>
      <c r="F161" s="28"/>
      <c r="G161" s="28"/>
      <c r="H161" s="28"/>
      <c r="I161" s="22"/>
      <c r="J161" s="22"/>
      <c r="K161" s="22"/>
      <c r="L161" s="22"/>
      <c r="M161" s="22"/>
      <c r="N161" s="28"/>
    </row>
    <row r="162" customFormat="false" ht="15" hidden="false" customHeight="false" outlineLevel="0" collapsed="false">
      <c r="A162" s="19" t="str">
        <f aca="false">IF($B162="","","EX-"&amp;TEXT(ROW()-6,"000"))</f>
        <v/>
      </c>
      <c r="B162" s="28"/>
      <c r="C162" s="22"/>
      <c r="D162" s="22"/>
      <c r="E162" s="22"/>
      <c r="F162" s="28"/>
      <c r="G162" s="28"/>
      <c r="H162" s="28"/>
      <c r="I162" s="22"/>
      <c r="J162" s="22"/>
      <c r="K162" s="22"/>
      <c r="L162" s="22"/>
      <c r="M162" s="22"/>
      <c r="N162" s="28"/>
    </row>
    <row r="163" customFormat="false" ht="15" hidden="false" customHeight="false" outlineLevel="0" collapsed="false">
      <c r="A163" s="19" t="str">
        <f aca="false">IF($B163="","","EX-"&amp;TEXT(ROW()-6,"000"))</f>
        <v/>
      </c>
      <c r="B163" s="28"/>
      <c r="C163" s="22"/>
      <c r="D163" s="22"/>
      <c r="E163" s="22"/>
      <c r="F163" s="28"/>
      <c r="G163" s="28"/>
      <c r="H163" s="28"/>
      <c r="I163" s="22"/>
      <c r="J163" s="22"/>
      <c r="K163" s="22"/>
      <c r="L163" s="22"/>
      <c r="M163" s="22"/>
      <c r="N163" s="28"/>
    </row>
    <row r="164" customFormat="false" ht="15" hidden="false" customHeight="false" outlineLevel="0" collapsed="false">
      <c r="A164" s="19" t="str">
        <f aca="false">IF($B164="","","EX-"&amp;TEXT(ROW()-6,"000"))</f>
        <v/>
      </c>
      <c r="B164" s="28"/>
      <c r="C164" s="22"/>
      <c r="D164" s="22"/>
      <c r="E164" s="22"/>
      <c r="F164" s="28"/>
      <c r="G164" s="28"/>
      <c r="H164" s="28"/>
      <c r="I164" s="22"/>
      <c r="J164" s="22"/>
      <c r="K164" s="22"/>
      <c r="L164" s="22"/>
      <c r="M164" s="22"/>
      <c r="N164" s="28"/>
    </row>
    <row r="165" customFormat="false" ht="15" hidden="false" customHeight="false" outlineLevel="0" collapsed="false">
      <c r="A165" s="19" t="str">
        <f aca="false">IF($B165="","","EX-"&amp;TEXT(ROW()-6,"000"))</f>
        <v/>
      </c>
      <c r="B165" s="28"/>
      <c r="C165" s="22"/>
      <c r="D165" s="22"/>
      <c r="E165" s="22"/>
      <c r="F165" s="28"/>
      <c r="G165" s="28"/>
      <c r="H165" s="28"/>
      <c r="I165" s="22"/>
      <c r="J165" s="22"/>
      <c r="K165" s="22"/>
      <c r="L165" s="22"/>
      <c r="M165" s="22"/>
      <c r="N165" s="28"/>
    </row>
    <row r="166" customFormat="false" ht="15" hidden="false" customHeight="false" outlineLevel="0" collapsed="false">
      <c r="A166" s="19" t="str">
        <f aca="false">IF($B166="","","EX-"&amp;TEXT(ROW()-6,"000"))</f>
        <v/>
      </c>
      <c r="B166" s="28"/>
      <c r="C166" s="22"/>
      <c r="D166" s="22"/>
      <c r="E166" s="22"/>
      <c r="F166" s="28"/>
      <c r="G166" s="28"/>
      <c r="H166" s="28"/>
      <c r="I166" s="22"/>
      <c r="J166" s="22"/>
      <c r="K166" s="22"/>
      <c r="L166" s="22"/>
      <c r="M166" s="22"/>
      <c r="N166" s="28"/>
    </row>
    <row r="167" customFormat="false" ht="15" hidden="false" customHeight="false" outlineLevel="0" collapsed="false">
      <c r="A167" s="19" t="str">
        <f aca="false">IF($B167="","","EX-"&amp;TEXT(ROW()-6,"000"))</f>
        <v/>
      </c>
      <c r="B167" s="28"/>
      <c r="C167" s="22"/>
      <c r="D167" s="22"/>
      <c r="E167" s="22"/>
      <c r="F167" s="28"/>
      <c r="G167" s="28"/>
      <c r="H167" s="28"/>
      <c r="I167" s="22"/>
      <c r="J167" s="22"/>
      <c r="K167" s="22"/>
      <c r="L167" s="22"/>
      <c r="M167" s="22"/>
      <c r="N167" s="28"/>
    </row>
    <row r="168" customFormat="false" ht="15" hidden="false" customHeight="false" outlineLevel="0" collapsed="false">
      <c r="A168" s="19" t="str">
        <f aca="false">IF($B168="","","EX-"&amp;TEXT(ROW()-6,"000"))</f>
        <v/>
      </c>
      <c r="B168" s="28"/>
      <c r="C168" s="22"/>
      <c r="D168" s="22"/>
      <c r="E168" s="22"/>
      <c r="F168" s="28"/>
      <c r="G168" s="28"/>
      <c r="H168" s="28"/>
      <c r="I168" s="22"/>
      <c r="J168" s="22"/>
      <c r="K168" s="22"/>
      <c r="L168" s="22"/>
      <c r="M168" s="22"/>
      <c r="N168" s="28"/>
    </row>
    <row r="169" customFormat="false" ht="15" hidden="false" customHeight="false" outlineLevel="0" collapsed="false">
      <c r="A169" s="19" t="str">
        <f aca="false">IF($B169="","","EX-"&amp;TEXT(ROW()-6,"000"))</f>
        <v/>
      </c>
      <c r="B169" s="28"/>
      <c r="C169" s="22"/>
      <c r="D169" s="22"/>
      <c r="E169" s="22"/>
      <c r="F169" s="28"/>
      <c r="G169" s="28"/>
      <c r="H169" s="28"/>
      <c r="I169" s="22"/>
      <c r="J169" s="22"/>
      <c r="K169" s="22"/>
      <c r="L169" s="22"/>
      <c r="M169" s="22"/>
      <c r="N169" s="28"/>
    </row>
    <row r="170" customFormat="false" ht="15" hidden="false" customHeight="false" outlineLevel="0" collapsed="false">
      <c r="A170" s="19" t="str">
        <f aca="false">IF($B170="","","EX-"&amp;TEXT(ROW()-6,"000"))</f>
        <v/>
      </c>
      <c r="B170" s="28"/>
      <c r="C170" s="22"/>
      <c r="D170" s="22"/>
      <c r="E170" s="22"/>
      <c r="F170" s="28"/>
      <c r="G170" s="28"/>
      <c r="H170" s="28"/>
      <c r="I170" s="22"/>
      <c r="J170" s="22"/>
      <c r="K170" s="22"/>
      <c r="L170" s="22"/>
      <c r="M170" s="22"/>
      <c r="N170" s="28"/>
    </row>
    <row r="171" customFormat="false" ht="15" hidden="false" customHeight="false" outlineLevel="0" collapsed="false">
      <c r="A171" s="19" t="str">
        <f aca="false">IF($B171="","","EX-"&amp;TEXT(ROW()-6,"000"))</f>
        <v/>
      </c>
      <c r="B171" s="28"/>
      <c r="C171" s="22"/>
      <c r="D171" s="22"/>
      <c r="E171" s="22"/>
      <c r="F171" s="28"/>
      <c r="G171" s="28"/>
      <c r="H171" s="28"/>
      <c r="I171" s="22"/>
      <c r="J171" s="22"/>
      <c r="K171" s="22"/>
      <c r="L171" s="22"/>
      <c r="M171" s="22"/>
      <c r="N171" s="28"/>
    </row>
    <row r="172" customFormat="false" ht="15" hidden="false" customHeight="false" outlineLevel="0" collapsed="false">
      <c r="A172" s="19" t="str">
        <f aca="false">IF($B172="","","EX-"&amp;TEXT(ROW()-6,"000"))</f>
        <v/>
      </c>
      <c r="B172" s="28"/>
      <c r="C172" s="22"/>
      <c r="D172" s="22"/>
      <c r="E172" s="22"/>
      <c r="F172" s="28"/>
      <c r="G172" s="28"/>
      <c r="H172" s="28"/>
      <c r="I172" s="22"/>
      <c r="J172" s="22"/>
      <c r="K172" s="22"/>
      <c r="L172" s="22"/>
      <c r="M172" s="22"/>
      <c r="N172" s="28"/>
    </row>
    <row r="173" customFormat="false" ht="15" hidden="false" customHeight="false" outlineLevel="0" collapsed="false">
      <c r="A173" s="19" t="str">
        <f aca="false">IF($B173="","","EX-"&amp;TEXT(ROW()-6,"000"))</f>
        <v/>
      </c>
      <c r="B173" s="28"/>
      <c r="C173" s="22"/>
      <c r="D173" s="22"/>
      <c r="E173" s="22"/>
      <c r="F173" s="28"/>
      <c r="G173" s="28"/>
      <c r="H173" s="28"/>
      <c r="I173" s="22"/>
      <c r="J173" s="22"/>
      <c r="K173" s="22"/>
      <c r="L173" s="22"/>
      <c r="M173" s="22"/>
      <c r="N173" s="28"/>
    </row>
    <row r="174" customFormat="false" ht="15" hidden="false" customHeight="false" outlineLevel="0" collapsed="false">
      <c r="A174" s="19" t="str">
        <f aca="false">IF($B174="","","EX-"&amp;TEXT(ROW()-6,"000"))</f>
        <v/>
      </c>
      <c r="B174" s="28"/>
      <c r="C174" s="22"/>
      <c r="D174" s="22"/>
      <c r="E174" s="22"/>
      <c r="F174" s="28"/>
      <c r="G174" s="28"/>
      <c r="H174" s="28"/>
      <c r="I174" s="22"/>
      <c r="J174" s="22"/>
      <c r="K174" s="22"/>
      <c r="L174" s="22"/>
      <c r="M174" s="22"/>
      <c r="N174" s="28"/>
    </row>
    <row r="175" customFormat="false" ht="15" hidden="false" customHeight="false" outlineLevel="0" collapsed="false">
      <c r="A175" s="19" t="str">
        <f aca="false">IF($B175="","","EX-"&amp;TEXT(ROW()-6,"000"))</f>
        <v/>
      </c>
      <c r="B175" s="28"/>
      <c r="C175" s="22"/>
      <c r="D175" s="22"/>
      <c r="E175" s="22"/>
      <c r="F175" s="28"/>
      <c r="G175" s="28"/>
      <c r="H175" s="28"/>
      <c r="I175" s="22"/>
      <c r="J175" s="22"/>
      <c r="K175" s="22"/>
      <c r="L175" s="22"/>
      <c r="M175" s="22"/>
      <c r="N175" s="28"/>
    </row>
    <row r="176" customFormat="false" ht="15" hidden="false" customHeight="false" outlineLevel="0" collapsed="false">
      <c r="A176" s="19" t="str">
        <f aca="false">IF($B176="","","EX-"&amp;TEXT(ROW()-6,"000"))</f>
        <v/>
      </c>
      <c r="B176" s="28"/>
      <c r="C176" s="22"/>
      <c r="D176" s="22"/>
      <c r="E176" s="22"/>
      <c r="F176" s="28"/>
      <c r="G176" s="28"/>
      <c r="H176" s="28"/>
      <c r="I176" s="22"/>
      <c r="J176" s="22"/>
      <c r="K176" s="22"/>
      <c r="L176" s="22"/>
      <c r="M176" s="22"/>
      <c r="N176" s="28"/>
    </row>
    <row r="177" customFormat="false" ht="15" hidden="false" customHeight="false" outlineLevel="0" collapsed="false">
      <c r="A177" s="19" t="str">
        <f aca="false">IF($B177="","","EX-"&amp;TEXT(ROW()-6,"000"))</f>
        <v/>
      </c>
      <c r="B177" s="28"/>
      <c r="C177" s="22"/>
      <c r="D177" s="22"/>
      <c r="E177" s="22"/>
      <c r="F177" s="28"/>
      <c r="G177" s="28"/>
      <c r="H177" s="28"/>
      <c r="I177" s="22"/>
      <c r="J177" s="22"/>
      <c r="K177" s="22"/>
      <c r="L177" s="22"/>
      <c r="M177" s="22"/>
      <c r="N177" s="28"/>
    </row>
    <row r="178" customFormat="false" ht="15" hidden="false" customHeight="false" outlineLevel="0" collapsed="false">
      <c r="A178" s="19" t="str">
        <f aca="false">IF($B178="","","EX-"&amp;TEXT(ROW()-6,"000"))</f>
        <v/>
      </c>
      <c r="B178" s="28"/>
      <c r="C178" s="22"/>
      <c r="D178" s="22"/>
      <c r="E178" s="22"/>
      <c r="F178" s="28"/>
      <c r="G178" s="28"/>
      <c r="H178" s="28"/>
      <c r="I178" s="22"/>
      <c r="J178" s="22"/>
      <c r="K178" s="22"/>
      <c r="L178" s="22"/>
      <c r="M178" s="22"/>
      <c r="N178" s="28"/>
    </row>
    <row r="179" customFormat="false" ht="15" hidden="false" customHeight="false" outlineLevel="0" collapsed="false">
      <c r="A179" s="19" t="str">
        <f aca="false">IF($B179="","","EX-"&amp;TEXT(ROW()-6,"000"))</f>
        <v/>
      </c>
      <c r="B179" s="28"/>
      <c r="C179" s="22"/>
      <c r="D179" s="22"/>
      <c r="E179" s="22"/>
      <c r="F179" s="28"/>
      <c r="G179" s="28"/>
      <c r="H179" s="28"/>
      <c r="I179" s="22"/>
      <c r="J179" s="22"/>
      <c r="K179" s="22"/>
      <c r="L179" s="22"/>
      <c r="M179" s="22"/>
      <c r="N179" s="28"/>
    </row>
    <row r="180" customFormat="false" ht="15" hidden="false" customHeight="false" outlineLevel="0" collapsed="false">
      <c r="A180" s="19" t="str">
        <f aca="false">IF($B180="","","EX-"&amp;TEXT(ROW()-6,"000"))</f>
        <v/>
      </c>
      <c r="B180" s="28"/>
      <c r="C180" s="22"/>
      <c r="D180" s="22"/>
      <c r="E180" s="22"/>
      <c r="F180" s="28"/>
      <c r="G180" s="28"/>
      <c r="H180" s="28"/>
      <c r="I180" s="22"/>
      <c r="J180" s="22"/>
      <c r="K180" s="22"/>
      <c r="L180" s="22"/>
      <c r="M180" s="22"/>
      <c r="N180" s="28"/>
    </row>
    <row r="181" customFormat="false" ht="15" hidden="false" customHeight="false" outlineLevel="0" collapsed="false">
      <c r="A181" s="19" t="str">
        <f aca="false">IF($B181="","","EX-"&amp;TEXT(ROW()-6,"000"))</f>
        <v/>
      </c>
      <c r="B181" s="28"/>
      <c r="C181" s="22"/>
      <c r="D181" s="22"/>
      <c r="E181" s="22"/>
      <c r="F181" s="28"/>
      <c r="G181" s="28"/>
      <c r="H181" s="28"/>
      <c r="I181" s="22"/>
      <c r="J181" s="22"/>
      <c r="K181" s="22"/>
      <c r="L181" s="22"/>
      <c r="M181" s="22"/>
      <c r="N181" s="28"/>
    </row>
    <row r="182" customFormat="false" ht="15" hidden="false" customHeight="false" outlineLevel="0" collapsed="false">
      <c r="A182" s="19" t="str">
        <f aca="false">IF($B182="","","EX-"&amp;TEXT(ROW()-6,"000"))</f>
        <v/>
      </c>
      <c r="B182" s="28"/>
      <c r="C182" s="22"/>
      <c r="D182" s="22"/>
      <c r="E182" s="22"/>
      <c r="F182" s="28"/>
      <c r="G182" s="28"/>
      <c r="H182" s="28"/>
      <c r="I182" s="22"/>
      <c r="J182" s="22"/>
      <c r="K182" s="22"/>
      <c r="L182" s="22"/>
      <c r="M182" s="22"/>
      <c r="N182" s="28"/>
    </row>
    <row r="183" customFormat="false" ht="15" hidden="false" customHeight="false" outlineLevel="0" collapsed="false">
      <c r="A183" s="19" t="str">
        <f aca="false">IF($B183="","","EX-"&amp;TEXT(ROW()-6,"000"))</f>
        <v/>
      </c>
      <c r="B183" s="28"/>
      <c r="C183" s="22"/>
      <c r="D183" s="22"/>
      <c r="E183" s="22"/>
      <c r="F183" s="28"/>
      <c r="G183" s="28"/>
      <c r="H183" s="28"/>
      <c r="I183" s="22"/>
      <c r="J183" s="22"/>
      <c r="K183" s="22"/>
      <c r="L183" s="22"/>
      <c r="M183" s="22"/>
      <c r="N183" s="28"/>
    </row>
    <row r="184" customFormat="false" ht="15" hidden="false" customHeight="false" outlineLevel="0" collapsed="false">
      <c r="A184" s="19" t="str">
        <f aca="false">IF($B184="","","EX-"&amp;TEXT(ROW()-6,"000"))</f>
        <v/>
      </c>
      <c r="B184" s="28"/>
      <c r="C184" s="22"/>
      <c r="D184" s="22"/>
      <c r="E184" s="22"/>
      <c r="F184" s="28"/>
      <c r="G184" s="28"/>
      <c r="H184" s="28"/>
      <c r="I184" s="22"/>
      <c r="J184" s="22"/>
      <c r="K184" s="22"/>
      <c r="L184" s="22"/>
      <c r="M184" s="22"/>
      <c r="N184" s="28"/>
    </row>
    <row r="185" customFormat="false" ht="15" hidden="false" customHeight="false" outlineLevel="0" collapsed="false">
      <c r="A185" s="19" t="str">
        <f aca="false">IF($B185="","","EX-"&amp;TEXT(ROW()-6,"000"))</f>
        <v/>
      </c>
      <c r="B185" s="28"/>
      <c r="C185" s="22"/>
      <c r="D185" s="22"/>
      <c r="E185" s="22"/>
      <c r="F185" s="28"/>
      <c r="G185" s="28"/>
      <c r="H185" s="28"/>
      <c r="I185" s="22"/>
      <c r="J185" s="22"/>
      <c r="K185" s="22"/>
      <c r="L185" s="22"/>
      <c r="M185" s="22"/>
      <c r="N185" s="28"/>
    </row>
    <row r="186" customFormat="false" ht="15" hidden="false" customHeight="false" outlineLevel="0" collapsed="false">
      <c r="A186" s="19" t="str">
        <f aca="false">IF($B186="","","EX-"&amp;TEXT(ROW()-6,"000"))</f>
        <v/>
      </c>
      <c r="B186" s="28"/>
      <c r="C186" s="22"/>
      <c r="D186" s="22"/>
      <c r="E186" s="22"/>
      <c r="F186" s="28"/>
      <c r="G186" s="28"/>
      <c r="H186" s="28"/>
      <c r="I186" s="22"/>
      <c r="J186" s="22"/>
      <c r="K186" s="22"/>
      <c r="L186" s="22"/>
      <c r="M186" s="22"/>
      <c r="N186" s="28"/>
    </row>
    <row r="187" customFormat="false" ht="15" hidden="false" customHeight="false" outlineLevel="0" collapsed="false">
      <c r="A187" s="19" t="str">
        <f aca="false">IF($B187="","","EX-"&amp;TEXT(ROW()-6,"000"))</f>
        <v/>
      </c>
      <c r="B187" s="28"/>
      <c r="C187" s="22"/>
      <c r="D187" s="22"/>
      <c r="E187" s="22"/>
      <c r="F187" s="28"/>
      <c r="G187" s="28"/>
      <c r="H187" s="28"/>
      <c r="I187" s="22"/>
      <c r="J187" s="22"/>
      <c r="K187" s="22"/>
      <c r="L187" s="22"/>
      <c r="M187" s="22"/>
      <c r="N187" s="28"/>
    </row>
    <row r="188" customFormat="false" ht="15" hidden="false" customHeight="false" outlineLevel="0" collapsed="false">
      <c r="A188" s="19" t="str">
        <f aca="false">IF($B188="","","EX-"&amp;TEXT(ROW()-6,"000"))</f>
        <v/>
      </c>
      <c r="B188" s="28"/>
      <c r="C188" s="22"/>
      <c r="D188" s="22"/>
      <c r="E188" s="22"/>
      <c r="F188" s="28"/>
      <c r="G188" s="28"/>
      <c r="H188" s="28"/>
      <c r="I188" s="22"/>
      <c r="J188" s="22"/>
      <c r="K188" s="22"/>
      <c r="L188" s="22"/>
      <c r="M188" s="22"/>
      <c r="N188" s="28"/>
    </row>
    <row r="189" customFormat="false" ht="15" hidden="false" customHeight="false" outlineLevel="0" collapsed="false">
      <c r="A189" s="19" t="str">
        <f aca="false">IF($B189="","","EX-"&amp;TEXT(ROW()-6,"000"))</f>
        <v/>
      </c>
      <c r="B189" s="28"/>
      <c r="C189" s="22"/>
      <c r="D189" s="22"/>
      <c r="E189" s="22"/>
      <c r="F189" s="28"/>
      <c r="G189" s="28"/>
      <c r="H189" s="28"/>
      <c r="I189" s="22"/>
      <c r="J189" s="22"/>
      <c r="K189" s="22"/>
      <c r="L189" s="22"/>
      <c r="M189" s="22"/>
      <c r="N189" s="28"/>
    </row>
    <row r="190" customFormat="false" ht="15" hidden="false" customHeight="false" outlineLevel="0" collapsed="false">
      <c r="A190" s="19" t="str">
        <f aca="false">IF($B190="","","EX-"&amp;TEXT(ROW()-6,"000"))</f>
        <v/>
      </c>
      <c r="B190" s="28"/>
      <c r="C190" s="22"/>
      <c r="D190" s="22"/>
      <c r="E190" s="22"/>
      <c r="F190" s="28"/>
      <c r="G190" s="28"/>
      <c r="H190" s="28"/>
      <c r="I190" s="22"/>
      <c r="J190" s="22"/>
      <c r="K190" s="22"/>
      <c r="L190" s="22"/>
      <c r="M190" s="22"/>
      <c r="N190" s="28"/>
    </row>
    <row r="191" customFormat="false" ht="15" hidden="false" customHeight="false" outlineLevel="0" collapsed="false">
      <c r="A191" s="19" t="str">
        <f aca="false">IF($B191="","","EX-"&amp;TEXT(ROW()-6,"000"))</f>
        <v/>
      </c>
      <c r="B191" s="28"/>
      <c r="C191" s="22"/>
      <c r="D191" s="22"/>
      <c r="E191" s="22"/>
      <c r="F191" s="28"/>
      <c r="G191" s="28"/>
      <c r="H191" s="28"/>
      <c r="I191" s="22"/>
      <c r="J191" s="22"/>
      <c r="K191" s="22"/>
      <c r="L191" s="22"/>
      <c r="M191" s="22"/>
      <c r="N191" s="28"/>
    </row>
    <row r="192" customFormat="false" ht="15" hidden="false" customHeight="false" outlineLevel="0" collapsed="false">
      <c r="A192" s="19" t="str">
        <f aca="false">IF($B192="","","EX-"&amp;TEXT(ROW()-6,"000"))</f>
        <v/>
      </c>
      <c r="B192" s="28"/>
      <c r="C192" s="22"/>
      <c r="D192" s="22"/>
      <c r="E192" s="22"/>
      <c r="F192" s="28"/>
      <c r="G192" s="28"/>
      <c r="H192" s="28"/>
      <c r="I192" s="22"/>
      <c r="J192" s="22"/>
      <c r="K192" s="22"/>
      <c r="L192" s="22"/>
      <c r="M192" s="22"/>
      <c r="N192" s="28"/>
    </row>
    <row r="193" customFormat="false" ht="15" hidden="false" customHeight="false" outlineLevel="0" collapsed="false">
      <c r="A193" s="19" t="str">
        <f aca="false">IF($B193="","","EX-"&amp;TEXT(ROW()-6,"000"))</f>
        <v/>
      </c>
      <c r="B193" s="28"/>
      <c r="C193" s="22"/>
      <c r="D193" s="22"/>
      <c r="E193" s="22"/>
      <c r="F193" s="28"/>
      <c r="G193" s="28"/>
      <c r="H193" s="28"/>
      <c r="I193" s="22"/>
      <c r="J193" s="22"/>
      <c r="K193" s="22"/>
      <c r="L193" s="22"/>
      <c r="M193" s="22"/>
      <c r="N193" s="28"/>
    </row>
    <row r="194" customFormat="false" ht="15" hidden="false" customHeight="false" outlineLevel="0" collapsed="false">
      <c r="A194" s="19" t="str">
        <f aca="false">IF($B194="","","EX-"&amp;TEXT(ROW()-6,"000"))</f>
        <v/>
      </c>
      <c r="B194" s="28"/>
      <c r="C194" s="22"/>
      <c r="D194" s="22"/>
      <c r="E194" s="22"/>
      <c r="F194" s="28"/>
      <c r="G194" s="28"/>
      <c r="H194" s="28"/>
      <c r="I194" s="22"/>
      <c r="J194" s="22"/>
      <c r="K194" s="22"/>
      <c r="L194" s="22"/>
      <c r="M194" s="22"/>
      <c r="N194" s="28"/>
    </row>
    <row r="195" customFormat="false" ht="15" hidden="false" customHeight="false" outlineLevel="0" collapsed="false">
      <c r="A195" s="19" t="str">
        <f aca="false">IF($B195="","","EX-"&amp;TEXT(ROW()-6,"000"))</f>
        <v/>
      </c>
      <c r="B195" s="28"/>
      <c r="C195" s="22"/>
      <c r="D195" s="22"/>
      <c r="E195" s="22"/>
      <c r="F195" s="28"/>
      <c r="G195" s="28"/>
      <c r="H195" s="28"/>
      <c r="I195" s="22"/>
      <c r="J195" s="22"/>
      <c r="K195" s="22"/>
      <c r="L195" s="22"/>
      <c r="M195" s="22"/>
      <c r="N195" s="28"/>
    </row>
    <row r="196" customFormat="false" ht="15" hidden="false" customHeight="false" outlineLevel="0" collapsed="false">
      <c r="A196" s="19" t="str">
        <f aca="false">IF($B196="","","EX-"&amp;TEXT(ROW()-6,"000"))</f>
        <v/>
      </c>
      <c r="B196" s="28"/>
      <c r="C196" s="22"/>
      <c r="D196" s="22"/>
      <c r="E196" s="22"/>
      <c r="F196" s="28"/>
      <c r="G196" s="28"/>
      <c r="H196" s="28"/>
      <c r="I196" s="22"/>
      <c r="J196" s="22"/>
      <c r="K196" s="22"/>
      <c r="L196" s="22"/>
      <c r="M196" s="22"/>
      <c r="N196" s="28"/>
    </row>
    <row r="197" customFormat="false" ht="15" hidden="false" customHeight="false" outlineLevel="0" collapsed="false">
      <c r="A197" s="19" t="str">
        <f aca="false">IF($B197="","","EX-"&amp;TEXT(ROW()-6,"000"))</f>
        <v/>
      </c>
      <c r="B197" s="28"/>
      <c r="C197" s="22"/>
      <c r="D197" s="22"/>
      <c r="E197" s="22"/>
      <c r="F197" s="28"/>
      <c r="G197" s="28"/>
      <c r="H197" s="28"/>
      <c r="I197" s="22"/>
      <c r="J197" s="22"/>
      <c r="K197" s="22"/>
      <c r="L197" s="22"/>
      <c r="M197" s="22"/>
      <c r="N197" s="28"/>
    </row>
    <row r="198" customFormat="false" ht="15" hidden="false" customHeight="false" outlineLevel="0" collapsed="false">
      <c r="A198" s="19" t="str">
        <f aca="false">IF($B198="","","EX-"&amp;TEXT(ROW()-6,"000"))</f>
        <v/>
      </c>
      <c r="B198" s="28"/>
      <c r="C198" s="22"/>
      <c r="D198" s="22"/>
      <c r="E198" s="22"/>
      <c r="F198" s="28"/>
      <c r="G198" s="28"/>
      <c r="H198" s="28"/>
      <c r="I198" s="22"/>
      <c r="J198" s="22"/>
      <c r="K198" s="22"/>
      <c r="L198" s="22"/>
      <c r="M198" s="22"/>
      <c r="N198" s="28"/>
    </row>
    <row r="199" customFormat="false" ht="15" hidden="false" customHeight="false" outlineLevel="0" collapsed="false">
      <c r="A199" s="19" t="str">
        <f aca="false">IF($B199="","","EX-"&amp;TEXT(ROW()-6,"000"))</f>
        <v/>
      </c>
      <c r="B199" s="28"/>
      <c r="C199" s="22"/>
      <c r="D199" s="22"/>
      <c r="E199" s="22"/>
      <c r="F199" s="28"/>
      <c r="G199" s="28"/>
      <c r="H199" s="28"/>
      <c r="I199" s="22"/>
      <c r="J199" s="22"/>
      <c r="K199" s="22"/>
      <c r="L199" s="22"/>
      <c r="M199" s="22"/>
      <c r="N199" s="28"/>
    </row>
    <row r="200" customFormat="false" ht="15" hidden="false" customHeight="false" outlineLevel="0" collapsed="false">
      <c r="A200" s="19" t="str">
        <f aca="false">IF($B200="","","EX-"&amp;TEXT(ROW()-6,"000"))</f>
        <v/>
      </c>
      <c r="B200" s="28"/>
      <c r="C200" s="22"/>
      <c r="D200" s="22"/>
      <c r="E200" s="22"/>
      <c r="F200" s="28"/>
      <c r="G200" s="28"/>
      <c r="H200" s="28"/>
      <c r="I200" s="22"/>
      <c r="J200" s="22"/>
      <c r="K200" s="22"/>
      <c r="L200" s="22"/>
      <c r="M200" s="22"/>
      <c r="N200" s="28"/>
    </row>
    <row r="201" customFormat="false" ht="15" hidden="false" customHeight="false" outlineLevel="0" collapsed="false">
      <c r="A201" s="19" t="str">
        <f aca="false">IF($B201="","","EX-"&amp;TEXT(ROW()-6,"000"))</f>
        <v/>
      </c>
      <c r="B201" s="28"/>
      <c r="C201" s="22"/>
      <c r="D201" s="22"/>
      <c r="E201" s="22"/>
      <c r="F201" s="28"/>
      <c r="G201" s="28"/>
      <c r="H201" s="28"/>
      <c r="I201" s="22"/>
      <c r="J201" s="22"/>
      <c r="K201" s="22"/>
      <c r="L201" s="22"/>
      <c r="M201" s="22"/>
      <c r="N201" s="28"/>
    </row>
    <row r="202" customFormat="false" ht="15" hidden="false" customHeight="false" outlineLevel="0" collapsed="false">
      <c r="A202" s="19" t="str">
        <f aca="false">IF($B202="","","EX-"&amp;TEXT(ROW()-6,"000"))</f>
        <v/>
      </c>
      <c r="B202" s="28"/>
      <c r="C202" s="22"/>
      <c r="D202" s="22"/>
      <c r="E202" s="22"/>
      <c r="F202" s="28"/>
      <c r="G202" s="28"/>
      <c r="H202" s="28"/>
      <c r="I202" s="22"/>
      <c r="J202" s="22"/>
      <c r="K202" s="22"/>
      <c r="L202" s="22"/>
      <c r="M202" s="22"/>
      <c r="N202" s="28"/>
    </row>
    <row r="203" customFormat="false" ht="15" hidden="false" customHeight="false" outlineLevel="0" collapsed="false">
      <c r="A203" s="19" t="str">
        <f aca="false">IF($B203="","","EX-"&amp;TEXT(ROW()-6,"000"))</f>
        <v/>
      </c>
      <c r="B203" s="28"/>
      <c r="C203" s="22"/>
      <c r="D203" s="22"/>
      <c r="E203" s="22"/>
      <c r="F203" s="28"/>
      <c r="G203" s="28"/>
      <c r="H203" s="28"/>
      <c r="I203" s="22"/>
      <c r="J203" s="22"/>
      <c r="K203" s="22"/>
      <c r="L203" s="22"/>
      <c r="M203" s="22"/>
      <c r="N203" s="28"/>
    </row>
    <row r="204" customFormat="false" ht="15" hidden="false" customHeight="false" outlineLevel="0" collapsed="false">
      <c r="A204" s="19" t="str">
        <f aca="false">IF($B204="","","EX-"&amp;TEXT(ROW()-6,"000"))</f>
        <v/>
      </c>
      <c r="B204" s="28"/>
      <c r="C204" s="22"/>
      <c r="D204" s="22"/>
      <c r="E204" s="22"/>
      <c r="F204" s="28"/>
      <c r="G204" s="28"/>
      <c r="H204" s="28"/>
      <c r="I204" s="22"/>
      <c r="J204" s="22"/>
      <c r="K204" s="22"/>
      <c r="L204" s="22"/>
      <c r="M204" s="22"/>
      <c r="N204" s="28"/>
    </row>
    <row r="205" customFormat="false" ht="15" hidden="false" customHeight="false" outlineLevel="0" collapsed="false">
      <c r="A205" s="19" t="str">
        <f aca="false">IF($B205="","","EX-"&amp;TEXT(ROW()-6,"000"))</f>
        <v/>
      </c>
      <c r="B205" s="28"/>
      <c r="C205" s="22"/>
      <c r="D205" s="22"/>
      <c r="E205" s="22"/>
      <c r="F205" s="28"/>
      <c r="G205" s="28"/>
      <c r="H205" s="28"/>
      <c r="I205" s="22"/>
      <c r="J205" s="22"/>
      <c r="K205" s="22"/>
      <c r="L205" s="22"/>
      <c r="M205" s="22"/>
      <c r="N205" s="28"/>
    </row>
    <row r="206" customFormat="false" ht="15" hidden="false" customHeight="false" outlineLevel="0" collapsed="false">
      <c r="A206" s="19" t="str">
        <f aca="false">IF($B206="","","EX-"&amp;TEXT(ROW()-6,"000"))</f>
        <v/>
      </c>
      <c r="B206" s="28"/>
      <c r="C206" s="22"/>
      <c r="D206" s="22"/>
      <c r="E206" s="22"/>
      <c r="F206" s="28"/>
      <c r="G206" s="28"/>
      <c r="H206" s="28"/>
      <c r="I206" s="22"/>
      <c r="J206" s="22"/>
      <c r="K206" s="22"/>
      <c r="L206" s="22"/>
      <c r="M206" s="22"/>
      <c r="N206" s="28"/>
    </row>
  </sheetData>
  <autoFilter ref="A6:N206"/>
  <mergeCells count="2">
    <mergeCell ref="A1:N1"/>
    <mergeCell ref="A2:N2"/>
  </mergeCells>
  <dataValidations count="6">
    <dataValidation allowBlank="true" errorStyle="stop" operator="between" showDropDown="false" showErrorMessage="false" showInputMessage="false" sqref="C7:C206" type="list">
      <formula1>Listas!$I$5:$I$15</formula1>
      <formula2>0</formula2>
    </dataValidation>
    <dataValidation allowBlank="true" errorStyle="stop" operator="between" showDropDown="false" showErrorMessage="false" showInputMessage="false" sqref="D7:D206" type="list">
      <formula1>Listas!$J$5:$J$15</formula1>
      <formula2>0</formula2>
    </dataValidation>
    <dataValidation allowBlank="true" errorStyle="stop" operator="between" showDropDown="false" showErrorMessage="false" showInputMessage="false" sqref="E7:E206" type="list">
      <formula1>Listas!$K$5:$K$15</formula1>
      <formula2>0</formula2>
    </dataValidation>
    <dataValidation allowBlank="true" errorStyle="stop" operator="between" showDropDown="false" showErrorMessage="false" showInputMessage="false" sqref="K7:K206" type="list">
      <formula1>Listas!$M$5:$M$15</formula1>
      <formula2>0</formula2>
    </dataValidation>
    <dataValidation allowBlank="true" errorStyle="stop" operator="between" showDropDown="false" showErrorMessage="false" showInputMessage="false" sqref="L7:L206" type="list">
      <formula1>Listas!$N$5:$N$15</formula1>
      <formula2>0</formula2>
    </dataValidation>
    <dataValidation allowBlank="true" errorStyle="stop" operator="between" showDropDown="false" showErrorMessage="false" showInputMessage="false" sqref="M7:M206" type="list">
      <formula1>Listas!$R$5:$R$15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15C"/>
    <pageSetUpPr fitToPage="tru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2" min="10" style="0" width="24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false" outlineLevel="0" max="15" min="15" style="0" width="13"/>
  </cols>
  <sheetData>
    <row r="1" customFormat="false" ht="30" hidden="false" customHeight="true" outlineLevel="0" collapsed="false">
      <c r="A1" s="1" t="s">
        <v>282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283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3" t="s">
        <v>284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customFormat="false" ht="18" hidden="false" customHeight="true" outlineLevel="0" collapsed="false">
      <c r="B6" s="29" t="s">
        <v>285</v>
      </c>
      <c r="C6" s="30"/>
      <c r="D6" s="30"/>
      <c r="E6" s="30"/>
      <c r="F6" s="30"/>
    </row>
    <row r="7" customFormat="false" ht="18" hidden="false" customHeight="true" outlineLevel="0" collapsed="false">
      <c r="B7" s="29" t="s">
        <v>286</v>
      </c>
      <c r="C7" s="30"/>
      <c r="D7" s="30"/>
      <c r="E7" s="30"/>
      <c r="F7" s="30"/>
    </row>
    <row r="8" customFormat="false" ht="18" hidden="false" customHeight="true" outlineLevel="0" collapsed="false">
      <c r="B8" s="29" t="s">
        <v>63</v>
      </c>
      <c r="C8" s="30"/>
      <c r="D8" s="30"/>
      <c r="E8" s="30"/>
      <c r="F8" s="30"/>
    </row>
    <row r="9" customFormat="false" ht="18" hidden="false" customHeight="true" outlineLevel="0" collapsed="false">
      <c r="B9" s="29" t="s">
        <v>287</v>
      </c>
      <c r="C9" s="30"/>
      <c r="D9" s="30"/>
      <c r="E9" s="30"/>
      <c r="F9" s="30"/>
    </row>
    <row r="10" customFormat="false" ht="18" hidden="false" customHeight="true" outlineLevel="0" collapsed="false">
      <c r="B10" s="29" t="s">
        <v>288</v>
      </c>
      <c r="C10" s="30"/>
      <c r="D10" s="30"/>
      <c r="E10" s="30"/>
      <c r="F10" s="30"/>
    </row>
    <row r="11" customFormat="false" ht="18" hidden="false" customHeight="true" outlineLevel="0" collapsed="false">
      <c r="B11" s="29" t="s">
        <v>289</v>
      </c>
      <c r="C11" s="31" t="n">
        <v>46027</v>
      </c>
      <c r="D11" s="31"/>
      <c r="E11" s="31"/>
      <c r="F11" s="31"/>
    </row>
    <row r="12" customFormat="false" ht="18" hidden="false" customHeight="true" outlineLevel="0" collapsed="false">
      <c r="B12" s="29" t="s">
        <v>290</v>
      </c>
      <c r="C12" s="31" t="n">
        <v>46355</v>
      </c>
      <c r="D12" s="31"/>
      <c r="E12" s="31"/>
      <c r="F12" s="31"/>
    </row>
    <row r="13" customFormat="false" ht="18" hidden="false" customHeight="true" outlineLevel="0" collapsed="false">
      <c r="B13" s="29" t="s">
        <v>291</v>
      </c>
      <c r="C13" s="32" t="n">
        <f aca="false">IFERROR(ROUNDUP(($C$12-$C$11+1)/7,0),"")</f>
        <v>47</v>
      </c>
      <c r="D13" s="32"/>
      <c r="E13" s="32"/>
      <c r="F13" s="32"/>
    </row>
    <row r="14" customFormat="false" ht="18" hidden="false" customHeight="true" outlineLevel="0" collapsed="false">
      <c r="B14" s="29" t="s">
        <v>292</v>
      </c>
      <c r="C14" s="30"/>
      <c r="D14" s="30"/>
      <c r="E14" s="30"/>
      <c r="F14" s="30"/>
    </row>
    <row r="15" customFormat="false" ht="18" hidden="false" customHeight="true" outlineLevel="0" collapsed="false">
      <c r="B15" s="29" t="s">
        <v>293</v>
      </c>
      <c r="C15" s="30"/>
      <c r="D15" s="30"/>
      <c r="E15" s="30"/>
      <c r="F15" s="30"/>
    </row>
    <row r="17" customFormat="false" ht="19.5" hidden="false" customHeight="true" outlineLevel="0" collapsed="false">
      <c r="A17" s="3" t="s">
        <v>294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31.5" hidden="false" customHeight="true" outlineLevel="0" collapsed="false">
      <c r="A18" s="18" t="s">
        <v>295</v>
      </c>
      <c r="B18" s="18" t="s">
        <v>296</v>
      </c>
      <c r="C18" s="18" t="s">
        <v>297</v>
      </c>
      <c r="D18" s="18" t="s">
        <v>298</v>
      </c>
      <c r="E18" s="18" t="s">
        <v>299</v>
      </c>
      <c r="F18" s="18" t="s">
        <v>300</v>
      </c>
      <c r="G18" s="18" t="s">
        <v>301</v>
      </c>
      <c r="H18" s="18" t="s">
        <v>302</v>
      </c>
      <c r="I18" s="18" t="s">
        <v>303</v>
      </c>
      <c r="J18" s="18" t="s">
        <v>304</v>
      </c>
      <c r="K18" s="18" t="s">
        <v>305</v>
      </c>
      <c r="L18" s="18" t="s">
        <v>306</v>
      </c>
      <c r="M18" s="18" t="s">
        <v>307</v>
      </c>
      <c r="N18" s="18" t="s">
        <v>308</v>
      </c>
      <c r="O18" s="18" t="s">
        <v>309</v>
      </c>
    </row>
    <row r="19" customFormat="false" ht="15" hidden="false" customHeight="false" outlineLevel="0" collapsed="false">
      <c r="A19" s="19" t="str">
        <f aca="false">IF($B19="","",ROW()-18)</f>
        <v/>
      </c>
      <c r="B19" s="28"/>
      <c r="C19" s="22"/>
      <c r="D19" s="21"/>
      <c r="E19" s="21"/>
      <c r="F19" s="33" t="n">
        <f aca="false">IF(OR($D19="",$E19=""),0,ROUNDUP(($E19-$D19+1)/7,0))</f>
        <v>0</v>
      </c>
      <c r="G19" s="33" t="n">
        <f aca="false">IF(OR($D19="",$C$11=""),0,INT(($D19-$C$11)/7)+1)</f>
        <v>0</v>
      </c>
      <c r="H19" s="34"/>
      <c r="I19" s="34"/>
      <c r="J19" s="28"/>
      <c r="K19" s="28"/>
      <c r="L19" s="28"/>
      <c r="M19" s="35"/>
      <c r="N19" s="28"/>
      <c r="O19" s="22"/>
    </row>
    <row r="20" customFormat="false" ht="15" hidden="false" customHeight="false" outlineLevel="0" collapsed="false">
      <c r="A20" s="19" t="str">
        <f aca="false">IF($B20="","",ROW()-18)</f>
        <v/>
      </c>
      <c r="B20" s="28"/>
      <c r="C20" s="22"/>
      <c r="D20" s="21"/>
      <c r="E20" s="21"/>
      <c r="F20" s="33" t="n">
        <f aca="false">IF(OR($D20="",$E20=""),0,ROUNDUP(($E20-$D20+1)/7,0))</f>
        <v>0</v>
      </c>
      <c r="G20" s="33" t="n">
        <f aca="false">IF(OR($D20="",$C$11=""),0,INT(($D20-$C$11)/7)+1)</f>
        <v>0</v>
      </c>
      <c r="H20" s="34"/>
      <c r="I20" s="34"/>
      <c r="J20" s="28"/>
      <c r="K20" s="28"/>
      <c r="L20" s="28"/>
      <c r="M20" s="35"/>
      <c r="N20" s="28"/>
      <c r="O20" s="22"/>
    </row>
    <row r="21" customFormat="false" ht="15" hidden="false" customHeight="false" outlineLevel="0" collapsed="false">
      <c r="A21" s="19" t="str">
        <f aca="false">IF($B21="","",ROW()-18)</f>
        <v/>
      </c>
      <c r="B21" s="28"/>
      <c r="C21" s="22"/>
      <c r="D21" s="21"/>
      <c r="E21" s="21"/>
      <c r="F21" s="33" t="n">
        <f aca="false">IF(OR($D21="",$E21=""),0,ROUNDUP(($E21-$D21+1)/7,0))</f>
        <v>0</v>
      </c>
      <c r="G21" s="33" t="n">
        <f aca="false">IF(OR($D21="",$C$11=""),0,INT(($D21-$C$11)/7)+1)</f>
        <v>0</v>
      </c>
      <c r="H21" s="34"/>
      <c r="I21" s="34"/>
      <c r="J21" s="28"/>
      <c r="K21" s="28"/>
      <c r="L21" s="28"/>
      <c r="M21" s="35"/>
      <c r="N21" s="28"/>
      <c r="O21" s="22"/>
    </row>
    <row r="22" customFormat="false" ht="15" hidden="false" customHeight="false" outlineLevel="0" collapsed="false">
      <c r="A22" s="19" t="str">
        <f aca="false">IF($B22="","",ROW()-18)</f>
        <v/>
      </c>
      <c r="B22" s="28"/>
      <c r="C22" s="22"/>
      <c r="D22" s="21"/>
      <c r="E22" s="21"/>
      <c r="F22" s="33" t="n">
        <f aca="false">IF(OR($D22="",$E22=""),0,ROUNDUP(($E22-$D22+1)/7,0))</f>
        <v>0</v>
      </c>
      <c r="G22" s="33" t="n">
        <f aca="false">IF(OR($D22="",$C$11=""),0,INT(($D22-$C$11)/7)+1)</f>
        <v>0</v>
      </c>
      <c r="H22" s="34"/>
      <c r="I22" s="34"/>
      <c r="J22" s="28"/>
      <c r="K22" s="28"/>
      <c r="L22" s="28"/>
      <c r="M22" s="35"/>
      <c r="N22" s="28"/>
      <c r="O22" s="22"/>
    </row>
    <row r="23" customFormat="false" ht="15" hidden="false" customHeight="false" outlineLevel="0" collapsed="false">
      <c r="A23" s="19" t="str">
        <f aca="false">IF($B23="","",ROW()-18)</f>
        <v/>
      </c>
      <c r="B23" s="28"/>
      <c r="C23" s="22"/>
      <c r="D23" s="21"/>
      <c r="E23" s="21"/>
      <c r="F23" s="33" t="n">
        <f aca="false">IF(OR($D23="",$E23=""),0,ROUNDUP(($E23-$D23+1)/7,0))</f>
        <v>0</v>
      </c>
      <c r="G23" s="33" t="n">
        <f aca="false">IF(OR($D23="",$C$11=""),0,INT(($D23-$C$11)/7)+1)</f>
        <v>0</v>
      </c>
      <c r="H23" s="34"/>
      <c r="I23" s="34"/>
      <c r="J23" s="28"/>
      <c r="K23" s="28"/>
      <c r="L23" s="28"/>
      <c r="M23" s="35"/>
      <c r="N23" s="28"/>
      <c r="O23" s="22"/>
    </row>
    <row r="24" customFormat="false" ht="15" hidden="false" customHeight="false" outlineLevel="0" collapsed="false">
      <c r="A24" s="19" t="str">
        <f aca="false">IF($B24="","",ROW()-18)</f>
        <v/>
      </c>
      <c r="B24" s="28"/>
      <c r="C24" s="22"/>
      <c r="D24" s="21"/>
      <c r="E24" s="21"/>
      <c r="F24" s="33" t="n">
        <f aca="false">IF(OR($D24="",$E24=""),0,ROUNDUP(($E24-$D24+1)/7,0))</f>
        <v>0</v>
      </c>
      <c r="G24" s="33" t="n">
        <f aca="false">IF(OR($D24="",$C$11=""),0,INT(($D24-$C$11)/7)+1)</f>
        <v>0</v>
      </c>
      <c r="H24" s="34"/>
      <c r="I24" s="34"/>
      <c r="J24" s="28"/>
      <c r="K24" s="28"/>
      <c r="L24" s="28"/>
      <c r="M24" s="35"/>
      <c r="N24" s="28"/>
      <c r="O24" s="22"/>
    </row>
    <row r="25" customFormat="false" ht="15" hidden="false" customHeight="false" outlineLevel="0" collapsed="false">
      <c r="A25" s="19" t="str">
        <f aca="false">IF($B25="","",ROW()-18)</f>
        <v/>
      </c>
      <c r="B25" s="28"/>
      <c r="C25" s="22"/>
      <c r="D25" s="21"/>
      <c r="E25" s="21"/>
      <c r="F25" s="33" t="n">
        <f aca="false">IF(OR($D25="",$E25=""),0,ROUNDUP(($E25-$D25+1)/7,0))</f>
        <v>0</v>
      </c>
      <c r="G25" s="33" t="n">
        <f aca="false">IF(OR($D25="",$C$11=""),0,INT(($D25-$C$11)/7)+1)</f>
        <v>0</v>
      </c>
      <c r="H25" s="34"/>
      <c r="I25" s="34"/>
      <c r="J25" s="28"/>
      <c r="K25" s="28"/>
      <c r="L25" s="28"/>
      <c r="M25" s="35"/>
      <c r="N25" s="28"/>
      <c r="O25" s="22"/>
    </row>
    <row r="26" customFormat="false" ht="15" hidden="false" customHeight="false" outlineLevel="0" collapsed="false">
      <c r="A26" s="19" t="str">
        <f aca="false">IF($B26="","",ROW()-18)</f>
        <v/>
      </c>
      <c r="B26" s="28"/>
      <c r="C26" s="22"/>
      <c r="D26" s="21"/>
      <c r="E26" s="21"/>
      <c r="F26" s="33" t="n">
        <f aca="false">IF(OR($D26="",$E26=""),0,ROUNDUP(($E26-$D26+1)/7,0))</f>
        <v>0</v>
      </c>
      <c r="G26" s="33" t="n">
        <f aca="false">IF(OR($D26="",$C$11=""),0,INT(($D26-$C$11)/7)+1)</f>
        <v>0</v>
      </c>
      <c r="H26" s="34"/>
      <c r="I26" s="34"/>
      <c r="J26" s="28"/>
      <c r="K26" s="28"/>
      <c r="L26" s="28"/>
      <c r="M26" s="35"/>
      <c r="N26" s="28"/>
      <c r="O26" s="22"/>
    </row>
    <row r="27" customFormat="false" ht="15" hidden="false" customHeight="false" outlineLevel="0" collapsed="false">
      <c r="A27" s="19" t="str">
        <f aca="false">IF($B27="","",ROW()-18)</f>
        <v/>
      </c>
      <c r="B27" s="28"/>
      <c r="C27" s="22"/>
      <c r="D27" s="21"/>
      <c r="E27" s="21"/>
      <c r="F27" s="33" t="n">
        <f aca="false">IF(OR($D27="",$E27=""),0,ROUNDUP(($E27-$D27+1)/7,0))</f>
        <v>0</v>
      </c>
      <c r="G27" s="33" t="n">
        <f aca="false">IF(OR($D27="",$C$11=""),0,INT(($D27-$C$11)/7)+1)</f>
        <v>0</v>
      </c>
      <c r="H27" s="34"/>
      <c r="I27" s="34"/>
      <c r="J27" s="28"/>
      <c r="K27" s="28"/>
      <c r="L27" s="28"/>
      <c r="M27" s="35"/>
      <c r="N27" s="28"/>
      <c r="O27" s="22"/>
    </row>
    <row r="28" customFormat="false" ht="15" hidden="false" customHeight="false" outlineLevel="0" collapsed="false">
      <c r="A28" s="19" t="str">
        <f aca="false">IF($B28="","",ROW()-18)</f>
        <v/>
      </c>
      <c r="B28" s="28"/>
      <c r="C28" s="22"/>
      <c r="D28" s="21"/>
      <c r="E28" s="21"/>
      <c r="F28" s="33" t="n">
        <f aca="false">IF(OR($D28="",$E28=""),0,ROUNDUP(($E28-$D28+1)/7,0))</f>
        <v>0</v>
      </c>
      <c r="G28" s="33" t="n">
        <f aca="false">IF(OR($D28="",$C$11=""),0,INT(($D28-$C$11)/7)+1)</f>
        <v>0</v>
      </c>
      <c r="H28" s="34"/>
      <c r="I28" s="34"/>
      <c r="J28" s="28"/>
      <c r="K28" s="28"/>
      <c r="L28" s="28"/>
      <c r="M28" s="35"/>
      <c r="N28" s="28"/>
      <c r="O28" s="22"/>
    </row>
    <row r="29" customFormat="false" ht="15" hidden="false" customHeight="false" outlineLevel="0" collapsed="false">
      <c r="A29" s="19" t="str">
        <f aca="false">IF($B29="","",ROW()-18)</f>
        <v/>
      </c>
      <c r="B29" s="28"/>
      <c r="C29" s="22"/>
      <c r="D29" s="21"/>
      <c r="E29" s="21"/>
      <c r="F29" s="33" t="n">
        <f aca="false">IF(OR($D29="",$E29=""),0,ROUNDUP(($E29-$D29+1)/7,0))</f>
        <v>0</v>
      </c>
      <c r="G29" s="33" t="n">
        <f aca="false">IF(OR($D29="",$C$11=""),0,INT(($D29-$C$11)/7)+1)</f>
        <v>0</v>
      </c>
      <c r="H29" s="34"/>
      <c r="I29" s="34"/>
      <c r="J29" s="28"/>
      <c r="K29" s="28"/>
      <c r="L29" s="28"/>
      <c r="M29" s="35"/>
      <c r="N29" s="28"/>
      <c r="O29" s="22"/>
    </row>
    <row r="30" customFormat="false" ht="15" hidden="false" customHeight="false" outlineLevel="0" collapsed="false">
      <c r="A30" s="19" t="str">
        <f aca="false">IF($B30="","",ROW()-18)</f>
        <v/>
      </c>
      <c r="B30" s="28"/>
      <c r="C30" s="22"/>
      <c r="D30" s="21"/>
      <c r="E30" s="21"/>
      <c r="F30" s="33" t="n">
        <f aca="false">IF(OR($D30="",$E30=""),0,ROUNDUP(($E30-$D30+1)/7,0))</f>
        <v>0</v>
      </c>
      <c r="G30" s="33" t="n">
        <f aca="false">IF(OR($D30="",$C$11=""),0,INT(($D30-$C$11)/7)+1)</f>
        <v>0</v>
      </c>
      <c r="H30" s="34"/>
      <c r="I30" s="34"/>
      <c r="J30" s="28"/>
      <c r="K30" s="28"/>
      <c r="L30" s="28"/>
      <c r="M30" s="35"/>
      <c r="N30" s="28"/>
      <c r="O30" s="22"/>
    </row>
    <row r="31" customFormat="false" ht="15" hidden="false" customHeight="false" outlineLevel="0" collapsed="false">
      <c r="A31" s="36"/>
      <c r="B31" s="37" t="s">
        <v>310</v>
      </c>
      <c r="C31" s="36"/>
      <c r="D31" s="36"/>
      <c r="E31" s="36"/>
      <c r="F31" s="38" t="n">
        <f aca="false">SUM(F19:F30)</f>
        <v>0</v>
      </c>
      <c r="G31" s="36"/>
      <c r="H31" s="39" t="str">
        <f aca="false">IFERROR(AVERAGE(H19:H30),"")</f>
        <v/>
      </c>
      <c r="I31" s="39" t="str">
        <f aca="false">IFERROR(AVERAGE(I19:I30),"")</f>
        <v/>
      </c>
      <c r="J31" s="36"/>
      <c r="K31" s="36"/>
      <c r="L31" s="36"/>
      <c r="M31" s="40" t="n">
        <f aca="false">IFERROR(SUMPRODUCT($F19:$F30,$M19:$M30),"")</f>
        <v>0</v>
      </c>
      <c r="N31" s="36"/>
      <c r="O31" s="36"/>
    </row>
    <row r="32" customFormat="false" ht="15" hidden="false" customHeight="true" outlineLevel="0" collapsed="false">
      <c r="B32" s="17" t="s">
        <v>311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</sheetData>
  <mergeCells count="15">
    <mergeCell ref="A1:O1"/>
    <mergeCell ref="A2:O2"/>
    <mergeCell ref="B4:O4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A17:O17"/>
    <mergeCell ref="B32:O32"/>
  </mergeCells>
  <dataValidations count="2">
    <dataValidation allowBlank="true" errorStyle="stop" operator="between" showDropDown="false" showErrorMessage="false" showInputMessage="false" sqref="C19:C30" type="list">
      <formula1>Listas!$F$5:$F$15</formula1>
      <formula2>0</formula2>
    </dataValidation>
    <dataValidation allowBlank="true" errorStyle="stop" operator="between" showDropDown="false" showErrorMessage="false" showInputMessage="false" sqref="O19:O30" type="list">
      <formula1>Listas!$S$5:$S$15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96"/>
    <pageSetUpPr fitToPage="tru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313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3" t="s">
        <v>314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B6" s="29" t="s">
        <v>315</v>
      </c>
      <c r="C6" s="41"/>
      <c r="D6" s="41"/>
    </row>
    <row r="8" customFormat="false" ht="15" hidden="false" customHeight="false" outlineLevel="0" collapsed="false">
      <c r="B8" s="29" t="s">
        <v>297</v>
      </c>
      <c r="C8" s="42" t="str">
        <f aca="false">IFERROR(INDEX(Macrociclo!$C$19:$C$30,MATCH($C$6,Macrociclo!$B$19:$B$30,0)),"")</f>
        <v/>
      </c>
      <c r="D8" s="42"/>
      <c r="F8" s="29" t="s">
        <v>304</v>
      </c>
      <c r="G8" s="43" t="str">
        <f aca="false">IFERROR(INDEX(Macrociclo!$J$19:$J$30,MATCH($C$6,Macrociclo!$B$19:$B$30,0)),"")</f>
        <v/>
      </c>
      <c r="H8" s="43"/>
      <c r="I8" s="43"/>
      <c r="J8" s="43"/>
      <c r="K8" s="43"/>
      <c r="L8" s="43"/>
      <c r="M8" s="43"/>
    </row>
    <row r="9" customFormat="false" ht="15" hidden="false" customHeight="false" outlineLevel="0" collapsed="false">
      <c r="B9" s="29" t="s">
        <v>289</v>
      </c>
      <c r="C9" s="44" t="str">
        <f aca="false">IFERROR(INDEX(Macrociclo!$D$19:$D$30,MATCH($C$6,Macrociclo!$B$19:$B$30,0)),"")</f>
        <v/>
      </c>
      <c r="D9" s="44"/>
      <c r="F9" s="29" t="s">
        <v>305</v>
      </c>
      <c r="G9" s="43" t="str">
        <f aca="false">IFERROR(INDEX(Macrociclo!$K$19:$K$30,MATCH($C$6,Macrociclo!$B$19:$B$30,0)),"")</f>
        <v/>
      </c>
      <c r="H9" s="43"/>
      <c r="I9" s="43"/>
      <c r="J9" s="43"/>
      <c r="K9" s="43"/>
      <c r="L9" s="43"/>
      <c r="M9" s="43"/>
    </row>
    <row r="10" customFormat="false" ht="15" hidden="false" customHeight="false" outlineLevel="0" collapsed="false">
      <c r="B10" s="29" t="s">
        <v>290</v>
      </c>
      <c r="C10" s="44" t="str">
        <f aca="false">IFERROR(INDEX(Macrociclo!$E$19:$E$30,MATCH($C$6,Macrociclo!$B$19:$B$30,0)),"")</f>
        <v/>
      </c>
      <c r="D10" s="44"/>
      <c r="F10" s="29" t="s">
        <v>306</v>
      </c>
      <c r="G10" s="43" t="str">
        <f aca="false">IFERROR(INDEX(Macrociclo!$L$19:$L$30,MATCH($C$6,Macrociclo!$B$19:$B$30,0)),"")</f>
        <v/>
      </c>
      <c r="H10" s="43"/>
      <c r="I10" s="43"/>
      <c r="J10" s="43"/>
      <c r="K10" s="43"/>
      <c r="L10" s="43"/>
      <c r="M10" s="43"/>
    </row>
    <row r="11" customFormat="false" ht="15" hidden="false" customHeight="false" outlineLevel="0" collapsed="false">
      <c r="B11" s="29" t="s">
        <v>291</v>
      </c>
      <c r="C11" s="45" t="str">
        <f aca="false">IFERROR(INDEX(Macrociclo!$F$19:$F$30,MATCH($C$6,Macrociclo!$B$19:$B$30,0)),"")</f>
        <v/>
      </c>
      <c r="D11" s="45"/>
      <c r="F11" s="29" t="s">
        <v>316</v>
      </c>
      <c r="G11" s="43" t="str">
        <f aca="false">IFERROR(INDEX(Macrociclo!$N$19:$N$30,MATCH($C$6,Macrociclo!$B$19:$B$30,0)),"")</f>
        <v/>
      </c>
      <c r="H11" s="43"/>
      <c r="I11" s="43"/>
      <c r="J11" s="43"/>
      <c r="K11" s="43"/>
      <c r="L11" s="43"/>
      <c r="M11" s="43"/>
    </row>
    <row r="12" customFormat="false" ht="15" hidden="false" customHeight="false" outlineLevel="0" collapsed="false">
      <c r="B12" s="29" t="s">
        <v>317</v>
      </c>
      <c r="C12" s="45" t="str">
        <f aca="false">IFERROR(INDEX(Macrociclo!$G$19:$G$30,MATCH($C$6,Macrociclo!$B$19:$B$30,0)),"")</f>
        <v/>
      </c>
      <c r="D12" s="45"/>
    </row>
    <row r="13" customFormat="false" ht="15" hidden="false" customHeight="false" outlineLevel="0" collapsed="false">
      <c r="B13" s="29" t="s">
        <v>318</v>
      </c>
      <c r="C13" s="46" t="str">
        <f aca="false">IFERROR(INDEX(Macrociclo!$H$19:$H$30,MATCH($C$6,Macrociclo!$B$19:$B$30,0)),"")</f>
        <v/>
      </c>
      <c r="D13" s="46"/>
    </row>
    <row r="14" customFormat="false" ht="15" hidden="false" customHeight="false" outlineLevel="0" collapsed="false">
      <c r="B14" s="29" t="s">
        <v>319</v>
      </c>
      <c r="C14" s="46" t="str">
        <f aca="false">IFERROR(INDEX(Macrociclo!$I$19:$I$30,MATCH($C$6,Macrociclo!$B$19:$B$30,0)),"")</f>
        <v/>
      </c>
      <c r="D14" s="46"/>
    </row>
    <row r="15" customFormat="false" ht="15" hidden="false" customHeight="false" outlineLevel="0" collapsed="false">
      <c r="B15" s="29" t="s">
        <v>307</v>
      </c>
      <c r="C15" s="47" t="str">
        <f aca="false">IFERROR(INDEX(Macrociclo!$M$19:$M$30,MATCH($C$6,Macrociclo!$B$19:$B$30,0)),"")</f>
        <v/>
      </c>
      <c r="D15" s="47"/>
    </row>
    <row r="17" customFormat="false" ht="19.5" hidden="false" customHeight="true" outlineLevel="0" collapsed="false">
      <c r="A17" s="3" t="s">
        <v>320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31.5" hidden="false" customHeight="true" outlineLevel="0" collapsed="false">
      <c r="A18" s="18" t="s">
        <v>295</v>
      </c>
      <c r="B18" s="18" t="s">
        <v>321</v>
      </c>
      <c r="C18" s="18" t="s">
        <v>322</v>
      </c>
      <c r="D18" s="18" t="s">
        <v>298</v>
      </c>
      <c r="E18" s="18" t="s">
        <v>299</v>
      </c>
      <c r="F18" s="18" t="s">
        <v>323</v>
      </c>
      <c r="G18" s="18" t="s">
        <v>324</v>
      </c>
      <c r="H18" s="18" t="s">
        <v>325</v>
      </c>
      <c r="I18" s="18" t="s">
        <v>326</v>
      </c>
      <c r="J18" s="18" t="s">
        <v>327</v>
      </c>
      <c r="K18" s="18" t="s">
        <v>328</v>
      </c>
      <c r="L18" s="18" t="s">
        <v>329</v>
      </c>
      <c r="M18" s="18" t="s">
        <v>78</v>
      </c>
    </row>
    <row r="19" customFormat="false" ht="15" hidden="false" customHeight="false" outlineLevel="0" collapsed="false">
      <c r="A19" s="19" t="str">
        <f aca="false">IF($B19="","",ROW()-18)</f>
        <v/>
      </c>
      <c r="B19" s="28"/>
      <c r="C19" s="22"/>
      <c r="D19" s="21"/>
      <c r="E19" s="21"/>
      <c r="F19" s="28"/>
      <c r="G19" s="33" t="n">
        <f aca="false">IF(OR($D19="",Macrociclo!$C$11=""),0,INT(($D19-Macrociclo!$C$11)/7)+1)</f>
        <v>0</v>
      </c>
      <c r="H19" s="22"/>
      <c r="I19" s="22"/>
      <c r="J19" s="22"/>
      <c r="K19" s="48" t="n">
        <f aca="false">IF(OR($I19="",$J19=""),0,$I19*$J19)</f>
        <v>0</v>
      </c>
      <c r="L19" s="49" t="n">
        <f aca="false">IF($K19=0,0,SUMIFS('Carga (PSE)'!$G$8:$G$1007,'Carga (PSE)'!$B$8:$B$1007,$G19)/MAX(1,COUNTIF(Cadastro!$T$7:$T$66,"Ativo"))/$K19)</f>
        <v>0</v>
      </c>
      <c r="M19" s="28"/>
    </row>
    <row r="20" customFormat="false" ht="15" hidden="false" customHeight="false" outlineLevel="0" collapsed="false">
      <c r="A20" s="19" t="str">
        <f aca="false">IF($B20="","",ROW()-18)</f>
        <v/>
      </c>
      <c r="B20" s="28"/>
      <c r="C20" s="22"/>
      <c r="D20" s="21"/>
      <c r="E20" s="21"/>
      <c r="F20" s="28"/>
      <c r="G20" s="33" t="n">
        <f aca="false">IF(OR($D20="",Macrociclo!$C$11=""),0,INT(($D20-Macrociclo!$C$11)/7)+1)</f>
        <v>0</v>
      </c>
      <c r="H20" s="22"/>
      <c r="I20" s="22"/>
      <c r="J20" s="22"/>
      <c r="K20" s="48" t="n">
        <f aca="false">IF(OR($I20="",$J20=""),0,$I20*$J20)</f>
        <v>0</v>
      </c>
      <c r="L20" s="49" t="n">
        <f aca="false">IF($K20=0,0,SUMIFS('Carga (PSE)'!$G$8:$G$1007,'Carga (PSE)'!$B$8:$B$1007,$G20)/MAX(1,COUNTIF(Cadastro!$T$7:$T$66,"Ativo"))/$K20)</f>
        <v>0</v>
      </c>
      <c r="M20" s="28"/>
    </row>
    <row r="21" customFormat="false" ht="15" hidden="false" customHeight="false" outlineLevel="0" collapsed="false">
      <c r="A21" s="19" t="str">
        <f aca="false">IF($B21="","",ROW()-18)</f>
        <v/>
      </c>
      <c r="B21" s="28"/>
      <c r="C21" s="22"/>
      <c r="D21" s="21"/>
      <c r="E21" s="21"/>
      <c r="F21" s="28"/>
      <c r="G21" s="33" t="n">
        <f aca="false">IF(OR($D21="",Macrociclo!$C$11=""),0,INT(($D21-Macrociclo!$C$11)/7)+1)</f>
        <v>0</v>
      </c>
      <c r="H21" s="22"/>
      <c r="I21" s="22"/>
      <c r="J21" s="22"/>
      <c r="K21" s="48" t="n">
        <f aca="false">IF(OR($I21="",$J21=""),0,$I21*$J21)</f>
        <v>0</v>
      </c>
      <c r="L21" s="49" t="n">
        <f aca="false">IF($K21=0,0,SUMIFS('Carga (PSE)'!$G$8:$G$1007,'Carga (PSE)'!$B$8:$B$1007,$G21)/MAX(1,COUNTIF(Cadastro!$T$7:$T$66,"Ativo"))/$K21)</f>
        <v>0</v>
      </c>
      <c r="M21" s="28"/>
    </row>
    <row r="22" customFormat="false" ht="15" hidden="false" customHeight="false" outlineLevel="0" collapsed="false">
      <c r="A22" s="19" t="str">
        <f aca="false">IF($B22="","",ROW()-18)</f>
        <v/>
      </c>
      <c r="B22" s="28"/>
      <c r="C22" s="22"/>
      <c r="D22" s="21"/>
      <c r="E22" s="21"/>
      <c r="F22" s="28"/>
      <c r="G22" s="33" t="n">
        <f aca="false">IF(OR($D22="",Macrociclo!$C$11=""),0,INT(($D22-Macrociclo!$C$11)/7)+1)</f>
        <v>0</v>
      </c>
      <c r="H22" s="22"/>
      <c r="I22" s="22"/>
      <c r="J22" s="22"/>
      <c r="K22" s="48" t="n">
        <f aca="false">IF(OR($I22="",$J22=""),0,$I22*$J22)</f>
        <v>0</v>
      </c>
      <c r="L22" s="49" t="n">
        <f aca="false">IF($K22=0,0,SUMIFS('Carga (PSE)'!$G$8:$G$1007,'Carga (PSE)'!$B$8:$B$1007,$G22)/MAX(1,COUNTIF(Cadastro!$T$7:$T$66,"Ativo"))/$K22)</f>
        <v>0</v>
      </c>
      <c r="M22" s="28"/>
    </row>
    <row r="23" customFormat="false" ht="15" hidden="false" customHeight="false" outlineLevel="0" collapsed="false">
      <c r="A23" s="19" t="str">
        <f aca="false">IF($B23="","",ROW()-18)</f>
        <v/>
      </c>
      <c r="B23" s="28"/>
      <c r="C23" s="22"/>
      <c r="D23" s="21"/>
      <c r="E23" s="21"/>
      <c r="F23" s="28"/>
      <c r="G23" s="33" t="n">
        <f aca="false">IF(OR($D23="",Macrociclo!$C$11=""),0,INT(($D23-Macrociclo!$C$11)/7)+1)</f>
        <v>0</v>
      </c>
      <c r="H23" s="22"/>
      <c r="I23" s="22"/>
      <c r="J23" s="22"/>
      <c r="K23" s="48" t="n">
        <f aca="false">IF(OR($I23="",$J23=""),0,$I23*$J23)</f>
        <v>0</v>
      </c>
      <c r="L23" s="49" t="n">
        <f aca="false">IF($K23=0,0,SUMIFS('Carga (PSE)'!$G$8:$G$1007,'Carga (PSE)'!$B$8:$B$1007,$G23)/MAX(1,COUNTIF(Cadastro!$T$7:$T$66,"Ativo"))/$K23)</f>
        <v>0</v>
      </c>
      <c r="M23" s="28"/>
    </row>
    <row r="24" customFormat="false" ht="15" hidden="false" customHeight="false" outlineLevel="0" collapsed="false">
      <c r="A24" s="19" t="str">
        <f aca="false">IF($B24="","",ROW()-18)</f>
        <v/>
      </c>
      <c r="B24" s="28"/>
      <c r="C24" s="22"/>
      <c r="D24" s="21"/>
      <c r="E24" s="21"/>
      <c r="F24" s="28"/>
      <c r="G24" s="33" t="n">
        <f aca="false">IF(OR($D24="",Macrociclo!$C$11=""),0,INT(($D24-Macrociclo!$C$11)/7)+1)</f>
        <v>0</v>
      </c>
      <c r="H24" s="22"/>
      <c r="I24" s="22"/>
      <c r="J24" s="22"/>
      <c r="K24" s="48" t="n">
        <f aca="false">IF(OR($I24="",$J24=""),0,$I24*$J24)</f>
        <v>0</v>
      </c>
      <c r="L24" s="49" t="n">
        <f aca="false">IF($K24=0,0,SUMIFS('Carga (PSE)'!$G$8:$G$1007,'Carga (PSE)'!$B$8:$B$1007,$G24)/MAX(1,COUNTIF(Cadastro!$T$7:$T$66,"Ativo"))/$K24)</f>
        <v>0</v>
      </c>
      <c r="M24" s="28"/>
    </row>
    <row r="25" customFormat="false" ht="15" hidden="false" customHeight="false" outlineLevel="0" collapsed="false">
      <c r="A25" s="19" t="str">
        <f aca="false">IF($B25="","",ROW()-18)</f>
        <v/>
      </c>
      <c r="B25" s="28"/>
      <c r="C25" s="22"/>
      <c r="D25" s="21"/>
      <c r="E25" s="21"/>
      <c r="F25" s="28"/>
      <c r="G25" s="33" t="n">
        <f aca="false">IF(OR($D25="",Macrociclo!$C$11=""),0,INT(($D25-Macrociclo!$C$11)/7)+1)</f>
        <v>0</v>
      </c>
      <c r="H25" s="22"/>
      <c r="I25" s="22"/>
      <c r="J25" s="22"/>
      <c r="K25" s="48" t="n">
        <f aca="false">IF(OR($I25="",$J25=""),0,$I25*$J25)</f>
        <v>0</v>
      </c>
      <c r="L25" s="49" t="n">
        <f aca="false">IF($K25=0,0,SUMIFS('Carga (PSE)'!$G$8:$G$1007,'Carga (PSE)'!$B$8:$B$1007,$G25)/MAX(1,COUNTIF(Cadastro!$T$7:$T$66,"Ativo"))/$K25)</f>
        <v>0</v>
      </c>
      <c r="M25" s="28"/>
    </row>
    <row r="26" customFormat="false" ht="15" hidden="false" customHeight="false" outlineLevel="0" collapsed="false">
      <c r="A26" s="19" t="str">
        <f aca="false">IF($B26="","",ROW()-18)</f>
        <v/>
      </c>
      <c r="B26" s="28"/>
      <c r="C26" s="22"/>
      <c r="D26" s="21"/>
      <c r="E26" s="21"/>
      <c r="F26" s="28"/>
      <c r="G26" s="33" t="n">
        <f aca="false">IF(OR($D26="",Macrociclo!$C$11=""),0,INT(($D26-Macrociclo!$C$11)/7)+1)</f>
        <v>0</v>
      </c>
      <c r="H26" s="22"/>
      <c r="I26" s="22"/>
      <c r="J26" s="22"/>
      <c r="K26" s="48" t="n">
        <f aca="false">IF(OR($I26="",$J26=""),0,$I26*$J26)</f>
        <v>0</v>
      </c>
      <c r="L26" s="49" t="n">
        <f aca="false">IF($K26=0,0,SUMIFS('Carga (PSE)'!$G$8:$G$1007,'Carga (PSE)'!$B$8:$B$1007,$G26)/MAX(1,COUNTIF(Cadastro!$T$7:$T$66,"Ativo"))/$K26)</f>
        <v>0</v>
      </c>
      <c r="M26" s="28"/>
    </row>
    <row r="27" customFormat="false" ht="15" hidden="false" customHeight="false" outlineLevel="0" collapsed="false">
      <c r="A27" s="19" t="str">
        <f aca="false">IF($B27="","",ROW()-18)</f>
        <v/>
      </c>
      <c r="B27" s="28"/>
      <c r="C27" s="22"/>
      <c r="D27" s="21"/>
      <c r="E27" s="21"/>
      <c r="F27" s="28"/>
      <c r="G27" s="33" t="n">
        <f aca="false">IF(OR($D27="",Macrociclo!$C$11=""),0,INT(($D27-Macrociclo!$C$11)/7)+1)</f>
        <v>0</v>
      </c>
      <c r="H27" s="22"/>
      <c r="I27" s="22"/>
      <c r="J27" s="22"/>
      <c r="K27" s="48" t="n">
        <f aca="false">IF(OR($I27="",$J27=""),0,$I27*$J27)</f>
        <v>0</v>
      </c>
      <c r="L27" s="49" t="n">
        <f aca="false">IF($K27=0,0,SUMIFS('Carga (PSE)'!$G$8:$G$1007,'Carga (PSE)'!$B$8:$B$1007,$G27)/MAX(1,COUNTIF(Cadastro!$T$7:$T$66,"Ativo"))/$K27)</f>
        <v>0</v>
      </c>
      <c r="M27" s="28"/>
    </row>
    <row r="28" customFormat="false" ht="15" hidden="false" customHeight="false" outlineLevel="0" collapsed="false">
      <c r="A28" s="19" t="str">
        <f aca="false">IF($B28="","",ROW()-18)</f>
        <v/>
      </c>
      <c r="B28" s="28"/>
      <c r="C28" s="22"/>
      <c r="D28" s="21"/>
      <c r="E28" s="21"/>
      <c r="F28" s="28"/>
      <c r="G28" s="33" t="n">
        <f aca="false">IF(OR($D28="",Macrociclo!$C$11=""),0,INT(($D28-Macrociclo!$C$11)/7)+1)</f>
        <v>0</v>
      </c>
      <c r="H28" s="22"/>
      <c r="I28" s="22"/>
      <c r="J28" s="22"/>
      <c r="K28" s="48" t="n">
        <f aca="false">IF(OR($I28="",$J28=""),0,$I28*$J28)</f>
        <v>0</v>
      </c>
      <c r="L28" s="49" t="n">
        <f aca="false">IF($K28=0,0,SUMIFS('Carga (PSE)'!$G$8:$G$1007,'Carga (PSE)'!$B$8:$B$1007,$G28)/MAX(1,COUNTIF(Cadastro!$T$7:$T$66,"Ativo"))/$K28)</f>
        <v>0</v>
      </c>
      <c r="M28" s="28"/>
    </row>
    <row r="29" customFormat="false" ht="15" hidden="false" customHeight="false" outlineLevel="0" collapsed="false">
      <c r="A29" s="19" t="str">
        <f aca="false">IF($B29="","",ROW()-18)</f>
        <v/>
      </c>
      <c r="B29" s="28"/>
      <c r="C29" s="22"/>
      <c r="D29" s="21"/>
      <c r="E29" s="21"/>
      <c r="F29" s="28"/>
      <c r="G29" s="33" t="n">
        <f aca="false">IF(OR($D29="",Macrociclo!$C$11=""),0,INT(($D29-Macrociclo!$C$11)/7)+1)</f>
        <v>0</v>
      </c>
      <c r="H29" s="22"/>
      <c r="I29" s="22"/>
      <c r="J29" s="22"/>
      <c r="K29" s="48" t="n">
        <f aca="false">IF(OR($I29="",$J29=""),0,$I29*$J29)</f>
        <v>0</v>
      </c>
      <c r="L29" s="49" t="n">
        <f aca="false">IF($K29=0,0,SUMIFS('Carga (PSE)'!$G$8:$G$1007,'Carga (PSE)'!$B$8:$B$1007,$G29)/MAX(1,COUNTIF(Cadastro!$T$7:$T$66,"Ativo"))/$K29)</f>
        <v>0</v>
      </c>
      <c r="M29" s="28"/>
    </row>
    <row r="30" customFormat="false" ht="15" hidden="false" customHeight="false" outlineLevel="0" collapsed="false">
      <c r="A30" s="19" t="str">
        <f aca="false">IF($B30="","",ROW()-18)</f>
        <v/>
      </c>
      <c r="B30" s="28"/>
      <c r="C30" s="22"/>
      <c r="D30" s="21"/>
      <c r="E30" s="21"/>
      <c r="F30" s="28"/>
      <c r="G30" s="33" t="n">
        <f aca="false">IF(OR($D30="",Macrociclo!$C$11=""),0,INT(($D30-Macrociclo!$C$11)/7)+1)</f>
        <v>0</v>
      </c>
      <c r="H30" s="22"/>
      <c r="I30" s="22"/>
      <c r="J30" s="22"/>
      <c r="K30" s="48" t="n">
        <f aca="false">IF(OR($I30="",$J30=""),0,$I30*$J30)</f>
        <v>0</v>
      </c>
      <c r="L30" s="49" t="n">
        <f aca="false">IF($K30=0,0,SUMIFS('Carga (PSE)'!$G$8:$G$1007,'Carga (PSE)'!$B$8:$B$1007,$G30)/MAX(1,COUNTIF(Cadastro!$T$7:$T$66,"Ativo"))/$K30)</f>
        <v>0</v>
      </c>
      <c r="M30" s="28"/>
    </row>
    <row r="32" customFormat="false" ht="15" hidden="false" customHeight="true" outlineLevel="0" collapsed="false">
      <c r="B32" s="17" t="s">
        <v>330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</sheetData>
  <mergeCells count="18">
    <mergeCell ref="A1:M1"/>
    <mergeCell ref="A2:M2"/>
    <mergeCell ref="B4:M4"/>
    <mergeCell ref="C6:D6"/>
    <mergeCell ref="C8:D8"/>
    <mergeCell ref="G8:M8"/>
    <mergeCell ref="C9:D9"/>
    <mergeCell ref="G9:M9"/>
    <mergeCell ref="C10:D10"/>
    <mergeCell ref="G10:M10"/>
    <mergeCell ref="C11:D11"/>
    <mergeCell ref="G11:M11"/>
    <mergeCell ref="C12:D12"/>
    <mergeCell ref="C13:D13"/>
    <mergeCell ref="C14:D14"/>
    <mergeCell ref="C15:D15"/>
    <mergeCell ref="A17:M17"/>
    <mergeCell ref="B32:M32"/>
  </mergeCells>
  <conditionalFormatting sqref="L19:L30">
    <cfRule type="cellIs" priority="2" operator="between" aboveAverage="0" equalAverage="0" bottom="0" percent="0" rank="0" text="" dxfId="6">
      <formula>0.9</formula>
      <formula>1.1</formula>
    </cfRule>
    <cfRule type="cellIs" priority="3" operator="greaterThan" aboveAverage="0" equalAverage="0" bottom="0" percent="0" rank="0" text="" dxfId="8">
      <formula>1.1</formula>
    </cfRule>
    <cfRule type="cellIs" priority="4" operator="between" aboveAverage="0" equalAverage="0" bottom="0" percent="0" rank="0" text="" dxfId="7">
      <formula>0.0001</formula>
      <formula>0.9</formula>
    </cfRule>
  </conditionalFormatting>
  <dataValidations count="2">
    <dataValidation allowBlank="true" errorStyle="stop" operator="between" showDropDown="false" showErrorMessage="false" showInputMessage="false" sqref="C6" type="list">
      <formula1>Macrociclo!$B$19:$B$30</formula1>
      <formula2>0</formula2>
    </dataValidation>
    <dataValidation allowBlank="true" errorStyle="stop" operator="between" showDropDown="false" showErrorMessage="false" showInputMessage="false" sqref="C19:C30" type="list">
      <formula1>Listas!$G$5:$G$15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1" min="9" style="0" width="26"/>
    <col collapsed="false" customWidth="true" hidden="false" outlineLevel="0" max="12" min="12" style="0" width="28"/>
  </cols>
  <sheetData>
    <row r="1" customFormat="false" ht="30" hidden="false" customHeight="true" outlineLevel="0" collapsed="false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332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333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29" t="s">
        <v>321</v>
      </c>
      <c r="B5" s="30"/>
      <c r="C5" s="30"/>
    </row>
    <row r="6" customFormat="false" ht="15" hidden="false" customHeight="false" outlineLevel="0" collapsed="false">
      <c r="A6" s="29" t="s">
        <v>334</v>
      </c>
      <c r="B6" s="30"/>
      <c r="C6" s="30"/>
    </row>
    <row r="7" customFormat="false" ht="15" hidden="false" customHeight="false" outlineLevel="0" collapsed="false">
      <c r="A7" s="29" t="s">
        <v>335</v>
      </c>
      <c r="B7" s="31" t="n">
        <v>46258</v>
      </c>
      <c r="C7" s="31"/>
    </row>
    <row r="8" customFormat="false" ht="15" hidden="false" customHeight="false" outlineLevel="0" collapsed="false">
      <c r="A8" s="29" t="s">
        <v>322</v>
      </c>
      <c r="B8" s="30"/>
      <c r="C8" s="30"/>
    </row>
    <row r="9" customFormat="false" ht="15" hidden="false" customHeight="false" outlineLevel="0" collapsed="false">
      <c r="A9" s="29" t="s">
        <v>336</v>
      </c>
      <c r="B9" s="30"/>
      <c r="C9" s="30"/>
      <c r="D9" s="30"/>
      <c r="E9" s="30"/>
      <c r="F9" s="30"/>
      <c r="G9" s="30"/>
      <c r="H9" s="30"/>
      <c r="I9" s="30"/>
      <c r="J9" s="30"/>
    </row>
    <row r="11" customFormat="false" ht="19.5" hidden="false" customHeight="true" outlineLevel="0" collapsed="false">
      <c r="A11" s="3" t="s">
        <v>337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31.5" hidden="false" customHeight="true" outlineLevel="0" collapsed="false">
      <c r="A12" s="18" t="s">
        <v>338</v>
      </c>
      <c r="B12" s="18" t="s">
        <v>339</v>
      </c>
      <c r="C12" s="18" t="s">
        <v>340</v>
      </c>
      <c r="D12" s="18" t="s">
        <v>341</v>
      </c>
      <c r="E12" s="18" t="s">
        <v>342</v>
      </c>
      <c r="F12" s="18" t="s">
        <v>343</v>
      </c>
      <c r="G12" s="18" t="s">
        <v>344</v>
      </c>
      <c r="H12" s="18" t="s">
        <v>328</v>
      </c>
      <c r="I12" s="18" t="s">
        <v>305</v>
      </c>
      <c r="J12" s="18" t="s">
        <v>306</v>
      </c>
      <c r="K12" s="18" t="s">
        <v>345</v>
      </c>
      <c r="L12" s="18" t="s">
        <v>78</v>
      </c>
    </row>
    <row r="13" customFormat="false" ht="15" hidden="false" customHeight="false" outlineLevel="0" collapsed="false">
      <c r="A13" s="50" t="str">
        <f aca="false">IF($B13="","",CHOOSE(WEEKDAY($B13,2),"Segunda-feira","Terça-feira","Quarta-feira","Quinta-feira","Sexta-feira","Sábado","Domingo"))</f>
        <v>Segunda-feira</v>
      </c>
      <c r="B13" s="51" t="n">
        <f aca="false">IF($B$7="","",$B$7+INT((ROW()-13)/2))</f>
        <v>46258</v>
      </c>
      <c r="C13" s="52"/>
      <c r="D13" s="53"/>
      <c r="E13" s="52"/>
      <c r="F13" s="52"/>
      <c r="G13" s="52"/>
      <c r="H13" s="54" t="n">
        <f aca="false">IF(OR($F13="",$G13=""),0,$F13*$G13)</f>
        <v>0</v>
      </c>
      <c r="I13" s="53"/>
      <c r="J13" s="53"/>
      <c r="K13" s="53"/>
      <c r="L13" s="53"/>
    </row>
    <row r="14" customFormat="false" ht="15" hidden="false" customHeight="false" outlineLevel="0" collapsed="false">
      <c r="A14" s="19" t="str">
        <f aca="false">IF($B14="","",CHOOSE(WEEKDAY($B14,2),"Segunda-feira","Terça-feira","Quarta-feira","Quinta-feira","Sexta-feira","Sábado","Domingo"))</f>
        <v>Segunda-feira</v>
      </c>
      <c r="B14" s="55" t="n">
        <f aca="false">IF($B$7="","",$B$7+INT((ROW()-13)/2))</f>
        <v>46258</v>
      </c>
      <c r="C14" s="22"/>
      <c r="D14" s="28"/>
      <c r="E14" s="22"/>
      <c r="F14" s="22"/>
      <c r="G14" s="22"/>
      <c r="H14" s="48" t="n">
        <f aca="false">IF(OR($F14="",$G14=""),0,$F14*$G14)</f>
        <v>0</v>
      </c>
      <c r="I14" s="28"/>
      <c r="J14" s="28"/>
      <c r="K14" s="28"/>
      <c r="L14" s="28"/>
    </row>
    <row r="15" customFormat="false" ht="15" hidden="false" customHeight="false" outlineLevel="0" collapsed="false">
      <c r="A15" s="50" t="str">
        <f aca="false">IF($B15="","",CHOOSE(WEEKDAY($B15,2),"Segunda-feira","Terça-feira","Quarta-feira","Quinta-feira","Sexta-feira","Sábado","Domingo"))</f>
        <v>Terça-feira</v>
      </c>
      <c r="B15" s="51" t="n">
        <f aca="false">IF($B$7="","",$B$7+INT((ROW()-13)/2))</f>
        <v>46259</v>
      </c>
      <c r="C15" s="52"/>
      <c r="D15" s="53"/>
      <c r="E15" s="52"/>
      <c r="F15" s="52"/>
      <c r="G15" s="52"/>
      <c r="H15" s="54" t="n">
        <f aca="false">IF(OR($F15="",$G15=""),0,$F15*$G15)</f>
        <v>0</v>
      </c>
      <c r="I15" s="53"/>
      <c r="J15" s="53"/>
      <c r="K15" s="53"/>
      <c r="L15" s="53"/>
    </row>
    <row r="16" customFormat="false" ht="15" hidden="false" customHeight="false" outlineLevel="0" collapsed="false">
      <c r="A16" s="19" t="str">
        <f aca="false">IF($B16="","",CHOOSE(WEEKDAY($B16,2),"Segunda-feira","Terça-feira","Quarta-feira","Quinta-feira","Sexta-feira","Sábado","Domingo"))</f>
        <v>Terça-feira</v>
      </c>
      <c r="B16" s="55" t="n">
        <f aca="false">IF($B$7="","",$B$7+INT((ROW()-13)/2))</f>
        <v>46259</v>
      </c>
      <c r="C16" s="22"/>
      <c r="D16" s="28"/>
      <c r="E16" s="22"/>
      <c r="F16" s="22"/>
      <c r="G16" s="22"/>
      <c r="H16" s="48" t="n">
        <f aca="false">IF(OR($F16="",$G16=""),0,$F16*$G16)</f>
        <v>0</v>
      </c>
      <c r="I16" s="28"/>
      <c r="J16" s="28"/>
      <c r="K16" s="28"/>
      <c r="L16" s="28"/>
    </row>
    <row r="17" customFormat="false" ht="15" hidden="false" customHeight="false" outlineLevel="0" collapsed="false">
      <c r="A17" s="50" t="str">
        <f aca="false">IF($B17="","",CHOOSE(WEEKDAY($B17,2),"Segunda-feira","Terça-feira","Quarta-feira","Quinta-feira","Sexta-feira","Sábado","Domingo"))</f>
        <v>Quarta-feira</v>
      </c>
      <c r="B17" s="51" t="n">
        <f aca="false">IF($B$7="","",$B$7+INT((ROW()-13)/2))</f>
        <v>46260</v>
      </c>
      <c r="C17" s="52"/>
      <c r="D17" s="53"/>
      <c r="E17" s="52"/>
      <c r="F17" s="52"/>
      <c r="G17" s="52"/>
      <c r="H17" s="54" t="n">
        <f aca="false">IF(OR($F17="",$G17=""),0,$F17*$G17)</f>
        <v>0</v>
      </c>
      <c r="I17" s="53"/>
      <c r="J17" s="53"/>
      <c r="K17" s="53"/>
      <c r="L17" s="53"/>
    </row>
    <row r="18" customFormat="false" ht="15" hidden="false" customHeight="false" outlineLevel="0" collapsed="false">
      <c r="A18" s="19" t="str">
        <f aca="false">IF($B18="","",CHOOSE(WEEKDAY($B18,2),"Segunda-feira","Terça-feira","Quarta-feira","Quinta-feira","Sexta-feira","Sábado","Domingo"))</f>
        <v>Quarta-feira</v>
      </c>
      <c r="B18" s="55" t="n">
        <f aca="false">IF($B$7="","",$B$7+INT((ROW()-13)/2))</f>
        <v>46260</v>
      </c>
      <c r="C18" s="22"/>
      <c r="D18" s="28"/>
      <c r="E18" s="22"/>
      <c r="F18" s="22"/>
      <c r="G18" s="22"/>
      <c r="H18" s="48" t="n">
        <f aca="false">IF(OR($F18="",$G18=""),0,$F18*$G18)</f>
        <v>0</v>
      </c>
      <c r="I18" s="28"/>
      <c r="J18" s="28"/>
      <c r="K18" s="28"/>
      <c r="L18" s="28"/>
    </row>
    <row r="19" customFormat="false" ht="15" hidden="false" customHeight="false" outlineLevel="0" collapsed="false">
      <c r="A19" s="50" t="str">
        <f aca="false">IF($B19="","",CHOOSE(WEEKDAY($B19,2),"Segunda-feira","Terça-feira","Quarta-feira","Quinta-feira","Sexta-feira","Sábado","Domingo"))</f>
        <v>Quinta-feira</v>
      </c>
      <c r="B19" s="51" t="n">
        <f aca="false">IF($B$7="","",$B$7+INT((ROW()-13)/2))</f>
        <v>46261</v>
      </c>
      <c r="C19" s="52"/>
      <c r="D19" s="53"/>
      <c r="E19" s="52"/>
      <c r="F19" s="52"/>
      <c r="G19" s="52"/>
      <c r="H19" s="54" t="n">
        <f aca="false">IF(OR($F19="",$G19=""),0,$F19*$G19)</f>
        <v>0</v>
      </c>
      <c r="I19" s="53"/>
      <c r="J19" s="53"/>
      <c r="K19" s="53"/>
      <c r="L19" s="53"/>
    </row>
    <row r="20" customFormat="false" ht="15" hidden="false" customHeight="false" outlineLevel="0" collapsed="false">
      <c r="A20" s="19" t="str">
        <f aca="false">IF($B20="","",CHOOSE(WEEKDAY($B20,2),"Segunda-feira","Terça-feira","Quarta-feira","Quinta-feira","Sexta-feira","Sábado","Domingo"))</f>
        <v>Quinta-feira</v>
      </c>
      <c r="B20" s="55" t="n">
        <f aca="false">IF($B$7="","",$B$7+INT((ROW()-13)/2))</f>
        <v>46261</v>
      </c>
      <c r="C20" s="22"/>
      <c r="D20" s="28"/>
      <c r="E20" s="22"/>
      <c r="F20" s="22"/>
      <c r="G20" s="22"/>
      <c r="H20" s="48" t="n">
        <f aca="false">IF(OR($F20="",$G20=""),0,$F20*$G20)</f>
        <v>0</v>
      </c>
      <c r="I20" s="28"/>
      <c r="J20" s="28"/>
      <c r="K20" s="28"/>
      <c r="L20" s="28"/>
    </row>
    <row r="21" customFormat="false" ht="15" hidden="false" customHeight="false" outlineLevel="0" collapsed="false">
      <c r="A21" s="50" t="str">
        <f aca="false">IF($B21="","",CHOOSE(WEEKDAY($B21,2),"Segunda-feira","Terça-feira","Quarta-feira","Quinta-feira","Sexta-feira","Sábado","Domingo"))</f>
        <v>Sexta-feira</v>
      </c>
      <c r="B21" s="51" t="n">
        <f aca="false">IF($B$7="","",$B$7+INT((ROW()-13)/2))</f>
        <v>46262</v>
      </c>
      <c r="C21" s="52"/>
      <c r="D21" s="53"/>
      <c r="E21" s="52"/>
      <c r="F21" s="52"/>
      <c r="G21" s="52"/>
      <c r="H21" s="54" t="n">
        <f aca="false">IF(OR($F21="",$G21=""),0,$F21*$G21)</f>
        <v>0</v>
      </c>
      <c r="I21" s="53"/>
      <c r="J21" s="53"/>
      <c r="K21" s="53"/>
      <c r="L21" s="53"/>
    </row>
    <row r="22" customFormat="false" ht="15" hidden="false" customHeight="false" outlineLevel="0" collapsed="false">
      <c r="A22" s="19" t="str">
        <f aca="false">IF($B22="","",CHOOSE(WEEKDAY($B22,2),"Segunda-feira","Terça-feira","Quarta-feira","Quinta-feira","Sexta-feira","Sábado","Domingo"))</f>
        <v>Sexta-feira</v>
      </c>
      <c r="B22" s="55" t="n">
        <f aca="false">IF($B$7="","",$B$7+INT((ROW()-13)/2))</f>
        <v>46262</v>
      </c>
      <c r="C22" s="22"/>
      <c r="D22" s="28"/>
      <c r="E22" s="22"/>
      <c r="F22" s="22"/>
      <c r="G22" s="22"/>
      <c r="H22" s="48" t="n">
        <f aca="false">IF(OR($F22="",$G22=""),0,$F22*$G22)</f>
        <v>0</v>
      </c>
      <c r="I22" s="28"/>
      <c r="J22" s="28"/>
      <c r="K22" s="28"/>
      <c r="L22" s="28"/>
    </row>
    <row r="23" customFormat="false" ht="15" hidden="false" customHeight="false" outlineLevel="0" collapsed="false">
      <c r="A23" s="50" t="str">
        <f aca="false">IF($B23="","",CHOOSE(WEEKDAY($B23,2),"Segunda-feira","Terça-feira","Quarta-feira","Quinta-feira","Sexta-feira","Sábado","Domingo"))</f>
        <v>Sábado</v>
      </c>
      <c r="B23" s="51" t="n">
        <f aca="false">IF($B$7="","",$B$7+INT((ROW()-13)/2))</f>
        <v>46263</v>
      </c>
      <c r="C23" s="52"/>
      <c r="D23" s="53"/>
      <c r="E23" s="52"/>
      <c r="F23" s="52"/>
      <c r="G23" s="52"/>
      <c r="H23" s="54" t="n">
        <f aca="false">IF(OR($F23="",$G23=""),0,$F23*$G23)</f>
        <v>0</v>
      </c>
      <c r="I23" s="53"/>
      <c r="J23" s="53"/>
      <c r="K23" s="53"/>
      <c r="L23" s="53"/>
    </row>
    <row r="24" customFormat="false" ht="15" hidden="false" customHeight="false" outlineLevel="0" collapsed="false">
      <c r="A24" s="19" t="str">
        <f aca="false">IF($B24="","",CHOOSE(WEEKDAY($B24,2),"Segunda-feira","Terça-feira","Quarta-feira","Quinta-feira","Sexta-feira","Sábado","Domingo"))</f>
        <v>Sábado</v>
      </c>
      <c r="B24" s="55" t="n">
        <f aca="false">IF($B$7="","",$B$7+INT((ROW()-13)/2))</f>
        <v>46263</v>
      </c>
      <c r="C24" s="22"/>
      <c r="D24" s="28"/>
      <c r="E24" s="22"/>
      <c r="F24" s="22"/>
      <c r="G24" s="22"/>
      <c r="H24" s="48" t="n">
        <f aca="false">IF(OR($F24="",$G24=""),0,$F24*$G24)</f>
        <v>0</v>
      </c>
      <c r="I24" s="28"/>
      <c r="J24" s="28"/>
      <c r="K24" s="28"/>
      <c r="L24" s="28"/>
    </row>
    <row r="25" customFormat="false" ht="15" hidden="false" customHeight="false" outlineLevel="0" collapsed="false">
      <c r="A25" s="50" t="str">
        <f aca="false">IF($B25="","",CHOOSE(WEEKDAY($B25,2),"Segunda-feira","Terça-feira","Quarta-feira","Quinta-feira","Sexta-feira","Sábado","Domingo"))</f>
        <v>Domingo</v>
      </c>
      <c r="B25" s="51" t="n">
        <f aca="false">IF($B$7="","",$B$7+INT((ROW()-13)/2))</f>
        <v>46264</v>
      </c>
      <c r="C25" s="52"/>
      <c r="D25" s="53"/>
      <c r="E25" s="52"/>
      <c r="F25" s="52"/>
      <c r="G25" s="52"/>
      <c r="H25" s="54" t="n">
        <f aca="false">IF(OR($F25="",$G25=""),0,$F25*$G25)</f>
        <v>0</v>
      </c>
      <c r="I25" s="53"/>
      <c r="J25" s="53"/>
      <c r="K25" s="53"/>
      <c r="L25" s="53"/>
    </row>
    <row r="26" customFormat="false" ht="15" hidden="false" customHeight="false" outlineLevel="0" collapsed="false">
      <c r="A26" s="19" t="str">
        <f aca="false">IF($B26="","",CHOOSE(WEEKDAY($B26,2),"Segunda-feira","Terça-feira","Quarta-feira","Quinta-feira","Sexta-feira","Sábado","Domingo"))</f>
        <v>Domingo</v>
      </c>
      <c r="B26" s="55" t="n">
        <f aca="false">IF($B$7="","",$B$7+INT((ROW()-13)/2))</f>
        <v>46264</v>
      </c>
      <c r="C26" s="22"/>
      <c r="D26" s="28"/>
      <c r="E26" s="22"/>
      <c r="F26" s="22"/>
      <c r="G26" s="22"/>
      <c r="H26" s="48" t="n">
        <f aca="false">IF(OR($F26="",$G26=""),0,$F26*$G26)</f>
        <v>0</v>
      </c>
      <c r="I26" s="28"/>
      <c r="J26" s="28"/>
      <c r="K26" s="28"/>
      <c r="L26" s="28"/>
    </row>
    <row r="27" customFormat="false" ht="15" hidden="false" customHeight="false" outlineLevel="0" collapsed="false">
      <c r="A27" s="37" t="s">
        <v>346</v>
      </c>
      <c r="B27" s="36"/>
      <c r="C27" s="36"/>
      <c r="D27" s="36"/>
      <c r="E27" s="36"/>
      <c r="F27" s="40" t="n">
        <f aca="false">SUM(F13:F26)</f>
        <v>0</v>
      </c>
      <c r="G27" s="56" t="str">
        <f aca="false">IFERROR(AVERAGE(G13:G26),"")</f>
        <v/>
      </c>
      <c r="H27" s="40" t="n">
        <f aca="false">SUM(H13:H26)</f>
        <v>0</v>
      </c>
      <c r="I27" s="36"/>
      <c r="J27" s="36"/>
      <c r="K27" s="36"/>
      <c r="L27" s="36"/>
    </row>
    <row r="29" customFormat="false" ht="19.5" hidden="false" customHeight="true" outlineLevel="0" collapsed="false">
      <c r="A29" s="3" t="s">
        <v>347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25.5" hidden="false" customHeight="true" outlineLevel="0" collapsed="false">
      <c r="A30" s="57" t="s">
        <v>348</v>
      </c>
      <c r="B30" s="57"/>
      <c r="C30" s="57" t="s">
        <v>349</v>
      </c>
      <c r="D30" s="57"/>
      <c r="E30" s="58" t="s">
        <v>350</v>
      </c>
      <c r="F30" s="58"/>
      <c r="G30" s="58" t="s">
        <v>351</v>
      </c>
      <c r="H30" s="58"/>
      <c r="I30" s="58"/>
      <c r="J30" s="57" t="s">
        <v>352</v>
      </c>
      <c r="K30" s="57"/>
      <c r="L30" s="57"/>
    </row>
    <row r="31" customFormat="false" ht="30" hidden="false" customHeight="true" outlineLevel="0" collapsed="false">
      <c r="A31" s="59" t="n">
        <f aca="false">COUNTA(D13:D26)</f>
        <v>0</v>
      </c>
      <c r="B31" s="59"/>
      <c r="C31" s="60" t="n">
        <f aca="false">SUM(F13:F26)</f>
        <v>0</v>
      </c>
      <c r="D31" s="60"/>
      <c r="E31" s="61" t="n">
        <f aca="false">SUM(H13:H26)</f>
        <v>0</v>
      </c>
      <c r="F31" s="61"/>
      <c r="G31" s="61" t="n">
        <f aca="false">IFERROR(SUMIFS('Carga (PSE)'!$G$8:$G$1007,'Carga (PSE)'!$B$8:$B$1007,$B$6)/MAX(1,COUNTIF(Cadastro!$T$7:$T$66,"Ativo")),0)</f>
        <v>0</v>
      </c>
      <c r="H31" s="61"/>
      <c r="I31" s="61"/>
      <c r="J31" s="62" t="n">
        <f aca="false">IFERROR(G31/H27,0)</f>
        <v>0</v>
      </c>
      <c r="K31" s="62"/>
      <c r="L31" s="62"/>
    </row>
    <row r="34" customFormat="false" ht="19.5" hidden="false" customHeight="true" outlineLevel="0" collapsed="false">
      <c r="A34" s="3" t="s">
        <v>353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31.5" hidden="false" customHeight="true" outlineLevel="0" collapsed="false">
      <c r="A35" s="18" t="s">
        <v>354</v>
      </c>
      <c r="B35" s="18" t="s">
        <v>95</v>
      </c>
      <c r="C35" s="18" t="s">
        <v>179</v>
      </c>
      <c r="D35" s="18" t="s">
        <v>202</v>
      </c>
      <c r="E35" s="18" t="s">
        <v>355</v>
      </c>
      <c r="F35" s="18" t="s">
        <v>273</v>
      </c>
      <c r="G35" s="18" t="s">
        <v>356</v>
      </c>
      <c r="H35" s="18" t="s">
        <v>357</v>
      </c>
    </row>
    <row r="36" customFormat="false" ht="15" hidden="false" customHeight="false" outlineLevel="0" collapsed="false">
      <c r="A36" s="63" t="str">
        <f aca="false">IF($A13="","",$A13)</f>
        <v>Segunda-feira</v>
      </c>
      <c r="B36" s="35"/>
      <c r="C36" s="35"/>
      <c r="D36" s="35"/>
      <c r="E36" s="35"/>
      <c r="F36" s="35"/>
      <c r="G36" s="48" t="n">
        <f aca="false">SUM(B36:F36)</f>
        <v>0</v>
      </c>
      <c r="H36" s="49" t="n">
        <f aca="false">IFERROR($G36/$G$43,0)</f>
        <v>0</v>
      </c>
    </row>
    <row r="37" customFormat="false" ht="15" hidden="false" customHeight="false" outlineLevel="0" collapsed="false">
      <c r="A37" s="63" t="str">
        <f aca="false">IF($A15="","",$A15)</f>
        <v>Terça-feira</v>
      </c>
      <c r="B37" s="35"/>
      <c r="C37" s="35"/>
      <c r="D37" s="35"/>
      <c r="E37" s="35"/>
      <c r="F37" s="35"/>
      <c r="G37" s="48" t="n">
        <f aca="false">SUM(B37:F37)</f>
        <v>0</v>
      </c>
      <c r="H37" s="49" t="n">
        <f aca="false">IFERROR($G37/$G$43,0)</f>
        <v>0</v>
      </c>
    </row>
    <row r="38" customFormat="false" ht="15" hidden="false" customHeight="false" outlineLevel="0" collapsed="false">
      <c r="A38" s="63" t="str">
        <f aca="false">IF($A17="","",$A17)</f>
        <v>Quarta-feira</v>
      </c>
      <c r="B38" s="35"/>
      <c r="C38" s="35"/>
      <c r="D38" s="35"/>
      <c r="E38" s="35"/>
      <c r="F38" s="35"/>
      <c r="G38" s="48" t="n">
        <f aca="false">SUM(B38:F38)</f>
        <v>0</v>
      </c>
      <c r="H38" s="49" t="n">
        <f aca="false">IFERROR($G38/$G$43,0)</f>
        <v>0</v>
      </c>
    </row>
    <row r="39" customFormat="false" ht="15" hidden="false" customHeight="false" outlineLevel="0" collapsed="false">
      <c r="A39" s="63" t="str">
        <f aca="false">IF($A19="","",$A19)</f>
        <v>Quinta-feira</v>
      </c>
      <c r="B39" s="35"/>
      <c r="C39" s="35"/>
      <c r="D39" s="35"/>
      <c r="E39" s="35"/>
      <c r="F39" s="35"/>
      <c r="G39" s="48" t="n">
        <f aca="false">SUM(B39:F39)</f>
        <v>0</v>
      </c>
      <c r="H39" s="49" t="n">
        <f aca="false">IFERROR($G39/$G$43,0)</f>
        <v>0</v>
      </c>
    </row>
    <row r="40" customFormat="false" ht="15" hidden="false" customHeight="false" outlineLevel="0" collapsed="false">
      <c r="A40" s="63" t="str">
        <f aca="false">IF($A21="","",$A21)</f>
        <v>Sexta-feira</v>
      </c>
      <c r="B40" s="35"/>
      <c r="C40" s="35"/>
      <c r="D40" s="35"/>
      <c r="E40" s="35"/>
      <c r="F40" s="35"/>
      <c r="G40" s="48" t="n">
        <f aca="false">SUM(B40:F40)</f>
        <v>0</v>
      </c>
      <c r="H40" s="49" t="n">
        <f aca="false">IFERROR($G40/$G$43,0)</f>
        <v>0</v>
      </c>
    </row>
    <row r="41" customFormat="false" ht="15" hidden="false" customHeight="false" outlineLevel="0" collapsed="false">
      <c r="A41" s="63" t="str">
        <f aca="false">IF($A23="","",$A23)</f>
        <v>Sábado</v>
      </c>
      <c r="B41" s="35"/>
      <c r="C41" s="35"/>
      <c r="D41" s="35"/>
      <c r="E41" s="35"/>
      <c r="F41" s="35"/>
      <c r="G41" s="48" t="n">
        <f aca="false">SUM(B41:F41)</f>
        <v>0</v>
      </c>
      <c r="H41" s="49" t="n">
        <f aca="false">IFERROR($G41/$G$43,0)</f>
        <v>0</v>
      </c>
    </row>
    <row r="42" customFormat="false" ht="15" hidden="false" customHeight="false" outlineLevel="0" collapsed="false">
      <c r="A42" s="63" t="str">
        <f aca="false">IF($A25="","",$A25)</f>
        <v>Domingo</v>
      </c>
      <c r="B42" s="35"/>
      <c r="C42" s="35"/>
      <c r="D42" s="35"/>
      <c r="E42" s="35"/>
      <c r="F42" s="35"/>
      <c r="G42" s="48" t="n">
        <f aca="false">SUM(B42:F42)</f>
        <v>0</v>
      </c>
      <c r="H42" s="49" t="n">
        <f aca="false">IFERROR($G42/$G$43,0)</f>
        <v>0</v>
      </c>
    </row>
    <row r="43" customFormat="false" ht="15" hidden="false" customHeight="false" outlineLevel="0" collapsed="false">
      <c r="A43" s="37" t="s">
        <v>358</v>
      </c>
      <c r="B43" s="40" t="n">
        <f aca="false">SUM(B36:B42)</f>
        <v>0</v>
      </c>
      <c r="C43" s="40" t="n">
        <f aca="false">SUM(C36:C42)</f>
        <v>0</v>
      </c>
      <c r="D43" s="40" t="n">
        <f aca="false">SUM(D36:D42)</f>
        <v>0</v>
      </c>
      <c r="E43" s="40" t="n">
        <f aca="false">SUM(E36:E42)</f>
        <v>0</v>
      </c>
      <c r="F43" s="40" t="n">
        <f aca="false">SUM(F36:F42)</f>
        <v>0</v>
      </c>
      <c r="G43" s="40" t="n">
        <f aca="false">SUM(G36:G42)</f>
        <v>0</v>
      </c>
      <c r="H43" s="39" t="n">
        <f aca="false">IFERROR(SUM(H36:H42),0)</f>
        <v>0</v>
      </c>
    </row>
  </sheetData>
  <mergeCells count="21">
    <mergeCell ref="A1:L1"/>
    <mergeCell ref="A2:L2"/>
    <mergeCell ref="A4:L4"/>
    <mergeCell ref="B5:C5"/>
    <mergeCell ref="B6:C6"/>
    <mergeCell ref="B7:C7"/>
    <mergeCell ref="B8:C8"/>
    <mergeCell ref="B9:J9"/>
    <mergeCell ref="A11:L11"/>
    <mergeCell ref="A29:L29"/>
    <mergeCell ref="A30:B30"/>
    <mergeCell ref="C30:D30"/>
    <mergeCell ref="E30:F30"/>
    <mergeCell ref="G30:I30"/>
    <mergeCell ref="J30:L30"/>
    <mergeCell ref="A31:B31"/>
    <mergeCell ref="C31:D31"/>
    <mergeCell ref="E31:F31"/>
    <mergeCell ref="G31:I31"/>
    <mergeCell ref="J31:L31"/>
    <mergeCell ref="A34:L34"/>
  </mergeCells>
  <dataValidations count="4">
    <dataValidation allowBlank="true" errorStyle="stop" operator="between" showDropDown="false" showErrorMessage="false" showInputMessage="false" sqref="B8" type="list">
      <formula1>Listas!$G$5:$G$15</formula1>
      <formula2>0</formula2>
    </dataValidation>
    <dataValidation allowBlank="true" errorStyle="stop" operator="between" showDropDown="false" showErrorMessage="false" showInputMessage="false" sqref="C13:C26" type="list">
      <formula1>Listas!$P$5:$P$15</formula1>
      <formula2>0</formula2>
    </dataValidation>
    <dataValidation allowBlank="true" errorStyle="stop" operator="between" showDropDown="false" showErrorMessage="false" showInputMessage="false" sqref="D13:D26" type="list">
      <formula1>Listas!$Q$5:$Q$15</formula1>
      <formula2>0</formula2>
    </dataValidation>
    <dataValidation allowBlank="true" errorStyle="stop" operator="between" showDropDown="false" showErrorMessage="false" showInputMessage="false" sqref="G13:G26" type="list">
      <formula1>Listas!$N$5:$N$15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U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7" min="16" style="0" width="9"/>
    <col collapsed="false" customWidth="true" hidden="false" outlineLevel="0" max="18" min="18" style="0" width="13"/>
    <col collapsed="false" customWidth="true" hidden="false" outlineLevel="0" max="19" min="19" style="0" width="26"/>
    <col collapsed="false" customWidth="true" hidden="false" outlineLevel="0" max="20" min="20" style="0" width="24"/>
    <col collapsed="false" customWidth="true" hidden="true" outlineLevel="0" max="21" min="21" style="0" width="6"/>
  </cols>
  <sheetData>
    <row r="1" customFormat="false" ht="30" hidden="false" customHeight="true" outlineLevel="0" collapsed="false">
      <c r="A1" s="1" t="s">
        <v>359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360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9.5" hidden="false" customHeight="true" outlineLevel="0" collapsed="false">
      <c r="A3" s="3" t="s">
        <v>361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5.5" hidden="false" customHeight="true" outlineLevel="0" collapsed="false">
      <c r="A4" s="29" t="s">
        <v>362</v>
      </c>
      <c r="B4" s="31" t="n">
        <v>46265</v>
      </c>
      <c r="C4" s="31"/>
      <c r="E4" s="57" t="s">
        <v>363</v>
      </c>
      <c r="F4" s="57"/>
      <c r="G4" s="57" t="s">
        <v>349</v>
      </c>
      <c r="H4" s="57"/>
      <c r="I4" s="58" t="s">
        <v>350</v>
      </c>
      <c r="J4" s="58"/>
      <c r="K4" s="58" t="s">
        <v>364</v>
      </c>
      <c r="L4" s="58"/>
      <c r="M4" s="64" t="s">
        <v>365</v>
      </c>
      <c r="N4" s="64"/>
      <c r="O4" s="64" t="s">
        <v>366</v>
      </c>
      <c r="P4" s="64"/>
      <c r="Q4" s="64" t="s">
        <v>367</v>
      </c>
      <c r="R4" s="64"/>
      <c r="S4" s="64" t="s">
        <v>368</v>
      </c>
      <c r="T4" s="64"/>
    </row>
    <row r="5" customFormat="false" ht="30" hidden="false" customHeight="true" outlineLevel="0" collapsed="false">
      <c r="E5" s="59" t="n">
        <f aca="false">COUNTIFS($A$8:$A$507,$B$4)</f>
        <v>0</v>
      </c>
      <c r="F5" s="59"/>
      <c r="G5" s="60" t="n">
        <f aca="false">SUMIFS($O$8:$O$507,$A$8:$A$507,$B$4)</f>
        <v>0</v>
      </c>
      <c r="H5" s="60"/>
      <c r="I5" s="61" t="n">
        <f aca="false">SUMIFS($R$8:$R$507,$A$8:$A$507,$B$4)</f>
        <v>0</v>
      </c>
      <c r="J5" s="61"/>
      <c r="K5" s="65" t="n">
        <f aca="false">IFERROR(AVERAGEIFS($P$8:$P$507,$A$8:$A$507,$B$4),0)</f>
        <v>0</v>
      </c>
      <c r="L5" s="65"/>
      <c r="M5" s="66" t="n">
        <f aca="false">SUMIFS($O$8:$O$507,$A$8:$A$507,$B$4,$H$8:$H$507,"Técnico")</f>
        <v>0</v>
      </c>
      <c r="N5" s="66"/>
      <c r="O5" s="66" t="n">
        <f aca="false">SUMIFS($O$8:$O$507,$A$8:$A$507,$B$4,$H$8:$H$507,"Tático")</f>
        <v>0</v>
      </c>
      <c r="P5" s="66"/>
      <c r="Q5" s="66" t="n">
        <f aca="false">SUMIFS($O$8:$O$507,$A$8:$A$507,$B$4,$H$8:$H$507,"Físico")</f>
        <v>0</v>
      </c>
      <c r="R5" s="66"/>
      <c r="S5" s="66" t="n">
        <f aca="false">SUMIFS($O$8:$O$507,$A$8:$A$507,$B$4,$H$8:$H$507,"Preventivo/Compensatório")</f>
        <v>0</v>
      </c>
      <c r="T5" s="66"/>
    </row>
    <row r="6" customFormat="false" ht="15" hidden="false" customHeight="true" outlineLevel="0" collapsed="false">
      <c r="A6" s="17" t="s">
        <v>369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customFormat="false" ht="31.5" hidden="false" customHeight="true" outlineLevel="0" collapsed="false">
      <c r="A7" s="18" t="s">
        <v>339</v>
      </c>
      <c r="B7" s="18" t="s">
        <v>370</v>
      </c>
      <c r="C7" s="18" t="s">
        <v>371</v>
      </c>
      <c r="D7" s="18" t="s">
        <v>340</v>
      </c>
      <c r="E7" s="18" t="s">
        <v>372</v>
      </c>
      <c r="F7" s="18" t="s">
        <v>373</v>
      </c>
      <c r="G7" s="18" t="s">
        <v>82</v>
      </c>
      <c r="H7" s="18" t="s">
        <v>63</v>
      </c>
      <c r="I7" s="18" t="s">
        <v>83</v>
      </c>
      <c r="J7" s="18" t="s">
        <v>84</v>
      </c>
      <c r="K7" s="18" t="s">
        <v>374</v>
      </c>
      <c r="L7" s="18" t="s">
        <v>375</v>
      </c>
      <c r="M7" s="18" t="s">
        <v>376</v>
      </c>
      <c r="N7" s="18" t="s">
        <v>377</v>
      </c>
      <c r="O7" s="18" t="s">
        <v>343</v>
      </c>
      <c r="P7" s="18" t="s">
        <v>378</v>
      </c>
      <c r="Q7" s="18" t="s">
        <v>379</v>
      </c>
      <c r="R7" s="18" t="s">
        <v>380</v>
      </c>
      <c r="S7" s="18" t="s">
        <v>381</v>
      </c>
      <c r="T7" s="18" t="s">
        <v>78</v>
      </c>
      <c r="U7" s="18" t="s">
        <v>382</v>
      </c>
    </row>
    <row r="8" customFormat="false" ht="15" hidden="false" customHeight="false" outlineLevel="0" collapsed="false">
      <c r="A8" s="21"/>
      <c r="B8" s="33" t="n">
        <f aca="false">IF($A8="",0,INT(($A8-Macrociclo!$C$11)/7)+1)</f>
        <v>0</v>
      </c>
      <c r="C8" s="22"/>
      <c r="D8" s="22"/>
      <c r="E8" s="20"/>
      <c r="F8" s="22"/>
      <c r="G8" s="20"/>
      <c r="H8" s="19" t="str">
        <f aca="false">IFERROR(INDEX(Exercícios!$C$7:$C$206,MATCH($G8,Exercícios!$B$7:$B$206,0)),"")</f>
        <v/>
      </c>
      <c r="I8" s="19" t="str">
        <f aca="false">IFERROR(INDEX(Exercícios!$D$7:$D$206,MATCH($G8,Exercícios!$B$7:$B$206,0)),"")</f>
        <v/>
      </c>
      <c r="J8" s="19" t="str">
        <f aca="false">IFERROR(INDEX(Exercícios!$E$7:$E$206,MATCH($G8,Exercícios!$B$7:$B$206,0)),"")</f>
        <v/>
      </c>
      <c r="K8" s="22"/>
      <c r="L8" s="22"/>
      <c r="M8" s="20"/>
      <c r="N8" s="22"/>
      <c r="O8" s="22"/>
      <c r="P8" s="22"/>
      <c r="Q8" s="19" t="n">
        <f aca="false">IFERROR($K8*$L8,"")</f>
        <v>0</v>
      </c>
      <c r="R8" s="48" t="n">
        <f aca="false">IF(OR($O8="",$P8=""),0,$O8*$P8)</f>
        <v>0</v>
      </c>
      <c r="S8" s="20"/>
      <c r="T8" s="20"/>
      <c r="U8" s="33" t="n">
        <f aca="false">IF($A8="",0,IF(AND(OR($E8=Atleta!$C$4,$E8="Equipe (todos)"),$A8&gt;=Atleta!$C$5),MAX($U$7:U7)+1,0))</f>
        <v>0</v>
      </c>
    </row>
    <row r="9" customFormat="false" ht="15" hidden="false" customHeight="false" outlineLevel="0" collapsed="false">
      <c r="A9" s="21"/>
      <c r="B9" s="33" t="n">
        <f aca="false">IF($A9="",0,INT(($A9-Macrociclo!$C$11)/7)+1)</f>
        <v>0</v>
      </c>
      <c r="C9" s="22"/>
      <c r="D9" s="22"/>
      <c r="E9" s="20"/>
      <c r="F9" s="22"/>
      <c r="G9" s="20"/>
      <c r="H9" s="19" t="str">
        <f aca="false">IFERROR(INDEX(Exercícios!$C$7:$C$206,MATCH($G9,Exercícios!$B$7:$B$206,0)),"")</f>
        <v/>
      </c>
      <c r="I9" s="19" t="str">
        <f aca="false">IFERROR(INDEX(Exercícios!$D$7:$D$206,MATCH($G9,Exercícios!$B$7:$B$206,0)),"")</f>
        <v/>
      </c>
      <c r="J9" s="19" t="str">
        <f aca="false">IFERROR(INDEX(Exercícios!$E$7:$E$206,MATCH($G9,Exercícios!$B$7:$B$206,0)),"")</f>
        <v/>
      </c>
      <c r="K9" s="22"/>
      <c r="L9" s="22"/>
      <c r="M9" s="20"/>
      <c r="N9" s="22"/>
      <c r="O9" s="22"/>
      <c r="P9" s="22"/>
      <c r="Q9" s="19" t="n">
        <f aca="false">IFERROR($K9*$L9,"")</f>
        <v>0</v>
      </c>
      <c r="R9" s="48" t="n">
        <f aca="false">IF(OR($O9="",$P9=""),0,$O9*$P9)</f>
        <v>0</v>
      </c>
      <c r="S9" s="20"/>
      <c r="T9" s="20"/>
      <c r="U9" s="33" t="n">
        <f aca="false">IF($A9="",0,IF(AND(OR($E9=Atleta!$C$4,$E9="Equipe (todos)"),$A9&gt;=Atleta!$C$5),MAX($U$7:U8)+1,0))</f>
        <v>0</v>
      </c>
    </row>
    <row r="10" customFormat="false" ht="15" hidden="false" customHeight="false" outlineLevel="0" collapsed="false">
      <c r="A10" s="21"/>
      <c r="B10" s="33" t="n">
        <f aca="false">IF($A10="",0,INT(($A10-Macrociclo!$C$11)/7)+1)</f>
        <v>0</v>
      </c>
      <c r="C10" s="22"/>
      <c r="D10" s="22"/>
      <c r="E10" s="20"/>
      <c r="F10" s="22"/>
      <c r="G10" s="20"/>
      <c r="H10" s="19" t="str">
        <f aca="false">IFERROR(INDEX(Exercícios!$C$7:$C$206,MATCH($G10,Exercícios!$B$7:$B$206,0)),"")</f>
        <v/>
      </c>
      <c r="I10" s="19" t="str">
        <f aca="false">IFERROR(INDEX(Exercícios!$D$7:$D$206,MATCH($G10,Exercícios!$B$7:$B$206,0)),"")</f>
        <v/>
      </c>
      <c r="J10" s="19" t="str">
        <f aca="false">IFERROR(INDEX(Exercícios!$E$7:$E$206,MATCH($G10,Exercícios!$B$7:$B$206,0)),"")</f>
        <v/>
      </c>
      <c r="K10" s="22"/>
      <c r="L10" s="22"/>
      <c r="M10" s="20"/>
      <c r="N10" s="22"/>
      <c r="O10" s="22"/>
      <c r="P10" s="22"/>
      <c r="Q10" s="19" t="n">
        <f aca="false">IFERROR($K10*$L10,"")</f>
        <v>0</v>
      </c>
      <c r="R10" s="48" t="n">
        <f aca="false">IF(OR($O10="",$P10=""),0,$O10*$P10)</f>
        <v>0</v>
      </c>
      <c r="S10" s="20"/>
      <c r="T10" s="20"/>
      <c r="U10" s="33" t="n">
        <f aca="false">IF($A10="",0,IF(AND(OR($E10=Atleta!$C$4,$E10="Equipe (todos)"),$A10&gt;=Atleta!$C$5),MAX($U$7:U9)+1,0))</f>
        <v>0</v>
      </c>
    </row>
    <row r="11" customFormat="false" ht="15" hidden="false" customHeight="false" outlineLevel="0" collapsed="false">
      <c r="A11" s="21"/>
      <c r="B11" s="33" t="n">
        <f aca="false">IF($A11="",0,INT(($A11-Macrociclo!$C$11)/7)+1)</f>
        <v>0</v>
      </c>
      <c r="C11" s="22"/>
      <c r="D11" s="22"/>
      <c r="E11" s="20"/>
      <c r="F11" s="22"/>
      <c r="G11" s="20"/>
      <c r="H11" s="19" t="str">
        <f aca="false">IFERROR(INDEX(Exercícios!$C$7:$C$206,MATCH($G11,Exercícios!$B$7:$B$206,0)),"")</f>
        <v/>
      </c>
      <c r="I11" s="19" t="str">
        <f aca="false">IFERROR(INDEX(Exercícios!$D$7:$D$206,MATCH($G11,Exercícios!$B$7:$B$206,0)),"")</f>
        <v/>
      </c>
      <c r="J11" s="19" t="str">
        <f aca="false">IFERROR(INDEX(Exercícios!$E$7:$E$206,MATCH($G11,Exercícios!$B$7:$B$206,0)),"")</f>
        <v/>
      </c>
      <c r="K11" s="22"/>
      <c r="L11" s="22"/>
      <c r="M11" s="20"/>
      <c r="N11" s="22"/>
      <c r="O11" s="22"/>
      <c r="P11" s="22"/>
      <c r="Q11" s="19" t="n">
        <f aca="false">IFERROR($K11*$L11,"")</f>
        <v>0</v>
      </c>
      <c r="R11" s="48" t="n">
        <f aca="false">IF(OR($O11="",$P11=""),0,$O11*$P11)</f>
        <v>0</v>
      </c>
      <c r="S11" s="20"/>
      <c r="T11" s="20"/>
      <c r="U11" s="33" t="n">
        <f aca="false">IF($A11="",0,IF(AND(OR($E11=Atleta!$C$4,$E11="Equipe (todos)"),$A11&gt;=Atleta!$C$5),MAX($U$7:U10)+1,0))</f>
        <v>0</v>
      </c>
    </row>
    <row r="12" customFormat="false" ht="15" hidden="false" customHeight="false" outlineLevel="0" collapsed="false">
      <c r="A12" s="21"/>
      <c r="B12" s="33" t="n">
        <f aca="false">IF($A12="",0,INT(($A12-Macrociclo!$C$11)/7)+1)</f>
        <v>0</v>
      </c>
      <c r="C12" s="22"/>
      <c r="D12" s="22"/>
      <c r="E12" s="20"/>
      <c r="F12" s="22"/>
      <c r="G12" s="20"/>
      <c r="H12" s="19" t="str">
        <f aca="false">IFERROR(INDEX(Exercícios!$C$7:$C$206,MATCH($G12,Exercícios!$B$7:$B$206,0)),"")</f>
        <v/>
      </c>
      <c r="I12" s="19" t="str">
        <f aca="false">IFERROR(INDEX(Exercícios!$D$7:$D$206,MATCH($G12,Exercícios!$B$7:$B$206,0)),"")</f>
        <v/>
      </c>
      <c r="J12" s="19" t="str">
        <f aca="false">IFERROR(INDEX(Exercícios!$E$7:$E$206,MATCH($G12,Exercícios!$B$7:$B$206,0)),"")</f>
        <v/>
      </c>
      <c r="K12" s="22"/>
      <c r="L12" s="22"/>
      <c r="M12" s="20"/>
      <c r="N12" s="22"/>
      <c r="O12" s="22"/>
      <c r="P12" s="22"/>
      <c r="Q12" s="19" t="n">
        <f aca="false">IFERROR($K12*$L12,"")</f>
        <v>0</v>
      </c>
      <c r="R12" s="48" t="n">
        <f aca="false">IF(OR($O12="",$P12=""),0,$O12*$P12)</f>
        <v>0</v>
      </c>
      <c r="S12" s="20"/>
      <c r="T12" s="20"/>
      <c r="U12" s="33" t="n">
        <f aca="false">IF($A12="",0,IF(AND(OR($E12=Atleta!$C$4,$E12="Equipe (todos)"),$A12&gt;=Atleta!$C$5),MAX($U$7:U11)+1,0))</f>
        <v>0</v>
      </c>
    </row>
    <row r="13" customFormat="false" ht="15" hidden="false" customHeight="false" outlineLevel="0" collapsed="false">
      <c r="A13" s="21"/>
      <c r="B13" s="33" t="n">
        <f aca="false">IF($A13="",0,INT(($A13-Macrociclo!$C$11)/7)+1)</f>
        <v>0</v>
      </c>
      <c r="C13" s="22"/>
      <c r="D13" s="22"/>
      <c r="E13" s="20"/>
      <c r="F13" s="22"/>
      <c r="G13" s="20"/>
      <c r="H13" s="19" t="str">
        <f aca="false">IFERROR(INDEX(Exercícios!$C$7:$C$206,MATCH($G13,Exercícios!$B$7:$B$206,0)),"")</f>
        <v/>
      </c>
      <c r="I13" s="19" t="str">
        <f aca="false">IFERROR(INDEX(Exercícios!$D$7:$D$206,MATCH($G13,Exercícios!$B$7:$B$206,0)),"")</f>
        <v/>
      </c>
      <c r="J13" s="19" t="str">
        <f aca="false">IFERROR(INDEX(Exercícios!$E$7:$E$206,MATCH($G13,Exercícios!$B$7:$B$206,0)),"")</f>
        <v/>
      </c>
      <c r="K13" s="22"/>
      <c r="L13" s="22"/>
      <c r="M13" s="20"/>
      <c r="N13" s="22"/>
      <c r="O13" s="22"/>
      <c r="P13" s="22"/>
      <c r="Q13" s="19" t="n">
        <f aca="false">IFERROR($K13*$L13,"")</f>
        <v>0</v>
      </c>
      <c r="R13" s="48" t="n">
        <f aca="false">IF(OR($O13="",$P13=""),0,$O13*$P13)</f>
        <v>0</v>
      </c>
      <c r="S13" s="20"/>
      <c r="T13" s="20"/>
      <c r="U13" s="33" t="n">
        <f aca="false">IF($A13="",0,IF(AND(OR($E13=Atleta!$C$4,$E13="Equipe (todos)"),$A13&gt;=Atleta!$C$5),MAX($U$7:U12)+1,0))</f>
        <v>0</v>
      </c>
    </row>
    <row r="14" customFormat="false" ht="15" hidden="false" customHeight="false" outlineLevel="0" collapsed="false">
      <c r="A14" s="21"/>
      <c r="B14" s="33" t="n">
        <f aca="false">IF($A14="",0,INT(($A14-Macrociclo!$C$11)/7)+1)</f>
        <v>0</v>
      </c>
      <c r="C14" s="22"/>
      <c r="D14" s="22"/>
      <c r="E14" s="20"/>
      <c r="F14" s="22"/>
      <c r="G14" s="20"/>
      <c r="H14" s="19" t="str">
        <f aca="false">IFERROR(INDEX(Exercícios!$C$7:$C$206,MATCH($G14,Exercícios!$B$7:$B$206,0)),"")</f>
        <v/>
      </c>
      <c r="I14" s="19" t="str">
        <f aca="false">IFERROR(INDEX(Exercícios!$D$7:$D$206,MATCH($G14,Exercícios!$B$7:$B$206,0)),"")</f>
        <v/>
      </c>
      <c r="J14" s="19" t="str">
        <f aca="false">IFERROR(INDEX(Exercícios!$E$7:$E$206,MATCH($G14,Exercícios!$B$7:$B$206,0)),"")</f>
        <v/>
      </c>
      <c r="K14" s="22"/>
      <c r="L14" s="22"/>
      <c r="M14" s="20"/>
      <c r="N14" s="22"/>
      <c r="O14" s="22"/>
      <c r="P14" s="22"/>
      <c r="Q14" s="19" t="n">
        <f aca="false">IFERROR($K14*$L14,"")</f>
        <v>0</v>
      </c>
      <c r="R14" s="48" t="n">
        <f aca="false">IF(OR($O14="",$P14=""),0,$O14*$P14)</f>
        <v>0</v>
      </c>
      <c r="S14" s="20"/>
      <c r="T14" s="20"/>
      <c r="U14" s="33" t="n">
        <f aca="false">IF($A14="",0,IF(AND(OR($E14=Atleta!$C$4,$E14="Equipe (todos)"),$A14&gt;=Atleta!$C$5),MAX($U$7:U13)+1,0))</f>
        <v>0</v>
      </c>
    </row>
    <row r="15" customFormat="false" ht="15" hidden="false" customHeight="false" outlineLevel="0" collapsed="false">
      <c r="A15" s="21"/>
      <c r="B15" s="33" t="n">
        <f aca="false">IF($A15="",0,INT(($A15-Macrociclo!$C$11)/7)+1)</f>
        <v>0</v>
      </c>
      <c r="C15" s="22"/>
      <c r="D15" s="22"/>
      <c r="E15" s="20"/>
      <c r="F15" s="22"/>
      <c r="G15" s="20"/>
      <c r="H15" s="19" t="str">
        <f aca="false">IFERROR(INDEX(Exercícios!$C$7:$C$206,MATCH($G15,Exercícios!$B$7:$B$206,0)),"")</f>
        <v/>
      </c>
      <c r="I15" s="19" t="str">
        <f aca="false">IFERROR(INDEX(Exercícios!$D$7:$D$206,MATCH($G15,Exercícios!$B$7:$B$206,0)),"")</f>
        <v/>
      </c>
      <c r="J15" s="19" t="str">
        <f aca="false">IFERROR(INDEX(Exercícios!$E$7:$E$206,MATCH($G15,Exercícios!$B$7:$B$206,0)),"")</f>
        <v/>
      </c>
      <c r="K15" s="22"/>
      <c r="L15" s="22"/>
      <c r="M15" s="20"/>
      <c r="N15" s="22"/>
      <c r="O15" s="22"/>
      <c r="P15" s="22"/>
      <c r="Q15" s="19" t="n">
        <f aca="false">IFERROR($K15*$L15,"")</f>
        <v>0</v>
      </c>
      <c r="R15" s="48" t="n">
        <f aca="false">IF(OR($O15="",$P15=""),0,$O15*$P15)</f>
        <v>0</v>
      </c>
      <c r="S15" s="20"/>
      <c r="T15" s="20"/>
      <c r="U15" s="33" t="n">
        <f aca="false">IF($A15="",0,IF(AND(OR($E15=Atleta!$C$4,$E15="Equipe (todos)"),$A15&gt;=Atleta!$C$5),MAX($U$7:U14)+1,0))</f>
        <v>0</v>
      </c>
    </row>
    <row r="16" customFormat="false" ht="15" hidden="false" customHeight="false" outlineLevel="0" collapsed="false">
      <c r="A16" s="21"/>
      <c r="B16" s="33" t="n">
        <f aca="false">IF($A16="",0,INT(($A16-Macrociclo!$C$11)/7)+1)</f>
        <v>0</v>
      </c>
      <c r="C16" s="22"/>
      <c r="D16" s="22"/>
      <c r="E16" s="20"/>
      <c r="F16" s="22"/>
      <c r="G16" s="20"/>
      <c r="H16" s="19" t="str">
        <f aca="false">IFERROR(INDEX(Exercícios!$C$7:$C$206,MATCH($G16,Exercícios!$B$7:$B$206,0)),"")</f>
        <v/>
      </c>
      <c r="I16" s="19" t="str">
        <f aca="false">IFERROR(INDEX(Exercícios!$D$7:$D$206,MATCH($G16,Exercícios!$B$7:$B$206,0)),"")</f>
        <v/>
      </c>
      <c r="J16" s="19" t="str">
        <f aca="false">IFERROR(INDEX(Exercícios!$E$7:$E$206,MATCH($G16,Exercícios!$B$7:$B$206,0)),"")</f>
        <v/>
      </c>
      <c r="K16" s="22"/>
      <c r="L16" s="22"/>
      <c r="M16" s="20"/>
      <c r="N16" s="22"/>
      <c r="O16" s="22"/>
      <c r="P16" s="22"/>
      <c r="Q16" s="19" t="n">
        <f aca="false">IFERROR($K16*$L16,"")</f>
        <v>0</v>
      </c>
      <c r="R16" s="48" t="n">
        <f aca="false">IF(OR($O16="",$P16=""),0,$O16*$P16)</f>
        <v>0</v>
      </c>
      <c r="S16" s="20"/>
      <c r="T16" s="20"/>
      <c r="U16" s="33" t="n">
        <f aca="false">IF($A16="",0,IF(AND(OR($E16=Atleta!$C$4,$E16="Equipe (todos)"),$A16&gt;=Atleta!$C$5),MAX($U$7:U15)+1,0))</f>
        <v>0</v>
      </c>
    </row>
    <row r="17" customFormat="false" ht="15" hidden="false" customHeight="false" outlineLevel="0" collapsed="false">
      <c r="A17" s="21"/>
      <c r="B17" s="33" t="n">
        <f aca="false">IF($A17="",0,INT(($A17-Macrociclo!$C$11)/7)+1)</f>
        <v>0</v>
      </c>
      <c r="C17" s="22"/>
      <c r="D17" s="22"/>
      <c r="E17" s="20"/>
      <c r="F17" s="22"/>
      <c r="G17" s="20"/>
      <c r="H17" s="19" t="str">
        <f aca="false">IFERROR(INDEX(Exercícios!$C$7:$C$206,MATCH($G17,Exercícios!$B$7:$B$206,0)),"")</f>
        <v/>
      </c>
      <c r="I17" s="19" t="str">
        <f aca="false">IFERROR(INDEX(Exercícios!$D$7:$D$206,MATCH($G17,Exercícios!$B$7:$B$206,0)),"")</f>
        <v/>
      </c>
      <c r="J17" s="19" t="str">
        <f aca="false">IFERROR(INDEX(Exercícios!$E$7:$E$206,MATCH($G17,Exercícios!$B$7:$B$206,0)),"")</f>
        <v/>
      </c>
      <c r="K17" s="22"/>
      <c r="L17" s="22"/>
      <c r="M17" s="20"/>
      <c r="N17" s="22"/>
      <c r="O17" s="22"/>
      <c r="P17" s="22"/>
      <c r="Q17" s="19" t="n">
        <f aca="false">IFERROR($K17*$L17,"")</f>
        <v>0</v>
      </c>
      <c r="R17" s="48" t="n">
        <f aca="false">IF(OR($O17="",$P17=""),0,$O17*$P17)</f>
        <v>0</v>
      </c>
      <c r="S17" s="20"/>
      <c r="T17" s="20"/>
      <c r="U17" s="33" t="n">
        <f aca="false">IF($A17="",0,IF(AND(OR($E17=Atleta!$C$4,$E17="Equipe (todos)"),$A17&gt;=Atleta!$C$5),MAX($U$7:U16)+1,0))</f>
        <v>0</v>
      </c>
    </row>
    <row r="18" customFormat="false" ht="15" hidden="false" customHeight="false" outlineLevel="0" collapsed="false">
      <c r="A18" s="21"/>
      <c r="B18" s="33" t="n">
        <f aca="false">IF($A18="",0,INT(($A18-Macrociclo!$C$11)/7)+1)</f>
        <v>0</v>
      </c>
      <c r="C18" s="22"/>
      <c r="D18" s="22"/>
      <c r="E18" s="20"/>
      <c r="F18" s="22"/>
      <c r="G18" s="20"/>
      <c r="H18" s="19" t="str">
        <f aca="false">IFERROR(INDEX(Exercícios!$C$7:$C$206,MATCH($G18,Exercícios!$B$7:$B$206,0)),"")</f>
        <v/>
      </c>
      <c r="I18" s="19" t="str">
        <f aca="false">IFERROR(INDEX(Exercícios!$D$7:$D$206,MATCH($G18,Exercícios!$B$7:$B$206,0)),"")</f>
        <v/>
      </c>
      <c r="J18" s="19" t="str">
        <f aca="false">IFERROR(INDEX(Exercícios!$E$7:$E$206,MATCH($G18,Exercícios!$B$7:$B$206,0)),"")</f>
        <v/>
      </c>
      <c r="K18" s="22"/>
      <c r="L18" s="22"/>
      <c r="M18" s="20"/>
      <c r="N18" s="22"/>
      <c r="O18" s="22"/>
      <c r="P18" s="22"/>
      <c r="Q18" s="19" t="n">
        <f aca="false">IFERROR($K18*$L18,"")</f>
        <v>0</v>
      </c>
      <c r="R18" s="48" t="n">
        <f aca="false">IF(OR($O18="",$P18=""),0,$O18*$P18)</f>
        <v>0</v>
      </c>
      <c r="S18" s="20"/>
      <c r="T18" s="20"/>
      <c r="U18" s="33" t="n">
        <f aca="false">IF($A18="",0,IF(AND(OR($E18=Atleta!$C$4,$E18="Equipe (todos)"),$A18&gt;=Atleta!$C$5),MAX($U$7:U17)+1,0))</f>
        <v>0</v>
      </c>
    </row>
    <row r="19" customFormat="false" ht="15" hidden="false" customHeight="false" outlineLevel="0" collapsed="false">
      <c r="A19" s="21"/>
      <c r="B19" s="33" t="n">
        <f aca="false">IF($A19="",0,INT(($A19-Macrociclo!$C$11)/7)+1)</f>
        <v>0</v>
      </c>
      <c r="C19" s="22"/>
      <c r="D19" s="22"/>
      <c r="E19" s="20"/>
      <c r="F19" s="22"/>
      <c r="G19" s="20"/>
      <c r="H19" s="19" t="str">
        <f aca="false">IFERROR(INDEX(Exercícios!$C$7:$C$206,MATCH($G19,Exercícios!$B$7:$B$206,0)),"")</f>
        <v/>
      </c>
      <c r="I19" s="19" t="str">
        <f aca="false">IFERROR(INDEX(Exercícios!$D$7:$D$206,MATCH($G19,Exercícios!$B$7:$B$206,0)),"")</f>
        <v/>
      </c>
      <c r="J19" s="19" t="str">
        <f aca="false">IFERROR(INDEX(Exercícios!$E$7:$E$206,MATCH($G19,Exercícios!$B$7:$B$206,0)),"")</f>
        <v/>
      </c>
      <c r="K19" s="22"/>
      <c r="L19" s="22"/>
      <c r="M19" s="20"/>
      <c r="N19" s="22"/>
      <c r="O19" s="22"/>
      <c r="P19" s="22"/>
      <c r="Q19" s="19" t="n">
        <f aca="false">IFERROR($K19*$L19,"")</f>
        <v>0</v>
      </c>
      <c r="R19" s="48" t="n">
        <f aca="false">IF(OR($O19="",$P19=""),0,$O19*$P19)</f>
        <v>0</v>
      </c>
      <c r="S19" s="20"/>
      <c r="T19" s="20"/>
      <c r="U19" s="33" t="n">
        <f aca="false">IF($A19="",0,IF(AND(OR($E19=Atleta!$C$4,$E19="Equipe (todos)"),$A19&gt;=Atleta!$C$5),MAX($U$7:U18)+1,0))</f>
        <v>0</v>
      </c>
    </row>
    <row r="20" customFormat="false" ht="15" hidden="false" customHeight="false" outlineLevel="0" collapsed="false">
      <c r="A20" s="21"/>
      <c r="B20" s="33" t="n">
        <f aca="false">IF($A20="",0,INT(($A20-Macrociclo!$C$11)/7)+1)</f>
        <v>0</v>
      </c>
      <c r="C20" s="22"/>
      <c r="D20" s="22"/>
      <c r="E20" s="20"/>
      <c r="F20" s="22"/>
      <c r="G20" s="20"/>
      <c r="H20" s="19" t="str">
        <f aca="false">IFERROR(INDEX(Exercícios!$C$7:$C$206,MATCH($G20,Exercícios!$B$7:$B$206,0)),"")</f>
        <v/>
      </c>
      <c r="I20" s="19" t="str">
        <f aca="false">IFERROR(INDEX(Exercícios!$D$7:$D$206,MATCH($G20,Exercícios!$B$7:$B$206,0)),"")</f>
        <v/>
      </c>
      <c r="J20" s="19" t="str">
        <f aca="false">IFERROR(INDEX(Exercícios!$E$7:$E$206,MATCH($G20,Exercícios!$B$7:$B$206,0)),"")</f>
        <v/>
      </c>
      <c r="K20" s="22"/>
      <c r="L20" s="22"/>
      <c r="M20" s="20"/>
      <c r="N20" s="22"/>
      <c r="O20" s="22"/>
      <c r="P20" s="22"/>
      <c r="Q20" s="19" t="n">
        <f aca="false">IFERROR($K20*$L20,"")</f>
        <v>0</v>
      </c>
      <c r="R20" s="48" t="n">
        <f aca="false">IF(OR($O20="",$P20=""),0,$O20*$P20)</f>
        <v>0</v>
      </c>
      <c r="S20" s="20"/>
      <c r="T20" s="20"/>
      <c r="U20" s="33" t="n">
        <f aca="false">IF($A20="",0,IF(AND(OR($E20=Atleta!$C$4,$E20="Equipe (todos)"),$A20&gt;=Atleta!$C$5),MAX($U$7:U19)+1,0))</f>
        <v>0</v>
      </c>
    </row>
    <row r="21" customFormat="false" ht="15" hidden="false" customHeight="false" outlineLevel="0" collapsed="false">
      <c r="A21" s="21"/>
      <c r="B21" s="33" t="n">
        <f aca="false">IF($A21="",0,INT(($A21-Macrociclo!$C$11)/7)+1)</f>
        <v>0</v>
      </c>
      <c r="C21" s="22"/>
      <c r="D21" s="22"/>
      <c r="E21" s="20"/>
      <c r="F21" s="22"/>
      <c r="G21" s="20"/>
      <c r="H21" s="19" t="str">
        <f aca="false">IFERROR(INDEX(Exercícios!$C$7:$C$206,MATCH($G21,Exercícios!$B$7:$B$206,0)),"")</f>
        <v/>
      </c>
      <c r="I21" s="19" t="str">
        <f aca="false">IFERROR(INDEX(Exercícios!$D$7:$D$206,MATCH($G21,Exercícios!$B$7:$B$206,0)),"")</f>
        <v/>
      </c>
      <c r="J21" s="19" t="str">
        <f aca="false">IFERROR(INDEX(Exercícios!$E$7:$E$206,MATCH($G21,Exercícios!$B$7:$B$206,0)),"")</f>
        <v/>
      </c>
      <c r="K21" s="22"/>
      <c r="L21" s="22"/>
      <c r="M21" s="20"/>
      <c r="N21" s="22"/>
      <c r="O21" s="22"/>
      <c r="P21" s="22"/>
      <c r="Q21" s="19" t="n">
        <f aca="false">IFERROR($K21*$L21,"")</f>
        <v>0</v>
      </c>
      <c r="R21" s="48" t="n">
        <f aca="false">IF(OR($O21="",$P21=""),0,$O21*$P21)</f>
        <v>0</v>
      </c>
      <c r="S21" s="20"/>
      <c r="T21" s="20"/>
      <c r="U21" s="33" t="n">
        <f aca="false">IF($A21="",0,IF(AND(OR($E21=Atleta!$C$4,$E21="Equipe (todos)"),$A21&gt;=Atleta!$C$5),MAX($U$7:U20)+1,0))</f>
        <v>0</v>
      </c>
    </row>
    <row r="22" customFormat="false" ht="15" hidden="false" customHeight="false" outlineLevel="0" collapsed="false">
      <c r="A22" s="21"/>
      <c r="B22" s="33" t="n">
        <f aca="false">IF($A22="",0,INT(($A22-Macrociclo!$C$11)/7)+1)</f>
        <v>0</v>
      </c>
      <c r="C22" s="22"/>
      <c r="D22" s="22"/>
      <c r="E22" s="20"/>
      <c r="F22" s="22"/>
      <c r="G22" s="20"/>
      <c r="H22" s="19" t="str">
        <f aca="false">IFERROR(INDEX(Exercícios!$C$7:$C$206,MATCH($G22,Exercícios!$B$7:$B$206,0)),"")</f>
        <v/>
      </c>
      <c r="I22" s="19" t="str">
        <f aca="false">IFERROR(INDEX(Exercícios!$D$7:$D$206,MATCH($G22,Exercícios!$B$7:$B$206,0)),"")</f>
        <v/>
      </c>
      <c r="J22" s="19" t="str">
        <f aca="false">IFERROR(INDEX(Exercícios!$E$7:$E$206,MATCH($G22,Exercícios!$B$7:$B$206,0)),"")</f>
        <v/>
      </c>
      <c r="K22" s="22"/>
      <c r="L22" s="22"/>
      <c r="M22" s="20"/>
      <c r="N22" s="22"/>
      <c r="O22" s="22"/>
      <c r="P22" s="22"/>
      <c r="Q22" s="19" t="n">
        <f aca="false">IFERROR($K22*$L22,"")</f>
        <v>0</v>
      </c>
      <c r="R22" s="48" t="n">
        <f aca="false">IF(OR($O22="",$P22=""),0,$O22*$P22)</f>
        <v>0</v>
      </c>
      <c r="S22" s="20"/>
      <c r="T22" s="20"/>
      <c r="U22" s="33" t="n">
        <f aca="false">IF($A22="",0,IF(AND(OR($E22=Atleta!$C$4,$E22="Equipe (todos)"),$A22&gt;=Atleta!$C$5),MAX($U$7:U21)+1,0))</f>
        <v>0</v>
      </c>
    </row>
    <row r="23" customFormat="false" ht="15" hidden="false" customHeight="false" outlineLevel="0" collapsed="false">
      <c r="A23" s="21"/>
      <c r="B23" s="33" t="n">
        <f aca="false">IF($A23="",0,INT(($A23-Macrociclo!$C$11)/7)+1)</f>
        <v>0</v>
      </c>
      <c r="C23" s="22"/>
      <c r="D23" s="22"/>
      <c r="E23" s="20"/>
      <c r="F23" s="22"/>
      <c r="G23" s="20"/>
      <c r="H23" s="19" t="str">
        <f aca="false">IFERROR(INDEX(Exercícios!$C$7:$C$206,MATCH($G23,Exercícios!$B$7:$B$206,0)),"")</f>
        <v/>
      </c>
      <c r="I23" s="19" t="str">
        <f aca="false">IFERROR(INDEX(Exercícios!$D$7:$D$206,MATCH($G23,Exercícios!$B$7:$B$206,0)),"")</f>
        <v/>
      </c>
      <c r="J23" s="19" t="str">
        <f aca="false">IFERROR(INDEX(Exercícios!$E$7:$E$206,MATCH($G23,Exercícios!$B$7:$B$206,0)),"")</f>
        <v/>
      </c>
      <c r="K23" s="22"/>
      <c r="L23" s="22"/>
      <c r="M23" s="20"/>
      <c r="N23" s="22"/>
      <c r="O23" s="22"/>
      <c r="P23" s="22"/>
      <c r="Q23" s="19" t="n">
        <f aca="false">IFERROR($K23*$L23,"")</f>
        <v>0</v>
      </c>
      <c r="R23" s="48" t="n">
        <f aca="false">IF(OR($O23="",$P23=""),0,$O23*$P23)</f>
        <v>0</v>
      </c>
      <c r="S23" s="20"/>
      <c r="T23" s="20"/>
      <c r="U23" s="33" t="n">
        <f aca="false">IF($A23="",0,IF(AND(OR($E23=Atleta!$C$4,$E23="Equipe (todos)"),$A23&gt;=Atleta!$C$5),MAX($U$7:U22)+1,0))</f>
        <v>0</v>
      </c>
    </row>
    <row r="24" customFormat="false" ht="15" hidden="false" customHeight="false" outlineLevel="0" collapsed="false">
      <c r="A24" s="21"/>
      <c r="B24" s="33" t="n">
        <f aca="false">IF($A24="",0,INT(($A24-Macrociclo!$C$11)/7)+1)</f>
        <v>0</v>
      </c>
      <c r="C24" s="22"/>
      <c r="D24" s="22"/>
      <c r="E24" s="20"/>
      <c r="F24" s="22"/>
      <c r="G24" s="20"/>
      <c r="H24" s="19" t="str">
        <f aca="false">IFERROR(INDEX(Exercícios!$C$7:$C$206,MATCH($G24,Exercícios!$B$7:$B$206,0)),"")</f>
        <v/>
      </c>
      <c r="I24" s="19" t="str">
        <f aca="false">IFERROR(INDEX(Exercícios!$D$7:$D$206,MATCH($G24,Exercícios!$B$7:$B$206,0)),"")</f>
        <v/>
      </c>
      <c r="J24" s="19" t="str">
        <f aca="false">IFERROR(INDEX(Exercícios!$E$7:$E$206,MATCH($G24,Exercícios!$B$7:$B$206,0)),"")</f>
        <v/>
      </c>
      <c r="K24" s="22"/>
      <c r="L24" s="22"/>
      <c r="M24" s="20"/>
      <c r="N24" s="22"/>
      <c r="O24" s="22"/>
      <c r="P24" s="22"/>
      <c r="Q24" s="19" t="n">
        <f aca="false">IFERROR($K24*$L24,"")</f>
        <v>0</v>
      </c>
      <c r="R24" s="48" t="n">
        <f aca="false">IF(OR($O24="",$P24=""),0,$O24*$P24)</f>
        <v>0</v>
      </c>
      <c r="S24" s="20"/>
      <c r="T24" s="20"/>
      <c r="U24" s="33" t="n">
        <f aca="false">IF($A24="",0,IF(AND(OR($E24=Atleta!$C$4,$E24="Equipe (todos)"),$A24&gt;=Atleta!$C$5),MAX($U$7:U23)+1,0))</f>
        <v>0</v>
      </c>
    </row>
    <row r="25" customFormat="false" ht="15" hidden="false" customHeight="false" outlineLevel="0" collapsed="false">
      <c r="A25" s="21"/>
      <c r="B25" s="33" t="n">
        <f aca="false">IF($A25="",0,INT(($A25-Macrociclo!$C$11)/7)+1)</f>
        <v>0</v>
      </c>
      <c r="C25" s="22"/>
      <c r="D25" s="22"/>
      <c r="E25" s="20"/>
      <c r="F25" s="22"/>
      <c r="G25" s="20"/>
      <c r="H25" s="19" t="str">
        <f aca="false">IFERROR(INDEX(Exercícios!$C$7:$C$206,MATCH($G25,Exercícios!$B$7:$B$206,0)),"")</f>
        <v/>
      </c>
      <c r="I25" s="19" t="str">
        <f aca="false">IFERROR(INDEX(Exercícios!$D$7:$D$206,MATCH($G25,Exercícios!$B$7:$B$206,0)),"")</f>
        <v/>
      </c>
      <c r="J25" s="19" t="str">
        <f aca="false">IFERROR(INDEX(Exercícios!$E$7:$E$206,MATCH($G25,Exercícios!$B$7:$B$206,0)),"")</f>
        <v/>
      </c>
      <c r="K25" s="22"/>
      <c r="L25" s="22"/>
      <c r="M25" s="20"/>
      <c r="N25" s="22"/>
      <c r="O25" s="22"/>
      <c r="P25" s="22"/>
      <c r="Q25" s="19" t="n">
        <f aca="false">IFERROR($K25*$L25,"")</f>
        <v>0</v>
      </c>
      <c r="R25" s="48" t="n">
        <f aca="false">IF(OR($O25="",$P25=""),0,$O25*$P25)</f>
        <v>0</v>
      </c>
      <c r="S25" s="20"/>
      <c r="T25" s="20"/>
      <c r="U25" s="33" t="n">
        <f aca="false">IF($A25="",0,IF(AND(OR($E25=Atleta!$C$4,$E25="Equipe (todos)"),$A25&gt;=Atleta!$C$5),MAX($U$7:U24)+1,0))</f>
        <v>0</v>
      </c>
    </row>
    <row r="26" customFormat="false" ht="15" hidden="false" customHeight="false" outlineLevel="0" collapsed="false">
      <c r="A26" s="21"/>
      <c r="B26" s="33" t="n">
        <f aca="false">IF($A26="",0,INT(($A26-Macrociclo!$C$11)/7)+1)</f>
        <v>0</v>
      </c>
      <c r="C26" s="22"/>
      <c r="D26" s="22"/>
      <c r="E26" s="20"/>
      <c r="F26" s="22"/>
      <c r="G26" s="20"/>
      <c r="H26" s="19" t="str">
        <f aca="false">IFERROR(INDEX(Exercícios!$C$7:$C$206,MATCH($G26,Exercícios!$B$7:$B$206,0)),"")</f>
        <v/>
      </c>
      <c r="I26" s="19" t="str">
        <f aca="false">IFERROR(INDEX(Exercícios!$D$7:$D$206,MATCH($G26,Exercícios!$B$7:$B$206,0)),"")</f>
        <v/>
      </c>
      <c r="J26" s="19" t="str">
        <f aca="false">IFERROR(INDEX(Exercícios!$E$7:$E$206,MATCH($G26,Exercícios!$B$7:$B$206,0)),"")</f>
        <v/>
      </c>
      <c r="K26" s="22"/>
      <c r="L26" s="22"/>
      <c r="M26" s="20"/>
      <c r="N26" s="22"/>
      <c r="O26" s="22"/>
      <c r="P26" s="22"/>
      <c r="Q26" s="19" t="n">
        <f aca="false">IFERROR($K26*$L26,"")</f>
        <v>0</v>
      </c>
      <c r="R26" s="48" t="n">
        <f aca="false">IF(OR($O26="",$P26=""),0,$O26*$P26)</f>
        <v>0</v>
      </c>
      <c r="S26" s="20"/>
      <c r="T26" s="20"/>
      <c r="U26" s="33" t="n">
        <f aca="false">IF($A26="",0,IF(AND(OR($E26=Atleta!$C$4,$E26="Equipe (todos)"),$A26&gt;=Atleta!$C$5),MAX($U$7:U25)+1,0))</f>
        <v>0</v>
      </c>
    </row>
    <row r="27" customFormat="false" ht="15" hidden="false" customHeight="false" outlineLevel="0" collapsed="false">
      <c r="A27" s="21"/>
      <c r="B27" s="33" t="n">
        <f aca="false">IF($A27="",0,INT(($A27-Macrociclo!$C$11)/7)+1)</f>
        <v>0</v>
      </c>
      <c r="C27" s="22"/>
      <c r="D27" s="22"/>
      <c r="E27" s="20"/>
      <c r="F27" s="22"/>
      <c r="G27" s="20"/>
      <c r="H27" s="19" t="str">
        <f aca="false">IFERROR(INDEX(Exercícios!$C$7:$C$206,MATCH($G27,Exercícios!$B$7:$B$206,0)),"")</f>
        <v/>
      </c>
      <c r="I27" s="19" t="str">
        <f aca="false">IFERROR(INDEX(Exercícios!$D$7:$D$206,MATCH($G27,Exercícios!$B$7:$B$206,0)),"")</f>
        <v/>
      </c>
      <c r="J27" s="19" t="str">
        <f aca="false">IFERROR(INDEX(Exercícios!$E$7:$E$206,MATCH($G27,Exercícios!$B$7:$B$206,0)),"")</f>
        <v/>
      </c>
      <c r="K27" s="22"/>
      <c r="L27" s="22"/>
      <c r="M27" s="20"/>
      <c r="N27" s="22"/>
      <c r="O27" s="22"/>
      <c r="P27" s="22"/>
      <c r="Q27" s="19" t="n">
        <f aca="false">IFERROR($K27*$L27,"")</f>
        <v>0</v>
      </c>
      <c r="R27" s="48" t="n">
        <f aca="false">IF(OR($O27="",$P27=""),0,$O27*$P27)</f>
        <v>0</v>
      </c>
      <c r="S27" s="20"/>
      <c r="T27" s="20"/>
      <c r="U27" s="33" t="n">
        <f aca="false">IF($A27="",0,IF(AND(OR($E27=Atleta!$C$4,$E27="Equipe (todos)"),$A27&gt;=Atleta!$C$5),MAX($U$7:U26)+1,0))</f>
        <v>0</v>
      </c>
    </row>
    <row r="28" customFormat="false" ht="15" hidden="false" customHeight="false" outlineLevel="0" collapsed="false">
      <c r="A28" s="21"/>
      <c r="B28" s="33" t="n">
        <f aca="false">IF($A28="",0,INT(($A28-Macrociclo!$C$11)/7)+1)</f>
        <v>0</v>
      </c>
      <c r="C28" s="22"/>
      <c r="D28" s="22"/>
      <c r="E28" s="20"/>
      <c r="F28" s="22"/>
      <c r="G28" s="20"/>
      <c r="H28" s="19" t="str">
        <f aca="false">IFERROR(INDEX(Exercícios!$C$7:$C$206,MATCH($G28,Exercícios!$B$7:$B$206,0)),"")</f>
        <v/>
      </c>
      <c r="I28" s="19" t="str">
        <f aca="false">IFERROR(INDEX(Exercícios!$D$7:$D$206,MATCH($G28,Exercícios!$B$7:$B$206,0)),"")</f>
        <v/>
      </c>
      <c r="J28" s="19" t="str">
        <f aca="false">IFERROR(INDEX(Exercícios!$E$7:$E$206,MATCH($G28,Exercícios!$B$7:$B$206,0)),"")</f>
        <v/>
      </c>
      <c r="K28" s="22"/>
      <c r="L28" s="22"/>
      <c r="M28" s="20"/>
      <c r="N28" s="22"/>
      <c r="O28" s="22"/>
      <c r="P28" s="22"/>
      <c r="Q28" s="19" t="n">
        <f aca="false">IFERROR($K28*$L28,"")</f>
        <v>0</v>
      </c>
      <c r="R28" s="48" t="n">
        <f aca="false">IF(OR($O28="",$P28=""),0,$O28*$P28)</f>
        <v>0</v>
      </c>
      <c r="S28" s="20"/>
      <c r="T28" s="20"/>
      <c r="U28" s="33" t="n">
        <f aca="false">IF($A28="",0,IF(AND(OR($E28=Atleta!$C$4,$E28="Equipe (todos)"),$A28&gt;=Atleta!$C$5),MAX($U$7:U27)+1,0))</f>
        <v>0</v>
      </c>
    </row>
    <row r="29" customFormat="false" ht="15" hidden="false" customHeight="false" outlineLevel="0" collapsed="false">
      <c r="A29" s="21"/>
      <c r="B29" s="33" t="n">
        <f aca="false">IF($A29="",0,INT(($A29-Macrociclo!$C$11)/7)+1)</f>
        <v>0</v>
      </c>
      <c r="C29" s="22"/>
      <c r="D29" s="22"/>
      <c r="E29" s="20"/>
      <c r="F29" s="22"/>
      <c r="G29" s="20"/>
      <c r="H29" s="19" t="str">
        <f aca="false">IFERROR(INDEX(Exercícios!$C$7:$C$206,MATCH($G29,Exercícios!$B$7:$B$206,0)),"")</f>
        <v/>
      </c>
      <c r="I29" s="19" t="str">
        <f aca="false">IFERROR(INDEX(Exercícios!$D$7:$D$206,MATCH($G29,Exercícios!$B$7:$B$206,0)),"")</f>
        <v/>
      </c>
      <c r="J29" s="19" t="str">
        <f aca="false">IFERROR(INDEX(Exercícios!$E$7:$E$206,MATCH($G29,Exercícios!$B$7:$B$206,0)),"")</f>
        <v/>
      </c>
      <c r="K29" s="22"/>
      <c r="L29" s="22"/>
      <c r="M29" s="20"/>
      <c r="N29" s="22"/>
      <c r="O29" s="22"/>
      <c r="P29" s="22"/>
      <c r="Q29" s="19" t="n">
        <f aca="false">IFERROR($K29*$L29,"")</f>
        <v>0</v>
      </c>
      <c r="R29" s="48" t="n">
        <f aca="false">IF(OR($O29="",$P29=""),0,$O29*$P29)</f>
        <v>0</v>
      </c>
      <c r="S29" s="20"/>
      <c r="T29" s="20"/>
      <c r="U29" s="33" t="n">
        <f aca="false">IF($A29="",0,IF(AND(OR($E29=Atleta!$C$4,$E29="Equipe (todos)"),$A29&gt;=Atleta!$C$5),MAX($U$7:U28)+1,0))</f>
        <v>0</v>
      </c>
    </row>
    <row r="30" customFormat="false" ht="15" hidden="false" customHeight="false" outlineLevel="0" collapsed="false">
      <c r="A30" s="21"/>
      <c r="B30" s="33" t="n">
        <f aca="false">IF($A30="",0,INT(($A30-Macrociclo!$C$11)/7)+1)</f>
        <v>0</v>
      </c>
      <c r="C30" s="22"/>
      <c r="D30" s="22"/>
      <c r="E30" s="20"/>
      <c r="F30" s="22"/>
      <c r="G30" s="20"/>
      <c r="H30" s="19" t="str">
        <f aca="false">IFERROR(INDEX(Exercícios!$C$7:$C$206,MATCH($G30,Exercícios!$B$7:$B$206,0)),"")</f>
        <v/>
      </c>
      <c r="I30" s="19" t="str">
        <f aca="false">IFERROR(INDEX(Exercícios!$D$7:$D$206,MATCH($G30,Exercícios!$B$7:$B$206,0)),"")</f>
        <v/>
      </c>
      <c r="J30" s="19" t="str">
        <f aca="false">IFERROR(INDEX(Exercícios!$E$7:$E$206,MATCH($G30,Exercícios!$B$7:$B$206,0)),"")</f>
        <v/>
      </c>
      <c r="K30" s="22"/>
      <c r="L30" s="22"/>
      <c r="M30" s="20"/>
      <c r="N30" s="22"/>
      <c r="O30" s="22"/>
      <c r="P30" s="22"/>
      <c r="Q30" s="19" t="n">
        <f aca="false">IFERROR($K30*$L30,"")</f>
        <v>0</v>
      </c>
      <c r="R30" s="48" t="n">
        <f aca="false">IF(OR($O30="",$P30=""),0,$O30*$P30)</f>
        <v>0</v>
      </c>
      <c r="S30" s="20"/>
      <c r="T30" s="20"/>
      <c r="U30" s="33" t="n">
        <f aca="false">IF($A30="",0,IF(AND(OR($E30=Atleta!$C$4,$E30="Equipe (todos)"),$A30&gt;=Atleta!$C$5),MAX($U$7:U29)+1,0))</f>
        <v>0</v>
      </c>
    </row>
    <row r="31" customFormat="false" ht="15" hidden="false" customHeight="false" outlineLevel="0" collapsed="false">
      <c r="A31" s="21"/>
      <c r="B31" s="33" t="n">
        <f aca="false">IF($A31="",0,INT(($A31-Macrociclo!$C$11)/7)+1)</f>
        <v>0</v>
      </c>
      <c r="C31" s="22"/>
      <c r="D31" s="22"/>
      <c r="E31" s="20"/>
      <c r="F31" s="22"/>
      <c r="G31" s="20"/>
      <c r="H31" s="19" t="str">
        <f aca="false">IFERROR(INDEX(Exercícios!$C$7:$C$206,MATCH($G31,Exercícios!$B$7:$B$206,0)),"")</f>
        <v/>
      </c>
      <c r="I31" s="19" t="str">
        <f aca="false">IFERROR(INDEX(Exercícios!$D$7:$D$206,MATCH($G31,Exercícios!$B$7:$B$206,0)),"")</f>
        <v/>
      </c>
      <c r="J31" s="19" t="str">
        <f aca="false">IFERROR(INDEX(Exercícios!$E$7:$E$206,MATCH($G31,Exercícios!$B$7:$B$206,0)),"")</f>
        <v/>
      </c>
      <c r="K31" s="22"/>
      <c r="L31" s="22"/>
      <c r="M31" s="20"/>
      <c r="N31" s="22"/>
      <c r="O31" s="22"/>
      <c r="P31" s="22"/>
      <c r="Q31" s="19" t="n">
        <f aca="false">IFERROR($K31*$L31,"")</f>
        <v>0</v>
      </c>
      <c r="R31" s="48" t="n">
        <f aca="false">IF(OR($O31="",$P31=""),0,$O31*$P31)</f>
        <v>0</v>
      </c>
      <c r="S31" s="20"/>
      <c r="T31" s="20"/>
      <c r="U31" s="33" t="n">
        <f aca="false">IF($A31="",0,IF(AND(OR($E31=Atleta!$C$4,$E31="Equipe (todos)"),$A31&gt;=Atleta!$C$5),MAX($U$7:U30)+1,0))</f>
        <v>0</v>
      </c>
    </row>
    <row r="32" customFormat="false" ht="15" hidden="false" customHeight="false" outlineLevel="0" collapsed="false">
      <c r="A32" s="21"/>
      <c r="B32" s="33" t="n">
        <f aca="false">IF($A32="",0,INT(($A32-Macrociclo!$C$11)/7)+1)</f>
        <v>0</v>
      </c>
      <c r="C32" s="22"/>
      <c r="D32" s="22"/>
      <c r="E32" s="20"/>
      <c r="F32" s="22"/>
      <c r="G32" s="20"/>
      <c r="H32" s="19" t="str">
        <f aca="false">IFERROR(INDEX(Exercícios!$C$7:$C$206,MATCH($G32,Exercícios!$B$7:$B$206,0)),"")</f>
        <v/>
      </c>
      <c r="I32" s="19" t="str">
        <f aca="false">IFERROR(INDEX(Exercícios!$D$7:$D$206,MATCH($G32,Exercícios!$B$7:$B$206,0)),"")</f>
        <v/>
      </c>
      <c r="J32" s="19" t="str">
        <f aca="false">IFERROR(INDEX(Exercícios!$E$7:$E$206,MATCH($G32,Exercícios!$B$7:$B$206,0)),"")</f>
        <v/>
      </c>
      <c r="K32" s="22"/>
      <c r="L32" s="22"/>
      <c r="M32" s="20"/>
      <c r="N32" s="22"/>
      <c r="O32" s="22"/>
      <c r="P32" s="22"/>
      <c r="Q32" s="19" t="n">
        <f aca="false">IFERROR($K32*$L32,"")</f>
        <v>0</v>
      </c>
      <c r="R32" s="48" t="n">
        <f aca="false">IF(OR($O32="",$P32=""),0,$O32*$P32)</f>
        <v>0</v>
      </c>
      <c r="S32" s="20"/>
      <c r="T32" s="20"/>
      <c r="U32" s="33" t="n">
        <f aca="false">IF($A32="",0,IF(AND(OR($E32=Atleta!$C$4,$E32="Equipe (todos)"),$A32&gt;=Atleta!$C$5),MAX($U$7:U31)+1,0))</f>
        <v>0</v>
      </c>
    </row>
    <row r="33" customFormat="false" ht="15" hidden="false" customHeight="false" outlineLevel="0" collapsed="false">
      <c r="A33" s="21"/>
      <c r="B33" s="33" t="n">
        <f aca="false">IF($A33="",0,INT(($A33-Macrociclo!$C$11)/7)+1)</f>
        <v>0</v>
      </c>
      <c r="C33" s="22"/>
      <c r="D33" s="22"/>
      <c r="E33" s="20"/>
      <c r="F33" s="22"/>
      <c r="G33" s="20"/>
      <c r="H33" s="19" t="str">
        <f aca="false">IFERROR(INDEX(Exercícios!$C$7:$C$206,MATCH($G33,Exercícios!$B$7:$B$206,0)),"")</f>
        <v/>
      </c>
      <c r="I33" s="19" t="str">
        <f aca="false">IFERROR(INDEX(Exercícios!$D$7:$D$206,MATCH($G33,Exercícios!$B$7:$B$206,0)),"")</f>
        <v/>
      </c>
      <c r="J33" s="19" t="str">
        <f aca="false">IFERROR(INDEX(Exercícios!$E$7:$E$206,MATCH($G33,Exercícios!$B$7:$B$206,0)),"")</f>
        <v/>
      </c>
      <c r="K33" s="22"/>
      <c r="L33" s="22"/>
      <c r="M33" s="20"/>
      <c r="N33" s="22"/>
      <c r="O33" s="22"/>
      <c r="P33" s="22"/>
      <c r="Q33" s="19" t="n">
        <f aca="false">IFERROR($K33*$L33,"")</f>
        <v>0</v>
      </c>
      <c r="R33" s="48" t="n">
        <f aca="false">IF(OR($O33="",$P33=""),0,$O33*$P33)</f>
        <v>0</v>
      </c>
      <c r="S33" s="20"/>
      <c r="T33" s="20"/>
      <c r="U33" s="33" t="n">
        <f aca="false">IF($A33="",0,IF(AND(OR($E33=Atleta!$C$4,$E33="Equipe (todos)"),$A33&gt;=Atleta!$C$5),MAX($U$7:U32)+1,0))</f>
        <v>0</v>
      </c>
    </row>
    <row r="34" customFormat="false" ht="15" hidden="false" customHeight="false" outlineLevel="0" collapsed="false">
      <c r="A34" s="21"/>
      <c r="B34" s="33" t="n">
        <f aca="false">IF($A34="",0,INT(($A34-Macrociclo!$C$11)/7)+1)</f>
        <v>0</v>
      </c>
      <c r="C34" s="22"/>
      <c r="D34" s="22"/>
      <c r="E34" s="20"/>
      <c r="F34" s="22"/>
      <c r="G34" s="20"/>
      <c r="H34" s="19" t="str">
        <f aca="false">IFERROR(INDEX(Exercícios!$C$7:$C$206,MATCH($G34,Exercícios!$B$7:$B$206,0)),"")</f>
        <v/>
      </c>
      <c r="I34" s="19" t="str">
        <f aca="false">IFERROR(INDEX(Exercícios!$D$7:$D$206,MATCH($G34,Exercícios!$B$7:$B$206,0)),"")</f>
        <v/>
      </c>
      <c r="J34" s="19" t="str">
        <f aca="false">IFERROR(INDEX(Exercícios!$E$7:$E$206,MATCH($G34,Exercícios!$B$7:$B$206,0)),"")</f>
        <v/>
      </c>
      <c r="K34" s="22"/>
      <c r="L34" s="22"/>
      <c r="M34" s="20"/>
      <c r="N34" s="22"/>
      <c r="O34" s="22"/>
      <c r="P34" s="22"/>
      <c r="Q34" s="19" t="n">
        <f aca="false">IFERROR($K34*$L34,"")</f>
        <v>0</v>
      </c>
      <c r="R34" s="48" t="n">
        <f aca="false">IF(OR($O34="",$P34=""),0,$O34*$P34)</f>
        <v>0</v>
      </c>
      <c r="S34" s="20"/>
      <c r="T34" s="20"/>
      <c r="U34" s="33" t="n">
        <f aca="false">IF($A34="",0,IF(AND(OR($E34=Atleta!$C$4,$E34="Equipe (todos)"),$A34&gt;=Atleta!$C$5),MAX($U$7:U33)+1,0))</f>
        <v>0</v>
      </c>
    </row>
    <row r="35" customFormat="false" ht="15" hidden="false" customHeight="false" outlineLevel="0" collapsed="false">
      <c r="A35" s="21"/>
      <c r="B35" s="33" t="n">
        <f aca="false">IF($A35="",0,INT(($A35-Macrociclo!$C$11)/7)+1)</f>
        <v>0</v>
      </c>
      <c r="C35" s="22"/>
      <c r="D35" s="22"/>
      <c r="E35" s="20"/>
      <c r="F35" s="22"/>
      <c r="G35" s="20"/>
      <c r="H35" s="19" t="str">
        <f aca="false">IFERROR(INDEX(Exercícios!$C$7:$C$206,MATCH($G35,Exercícios!$B$7:$B$206,0)),"")</f>
        <v/>
      </c>
      <c r="I35" s="19" t="str">
        <f aca="false">IFERROR(INDEX(Exercícios!$D$7:$D$206,MATCH($G35,Exercícios!$B$7:$B$206,0)),"")</f>
        <v/>
      </c>
      <c r="J35" s="19" t="str">
        <f aca="false">IFERROR(INDEX(Exercícios!$E$7:$E$206,MATCH($G35,Exercícios!$B$7:$B$206,0)),"")</f>
        <v/>
      </c>
      <c r="K35" s="22"/>
      <c r="L35" s="22"/>
      <c r="M35" s="20"/>
      <c r="N35" s="22"/>
      <c r="O35" s="22"/>
      <c r="P35" s="22"/>
      <c r="Q35" s="19" t="n">
        <f aca="false">IFERROR($K35*$L35,"")</f>
        <v>0</v>
      </c>
      <c r="R35" s="48" t="n">
        <f aca="false">IF(OR($O35="",$P35=""),0,$O35*$P35)</f>
        <v>0</v>
      </c>
      <c r="S35" s="20"/>
      <c r="T35" s="20"/>
      <c r="U35" s="33" t="n">
        <f aca="false">IF($A35="",0,IF(AND(OR($E35=Atleta!$C$4,$E35="Equipe (todos)"),$A35&gt;=Atleta!$C$5),MAX($U$7:U34)+1,0))</f>
        <v>0</v>
      </c>
    </row>
    <row r="36" customFormat="false" ht="15" hidden="false" customHeight="false" outlineLevel="0" collapsed="false">
      <c r="A36" s="21"/>
      <c r="B36" s="33" t="n">
        <f aca="false">IF($A36="",0,INT(($A36-Macrociclo!$C$11)/7)+1)</f>
        <v>0</v>
      </c>
      <c r="C36" s="22"/>
      <c r="D36" s="22"/>
      <c r="E36" s="20"/>
      <c r="F36" s="22"/>
      <c r="G36" s="20"/>
      <c r="H36" s="19" t="str">
        <f aca="false">IFERROR(INDEX(Exercícios!$C$7:$C$206,MATCH($G36,Exercícios!$B$7:$B$206,0)),"")</f>
        <v/>
      </c>
      <c r="I36" s="19" t="str">
        <f aca="false">IFERROR(INDEX(Exercícios!$D$7:$D$206,MATCH($G36,Exercícios!$B$7:$B$206,0)),"")</f>
        <v/>
      </c>
      <c r="J36" s="19" t="str">
        <f aca="false">IFERROR(INDEX(Exercícios!$E$7:$E$206,MATCH($G36,Exercícios!$B$7:$B$206,0)),"")</f>
        <v/>
      </c>
      <c r="K36" s="22"/>
      <c r="L36" s="22"/>
      <c r="M36" s="20"/>
      <c r="N36" s="22"/>
      <c r="O36" s="22"/>
      <c r="P36" s="22"/>
      <c r="Q36" s="19" t="n">
        <f aca="false">IFERROR($K36*$L36,"")</f>
        <v>0</v>
      </c>
      <c r="R36" s="48" t="n">
        <f aca="false">IF(OR($O36="",$P36=""),0,$O36*$P36)</f>
        <v>0</v>
      </c>
      <c r="S36" s="20"/>
      <c r="T36" s="20"/>
      <c r="U36" s="33" t="n">
        <f aca="false">IF($A36="",0,IF(AND(OR($E36=Atleta!$C$4,$E36="Equipe (todos)"),$A36&gt;=Atleta!$C$5),MAX($U$7:U35)+1,0))</f>
        <v>0</v>
      </c>
    </row>
    <row r="37" customFormat="false" ht="15" hidden="false" customHeight="false" outlineLevel="0" collapsed="false">
      <c r="A37" s="21"/>
      <c r="B37" s="33" t="n">
        <f aca="false">IF($A37="",0,INT(($A37-Macrociclo!$C$11)/7)+1)</f>
        <v>0</v>
      </c>
      <c r="C37" s="22"/>
      <c r="D37" s="22"/>
      <c r="E37" s="20"/>
      <c r="F37" s="22"/>
      <c r="G37" s="20"/>
      <c r="H37" s="19" t="str">
        <f aca="false">IFERROR(INDEX(Exercícios!$C$7:$C$206,MATCH($G37,Exercícios!$B$7:$B$206,0)),"")</f>
        <v/>
      </c>
      <c r="I37" s="19" t="str">
        <f aca="false">IFERROR(INDEX(Exercícios!$D$7:$D$206,MATCH($G37,Exercícios!$B$7:$B$206,0)),"")</f>
        <v/>
      </c>
      <c r="J37" s="19" t="str">
        <f aca="false">IFERROR(INDEX(Exercícios!$E$7:$E$206,MATCH($G37,Exercícios!$B$7:$B$206,0)),"")</f>
        <v/>
      </c>
      <c r="K37" s="22"/>
      <c r="L37" s="22"/>
      <c r="M37" s="20"/>
      <c r="N37" s="22"/>
      <c r="O37" s="22"/>
      <c r="P37" s="22"/>
      <c r="Q37" s="19" t="n">
        <f aca="false">IFERROR($K37*$L37,"")</f>
        <v>0</v>
      </c>
      <c r="R37" s="48" t="n">
        <f aca="false">IF(OR($O37="",$P37=""),0,$O37*$P37)</f>
        <v>0</v>
      </c>
      <c r="S37" s="20"/>
      <c r="T37" s="20"/>
      <c r="U37" s="33" t="n">
        <f aca="false">IF($A37="",0,IF(AND(OR($E37=Atleta!$C$4,$E37="Equipe (todos)"),$A37&gt;=Atleta!$C$5),MAX($U$7:U36)+1,0))</f>
        <v>0</v>
      </c>
    </row>
    <row r="38" customFormat="false" ht="15" hidden="false" customHeight="false" outlineLevel="0" collapsed="false">
      <c r="A38" s="21"/>
      <c r="B38" s="33" t="n">
        <f aca="false">IF($A38="",0,INT(($A38-Macrociclo!$C$11)/7)+1)</f>
        <v>0</v>
      </c>
      <c r="C38" s="22"/>
      <c r="D38" s="22"/>
      <c r="E38" s="20"/>
      <c r="F38" s="22"/>
      <c r="G38" s="20"/>
      <c r="H38" s="19" t="str">
        <f aca="false">IFERROR(INDEX(Exercícios!$C$7:$C$206,MATCH($G38,Exercícios!$B$7:$B$206,0)),"")</f>
        <v/>
      </c>
      <c r="I38" s="19" t="str">
        <f aca="false">IFERROR(INDEX(Exercícios!$D$7:$D$206,MATCH($G38,Exercícios!$B$7:$B$206,0)),"")</f>
        <v/>
      </c>
      <c r="J38" s="19" t="str">
        <f aca="false">IFERROR(INDEX(Exercícios!$E$7:$E$206,MATCH($G38,Exercícios!$B$7:$B$206,0)),"")</f>
        <v/>
      </c>
      <c r="K38" s="22"/>
      <c r="L38" s="22"/>
      <c r="M38" s="20"/>
      <c r="N38" s="22"/>
      <c r="O38" s="22"/>
      <c r="P38" s="22"/>
      <c r="Q38" s="19" t="n">
        <f aca="false">IFERROR($K38*$L38,"")</f>
        <v>0</v>
      </c>
      <c r="R38" s="48" t="n">
        <f aca="false">IF(OR($O38="",$P38=""),0,$O38*$P38)</f>
        <v>0</v>
      </c>
      <c r="S38" s="20"/>
      <c r="T38" s="20"/>
      <c r="U38" s="33" t="n">
        <f aca="false">IF($A38="",0,IF(AND(OR($E38=Atleta!$C$4,$E38="Equipe (todos)"),$A38&gt;=Atleta!$C$5),MAX($U$7:U37)+1,0))</f>
        <v>0</v>
      </c>
    </row>
    <row r="39" customFormat="false" ht="15" hidden="false" customHeight="false" outlineLevel="0" collapsed="false">
      <c r="A39" s="21"/>
      <c r="B39" s="33" t="n">
        <f aca="false">IF($A39="",0,INT(($A39-Macrociclo!$C$11)/7)+1)</f>
        <v>0</v>
      </c>
      <c r="C39" s="22"/>
      <c r="D39" s="22"/>
      <c r="E39" s="20"/>
      <c r="F39" s="22"/>
      <c r="G39" s="20"/>
      <c r="H39" s="19" t="str">
        <f aca="false">IFERROR(INDEX(Exercícios!$C$7:$C$206,MATCH($G39,Exercícios!$B$7:$B$206,0)),"")</f>
        <v/>
      </c>
      <c r="I39" s="19" t="str">
        <f aca="false">IFERROR(INDEX(Exercícios!$D$7:$D$206,MATCH($G39,Exercícios!$B$7:$B$206,0)),"")</f>
        <v/>
      </c>
      <c r="J39" s="19" t="str">
        <f aca="false">IFERROR(INDEX(Exercícios!$E$7:$E$206,MATCH($G39,Exercícios!$B$7:$B$206,0)),"")</f>
        <v/>
      </c>
      <c r="K39" s="22"/>
      <c r="L39" s="22"/>
      <c r="M39" s="20"/>
      <c r="N39" s="22"/>
      <c r="O39" s="22"/>
      <c r="P39" s="22"/>
      <c r="Q39" s="19" t="n">
        <f aca="false">IFERROR($K39*$L39,"")</f>
        <v>0</v>
      </c>
      <c r="R39" s="48" t="n">
        <f aca="false">IF(OR($O39="",$P39=""),0,$O39*$P39)</f>
        <v>0</v>
      </c>
      <c r="S39" s="20"/>
      <c r="T39" s="20"/>
      <c r="U39" s="33" t="n">
        <f aca="false">IF($A39="",0,IF(AND(OR($E39=Atleta!$C$4,$E39="Equipe (todos)"),$A39&gt;=Atleta!$C$5),MAX($U$7:U38)+1,0))</f>
        <v>0</v>
      </c>
    </row>
    <row r="40" customFormat="false" ht="15" hidden="false" customHeight="false" outlineLevel="0" collapsed="false">
      <c r="A40" s="21"/>
      <c r="B40" s="33" t="n">
        <f aca="false">IF($A40="",0,INT(($A40-Macrociclo!$C$11)/7)+1)</f>
        <v>0</v>
      </c>
      <c r="C40" s="22"/>
      <c r="D40" s="22"/>
      <c r="E40" s="20"/>
      <c r="F40" s="22"/>
      <c r="G40" s="20"/>
      <c r="H40" s="19" t="str">
        <f aca="false">IFERROR(INDEX(Exercícios!$C$7:$C$206,MATCH($G40,Exercícios!$B$7:$B$206,0)),"")</f>
        <v/>
      </c>
      <c r="I40" s="19" t="str">
        <f aca="false">IFERROR(INDEX(Exercícios!$D$7:$D$206,MATCH($G40,Exercícios!$B$7:$B$206,0)),"")</f>
        <v/>
      </c>
      <c r="J40" s="19" t="str">
        <f aca="false">IFERROR(INDEX(Exercícios!$E$7:$E$206,MATCH($G40,Exercícios!$B$7:$B$206,0)),"")</f>
        <v/>
      </c>
      <c r="K40" s="22"/>
      <c r="L40" s="22"/>
      <c r="M40" s="20"/>
      <c r="N40" s="22"/>
      <c r="O40" s="22"/>
      <c r="P40" s="22"/>
      <c r="Q40" s="19" t="n">
        <f aca="false">IFERROR($K40*$L40,"")</f>
        <v>0</v>
      </c>
      <c r="R40" s="48" t="n">
        <f aca="false">IF(OR($O40="",$P40=""),0,$O40*$P40)</f>
        <v>0</v>
      </c>
      <c r="S40" s="20"/>
      <c r="T40" s="20"/>
      <c r="U40" s="33" t="n">
        <f aca="false">IF($A40="",0,IF(AND(OR($E40=Atleta!$C$4,$E40="Equipe (todos)"),$A40&gt;=Atleta!$C$5),MAX($U$7:U39)+1,0))</f>
        <v>0</v>
      </c>
    </row>
    <row r="41" customFormat="false" ht="15" hidden="false" customHeight="false" outlineLevel="0" collapsed="false">
      <c r="A41" s="21"/>
      <c r="B41" s="33" t="n">
        <f aca="false">IF($A41="",0,INT(($A41-Macrociclo!$C$11)/7)+1)</f>
        <v>0</v>
      </c>
      <c r="C41" s="22"/>
      <c r="D41" s="22"/>
      <c r="E41" s="20"/>
      <c r="F41" s="22"/>
      <c r="G41" s="20"/>
      <c r="H41" s="19" t="str">
        <f aca="false">IFERROR(INDEX(Exercícios!$C$7:$C$206,MATCH($G41,Exercícios!$B$7:$B$206,0)),"")</f>
        <v/>
      </c>
      <c r="I41" s="19" t="str">
        <f aca="false">IFERROR(INDEX(Exercícios!$D$7:$D$206,MATCH($G41,Exercícios!$B$7:$B$206,0)),"")</f>
        <v/>
      </c>
      <c r="J41" s="19" t="str">
        <f aca="false">IFERROR(INDEX(Exercícios!$E$7:$E$206,MATCH($G41,Exercícios!$B$7:$B$206,0)),"")</f>
        <v/>
      </c>
      <c r="K41" s="22"/>
      <c r="L41" s="22"/>
      <c r="M41" s="20"/>
      <c r="N41" s="22"/>
      <c r="O41" s="22"/>
      <c r="P41" s="22"/>
      <c r="Q41" s="19" t="n">
        <f aca="false">IFERROR($K41*$L41,"")</f>
        <v>0</v>
      </c>
      <c r="R41" s="48" t="n">
        <f aca="false">IF(OR($O41="",$P41=""),0,$O41*$P41)</f>
        <v>0</v>
      </c>
      <c r="S41" s="20"/>
      <c r="T41" s="20"/>
      <c r="U41" s="33" t="n">
        <f aca="false">IF($A41="",0,IF(AND(OR($E41=Atleta!$C$4,$E41="Equipe (todos)"),$A41&gt;=Atleta!$C$5),MAX($U$7:U40)+1,0))</f>
        <v>0</v>
      </c>
    </row>
    <row r="42" customFormat="false" ht="15" hidden="false" customHeight="false" outlineLevel="0" collapsed="false">
      <c r="A42" s="21"/>
      <c r="B42" s="33" t="n">
        <f aca="false">IF($A42="",0,INT(($A42-Macrociclo!$C$11)/7)+1)</f>
        <v>0</v>
      </c>
      <c r="C42" s="22"/>
      <c r="D42" s="22"/>
      <c r="E42" s="20"/>
      <c r="F42" s="22"/>
      <c r="G42" s="20"/>
      <c r="H42" s="19" t="str">
        <f aca="false">IFERROR(INDEX(Exercícios!$C$7:$C$206,MATCH($G42,Exercícios!$B$7:$B$206,0)),"")</f>
        <v/>
      </c>
      <c r="I42" s="19" t="str">
        <f aca="false">IFERROR(INDEX(Exercícios!$D$7:$D$206,MATCH($G42,Exercícios!$B$7:$B$206,0)),"")</f>
        <v/>
      </c>
      <c r="J42" s="19" t="str">
        <f aca="false">IFERROR(INDEX(Exercícios!$E$7:$E$206,MATCH($G42,Exercícios!$B$7:$B$206,0)),"")</f>
        <v/>
      </c>
      <c r="K42" s="22"/>
      <c r="L42" s="22"/>
      <c r="M42" s="20"/>
      <c r="N42" s="22"/>
      <c r="O42" s="22"/>
      <c r="P42" s="22"/>
      <c r="Q42" s="19" t="n">
        <f aca="false">IFERROR($K42*$L42,"")</f>
        <v>0</v>
      </c>
      <c r="R42" s="48" t="n">
        <f aca="false">IF(OR($O42="",$P42=""),0,$O42*$P42)</f>
        <v>0</v>
      </c>
      <c r="S42" s="20"/>
      <c r="T42" s="20"/>
      <c r="U42" s="33" t="n">
        <f aca="false">IF($A42="",0,IF(AND(OR($E42=Atleta!$C$4,$E42="Equipe (todos)"),$A42&gt;=Atleta!$C$5),MAX($U$7:U41)+1,0))</f>
        <v>0</v>
      </c>
    </row>
    <row r="43" customFormat="false" ht="15" hidden="false" customHeight="false" outlineLevel="0" collapsed="false">
      <c r="A43" s="21"/>
      <c r="B43" s="33" t="n">
        <f aca="false">IF($A43="",0,INT(($A43-Macrociclo!$C$11)/7)+1)</f>
        <v>0</v>
      </c>
      <c r="C43" s="22"/>
      <c r="D43" s="22"/>
      <c r="E43" s="20"/>
      <c r="F43" s="22"/>
      <c r="G43" s="20"/>
      <c r="H43" s="19" t="str">
        <f aca="false">IFERROR(INDEX(Exercícios!$C$7:$C$206,MATCH($G43,Exercícios!$B$7:$B$206,0)),"")</f>
        <v/>
      </c>
      <c r="I43" s="19" t="str">
        <f aca="false">IFERROR(INDEX(Exercícios!$D$7:$D$206,MATCH($G43,Exercícios!$B$7:$B$206,0)),"")</f>
        <v/>
      </c>
      <c r="J43" s="19" t="str">
        <f aca="false">IFERROR(INDEX(Exercícios!$E$7:$E$206,MATCH($G43,Exercícios!$B$7:$B$206,0)),"")</f>
        <v/>
      </c>
      <c r="K43" s="22"/>
      <c r="L43" s="22"/>
      <c r="M43" s="20"/>
      <c r="N43" s="22"/>
      <c r="O43" s="22"/>
      <c r="P43" s="22"/>
      <c r="Q43" s="19" t="n">
        <f aca="false">IFERROR($K43*$L43,"")</f>
        <v>0</v>
      </c>
      <c r="R43" s="48" t="n">
        <f aca="false">IF(OR($O43="",$P43=""),0,$O43*$P43)</f>
        <v>0</v>
      </c>
      <c r="S43" s="20"/>
      <c r="T43" s="20"/>
      <c r="U43" s="33" t="n">
        <f aca="false">IF($A43="",0,IF(AND(OR($E43=Atleta!$C$4,$E43="Equipe (todos)"),$A43&gt;=Atleta!$C$5),MAX($U$7:U42)+1,0))</f>
        <v>0</v>
      </c>
    </row>
    <row r="44" customFormat="false" ht="15" hidden="false" customHeight="false" outlineLevel="0" collapsed="false">
      <c r="A44" s="21"/>
      <c r="B44" s="33" t="n">
        <f aca="false">IF($A44="",0,INT(($A44-Macrociclo!$C$11)/7)+1)</f>
        <v>0</v>
      </c>
      <c r="C44" s="22"/>
      <c r="D44" s="22"/>
      <c r="E44" s="20"/>
      <c r="F44" s="22"/>
      <c r="G44" s="20"/>
      <c r="H44" s="19" t="str">
        <f aca="false">IFERROR(INDEX(Exercícios!$C$7:$C$206,MATCH($G44,Exercícios!$B$7:$B$206,0)),"")</f>
        <v/>
      </c>
      <c r="I44" s="19" t="str">
        <f aca="false">IFERROR(INDEX(Exercícios!$D$7:$D$206,MATCH($G44,Exercícios!$B$7:$B$206,0)),"")</f>
        <v/>
      </c>
      <c r="J44" s="19" t="str">
        <f aca="false">IFERROR(INDEX(Exercícios!$E$7:$E$206,MATCH($G44,Exercícios!$B$7:$B$206,0)),"")</f>
        <v/>
      </c>
      <c r="K44" s="22"/>
      <c r="L44" s="22"/>
      <c r="M44" s="20"/>
      <c r="N44" s="22"/>
      <c r="O44" s="22"/>
      <c r="P44" s="22"/>
      <c r="Q44" s="19" t="n">
        <f aca="false">IFERROR($K44*$L44,"")</f>
        <v>0</v>
      </c>
      <c r="R44" s="48" t="n">
        <f aca="false">IF(OR($O44="",$P44=""),0,$O44*$P44)</f>
        <v>0</v>
      </c>
      <c r="S44" s="20"/>
      <c r="T44" s="20"/>
      <c r="U44" s="33" t="n">
        <f aca="false">IF($A44="",0,IF(AND(OR($E44=Atleta!$C$4,$E44="Equipe (todos)"),$A44&gt;=Atleta!$C$5),MAX($U$7:U43)+1,0))</f>
        <v>0</v>
      </c>
    </row>
    <row r="45" customFormat="false" ht="15" hidden="false" customHeight="false" outlineLevel="0" collapsed="false">
      <c r="A45" s="21"/>
      <c r="B45" s="33" t="n">
        <f aca="false">IF($A45="",0,INT(($A45-Macrociclo!$C$11)/7)+1)</f>
        <v>0</v>
      </c>
      <c r="C45" s="22"/>
      <c r="D45" s="22"/>
      <c r="E45" s="20"/>
      <c r="F45" s="22"/>
      <c r="G45" s="20"/>
      <c r="H45" s="19" t="str">
        <f aca="false">IFERROR(INDEX(Exercícios!$C$7:$C$206,MATCH($G45,Exercícios!$B$7:$B$206,0)),"")</f>
        <v/>
      </c>
      <c r="I45" s="19" t="str">
        <f aca="false">IFERROR(INDEX(Exercícios!$D$7:$D$206,MATCH($G45,Exercícios!$B$7:$B$206,0)),"")</f>
        <v/>
      </c>
      <c r="J45" s="19" t="str">
        <f aca="false">IFERROR(INDEX(Exercícios!$E$7:$E$206,MATCH($G45,Exercícios!$B$7:$B$206,0)),"")</f>
        <v/>
      </c>
      <c r="K45" s="22"/>
      <c r="L45" s="22"/>
      <c r="M45" s="20"/>
      <c r="N45" s="22"/>
      <c r="O45" s="22"/>
      <c r="P45" s="22"/>
      <c r="Q45" s="19" t="n">
        <f aca="false">IFERROR($K45*$L45,"")</f>
        <v>0</v>
      </c>
      <c r="R45" s="48" t="n">
        <f aca="false">IF(OR($O45="",$P45=""),0,$O45*$P45)</f>
        <v>0</v>
      </c>
      <c r="S45" s="20"/>
      <c r="T45" s="20"/>
      <c r="U45" s="33" t="n">
        <f aca="false">IF($A45="",0,IF(AND(OR($E45=Atleta!$C$4,$E45="Equipe (todos)"),$A45&gt;=Atleta!$C$5),MAX($U$7:U44)+1,0))</f>
        <v>0</v>
      </c>
    </row>
    <row r="46" customFormat="false" ht="15" hidden="false" customHeight="false" outlineLevel="0" collapsed="false">
      <c r="A46" s="21"/>
      <c r="B46" s="33" t="n">
        <f aca="false">IF($A46="",0,INT(($A46-Macrociclo!$C$11)/7)+1)</f>
        <v>0</v>
      </c>
      <c r="C46" s="22"/>
      <c r="D46" s="22"/>
      <c r="E46" s="20"/>
      <c r="F46" s="22"/>
      <c r="G46" s="20"/>
      <c r="H46" s="19" t="str">
        <f aca="false">IFERROR(INDEX(Exercícios!$C$7:$C$206,MATCH($G46,Exercícios!$B$7:$B$206,0)),"")</f>
        <v/>
      </c>
      <c r="I46" s="19" t="str">
        <f aca="false">IFERROR(INDEX(Exercícios!$D$7:$D$206,MATCH($G46,Exercícios!$B$7:$B$206,0)),"")</f>
        <v/>
      </c>
      <c r="J46" s="19" t="str">
        <f aca="false">IFERROR(INDEX(Exercícios!$E$7:$E$206,MATCH($G46,Exercícios!$B$7:$B$206,0)),"")</f>
        <v/>
      </c>
      <c r="K46" s="22"/>
      <c r="L46" s="22"/>
      <c r="M46" s="20"/>
      <c r="N46" s="22"/>
      <c r="O46" s="22"/>
      <c r="P46" s="22"/>
      <c r="Q46" s="19" t="n">
        <f aca="false">IFERROR($K46*$L46,"")</f>
        <v>0</v>
      </c>
      <c r="R46" s="48" t="n">
        <f aca="false">IF(OR($O46="",$P46=""),0,$O46*$P46)</f>
        <v>0</v>
      </c>
      <c r="S46" s="20"/>
      <c r="T46" s="20"/>
      <c r="U46" s="33" t="n">
        <f aca="false">IF($A46="",0,IF(AND(OR($E46=Atleta!$C$4,$E46="Equipe (todos)"),$A46&gt;=Atleta!$C$5),MAX($U$7:U45)+1,0))</f>
        <v>0</v>
      </c>
    </row>
    <row r="47" customFormat="false" ht="15" hidden="false" customHeight="false" outlineLevel="0" collapsed="false">
      <c r="A47" s="21"/>
      <c r="B47" s="33" t="n">
        <f aca="false">IF($A47="",0,INT(($A47-Macrociclo!$C$11)/7)+1)</f>
        <v>0</v>
      </c>
      <c r="C47" s="22"/>
      <c r="D47" s="22"/>
      <c r="E47" s="20"/>
      <c r="F47" s="22"/>
      <c r="G47" s="20"/>
      <c r="H47" s="19" t="str">
        <f aca="false">IFERROR(INDEX(Exercícios!$C$7:$C$206,MATCH($G47,Exercícios!$B$7:$B$206,0)),"")</f>
        <v/>
      </c>
      <c r="I47" s="19" t="str">
        <f aca="false">IFERROR(INDEX(Exercícios!$D$7:$D$206,MATCH($G47,Exercícios!$B$7:$B$206,0)),"")</f>
        <v/>
      </c>
      <c r="J47" s="19" t="str">
        <f aca="false">IFERROR(INDEX(Exercícios!$E$7:$E$206,MATCH($G47,Exercícios!$B$7:$B$206,0)),"")</f>
        <v/>
      </c>
      <c r="K47" s="22"/>
      <c r="L47" s="22"/>
      <c r="M47" s="20"/>
      <c r="N47" s="22"/>
      <c r="O47" s="22"/>
      <c r="P47" s="22"/>
      <c r="Q47" s="19" t="n">
        <f aca="false">IFERROR($K47*$L47,"")</f>
        <v>0</v>
      </c>
      <c r="R47" s="48" t="n">
        <f aca="false">IF(OR($O47="",$P47=""),0,$O47*$P47)</f>
        <v>0</v>
      </c>
      <c r="S47" s="20"/>
      <c r="T47" s="20"/>
      <c r="U47" s="33" t="n">
        <f aca="false">IF($A47="",0,IF(AND(OR($E47=Atleta!$C$4,$E47="Equipe (todos)"),$A47&gt;=Atleta!$C$5),MAX($U$7:U46)+1,0))</f>
        <v>0</v>
      </c>
    </row>
    <row r="48" customFormat="false" ht="15" hidden="false" customHeight="false" outlineLevel="0" collapsed="false">
      <c r="A48" s="21"/>
      <c r="B48" s="33" t="n">
        <f aca="false">IF($A48="",0,INT(($A48-Macrociclo!$C$11)/7)+1)</f>
        <v>0</v>
      </c>
      <c r="C48" s="22"/>
      <c r="D48" s="22"/>
      <c r="E48" s="20"/>
      <c r="F48" s="22"/>
      <c r="G48" s="20"/>
      <c r="H48" s="19" t="str">
        <f aca="false">IFERROR(INDEX(Exercícios!$C$7:$C$206,MATCH($G48,Exercícios!$B$7:$B$206,0)),"")</f>
        <v/>
      </c>
      <c r="I48" s="19" t="str">
        <f aca="false">IFERROR(INDEX(Exercícios!$D$7:$D$206,MATCH($G48,Exercícios!$B$7:$B$206,0)),"")</f>
        <v/>
      </c>
      <c r="J48" s="19" t="str">
        <f aca="false">IFERROR(INDEX(Exercícios!$E$7:$E$206,MATCH($G48,Exercícios!$B$7:$B$206,0)),"")</f>
        <v/>
      </c>
      <c r="K48" s="22"/>
      <c r="L48" s="22"/>
      <c r="M48" s="20"/>
      <c r="N48" s="22"/>
      <c r="O48" s="22"/>
      <c r="P48" s="22"/>
      <c r="Q48" s="19" t="n">
        <f aca="false">IFERROR($K48*$L48,"")</f>
        <v>0</v>
      </c>
      <c r="R48" s="48" t="n">
        <f aca="false">IF(OR($O48="",$P48=""),0,$O48*$P48)</f>
        <v>0</v>
      </c>
      <c r="S48" s="20"/>
      <c r="T48" s="20"/>
      <c r="U48" s="33" t="n">
        <f aca="false">IF($A48="",0,IF(AND(OR($E48=Atleta!$C$4,$E48="Equipe (todos)"),$A48&gt;=Atleta!$C$5),MAX($U$7:U47)+1,0))</f>
        <v>0</v>
      </c>
    </row>
    <row r="49" customFormat="false" ht="15" hidden="false" customHeight="false" outlineLevel="0" collapsed="false">
      <c r="A49" s="21"/>
      <c r="B49" s="33" t="n">
        <f aca="false">IF($A49="",0,INT(($A49-Macrociclo!$C$11)/7)+1)</f>
        <v>0</v>
      </c>
      <c r="C49" s="22"/>
      <c r="D49" s="22"/>
      <c r="E49" s="20"/>
      <c r="F49" s="22"/>
      <c r="G49" s="20"/>
      <c r="H49" s="19" t="str">
        <f aca="false">IFERROR(INDEX(Exercícios!$C$7:$C$206,MATCH($G49,Exercícios!$B$7:$B$206,0)),"")</f>
        <v/>
      </c>
      <c r="I49" s="19" t="str">
        <f aca="false">IFERROR(INDEX(Exercícios!$D$7:$D$206,MATCH($G49,Exercícios!$B$7:$B$206,0)),"")</f>
        <v/>
      </c>
      <c r="J49" s="19" t="str">
        <f aca="false">IFERROR(INDEX(Exercícios!$E$7:$E$206,MATCH($G49,Exercícios!$B$7:$B$206,0)),"")</f>
        <v/>
      </c>
      <c r="K49" s="22"/>
      <c r="L49" s="22"/>
      <c r="M49" s="20"/>
      <c r="N49" s="22"/>
      <c r="O49" s="22"/>
      <c r="P49" s="22"/>
      <c r="Q49" s="19" t="n">
        <f aca="false">IFERROR($K49*$L49,"")</f>
        <v>0</v>
      </c>
      <c r="R49" s="48" t="n">
        <f aca="false">IF(OR($O49="",$P49=""),0,$O49*$P49)</f>
        <v>0</v>
      </c>
      <c r="S49" s="20"/>
      <c r="T49" s="20"/>
      <c r="U49" s="33" t="n">
        <f aca="false">IF($A49="",0,IF(AND(OR($E49=Atleta!$C$4,$E49="Equipe (todos)"),$A49&gt;=Atleta!$C$5),MAX($U$7:U48)+1,0))</f>
        <v>0</v>
      </c>
    </row>
    <row r="50" customFormat="false" ht="15" hidden="false" customHeight="false" outlineLevel="0" collapsed="false">
      <c r="A50" s="21"/>
      <c r="B50" s="33" t="n">
        <f aca="false">IF($A50="",0,INT(($A50-Macrociclo!$C$11)/7)+1)</f>
        <v>0</v>
      </c>
      <c r="C50" s="22"/>
      <c r="D50" s="22"/>
      <c r="E50" s="20"/>
      <c r="F50" s="22"/>
      <c r="G50" s="20"/>
      <c r="H50" s="19" t="str">
        <f aca="false">IFERROR(INDEX(Exercícios!$C$7:$C$206,MATCH($G50,Exercícios!$B$7:$B$206,0)),"")</f>
        <v/>
      </c>
      <c r="I50" s="19" t="str">
        <f aca="false">IFERROR(INDEX(Exercícios!$D$7:$D$206,MATCH($G50,Exercícios!$B$7:$B$206,0)),"")</f>
        <v/>
      </c>
      <c r="J50" s="19" t="str">
        <f aca="false">IFERROR(INDEX(Exercícios!$E$7:$E$206,MATCH($G50,Exercícios!$B$7:$B$206,0)),"")</f>
        <v/>
      </c>
      <c r="K50" s="22"/>
      <c r="L50" s="22"/>
      <c r="M50" s="20"/>
      <c r="N50" s="22"/>
      <c r="O50" s="22"/>
      <c r="P50" s="22"/>
      <c r="Q50" s="19" t="n">
        <f aca="false">IFERROR($K50*$L50,"")</f>
        <v>0</v>
      </c>
      <c r="R50" s="48" t="n">
        <f aca="false">IF(OR($O50="",$P50=""),0,$O50*$P50)</f>
        <v>0</v>
      </c>
      <c r="S50" s="20"/>
      <c r="T50" s="20"/>
      <c r="U50" s="33" t="n">
        <f aca="false">IF($A50="",0,IF(AND(OR($E50=Atleta!$C$4,$E50="Equipe (todos)"),$A50&gt;=Atleta!$C$5),MAX($U$7:U49)+1,0))</f>
        <v>0</v>
      </c>
    </row>
    <row r="51" customFormat="false" ht="15" hidden="false" customHeight="false" outlineLevel="0" collapsed="false">
      <c r="A51" s="21"/>
      <c r="B51" s="33" t="n">
        <f aca="false">IF($A51="",0,INT(($A51-Macrociclo!$C$11)/7)+1)</f>
        <v>0</v>
      </c>
      <c r="C51" s="22"/>
      <c r="D51" s="22"/>
      <c r="E51" s="20"/>
      <c r="F51" s="22"/>
      <c r="G51" s="20"/>
      <c r="H51" s="19" t="str">
        <f aca="false">IFERROR(INDEX(Exercícios!$C$7:$C$206,MATCH($G51,Exercícios!$B$7:$B$206,0)),"")</f>
        <v/>
      </c>
      <c r="I51" s="19" t="str">
        <f aca="false">IFERROR(INDEX(Exercícios!$D$7:$D$206,MATCH($G51,Exercícios!$B$7:$B$206,0)),"")</f>
        <v/>
      </c>
      <c r="J51" s="19" t="str">
        <f aca="false">IFERROR(INDEX(Exercícios!$E$7:$E$206,MATCH($G51,Exercícios!$B$7:$B$206,0)),"")</f>
        <v/>
      </c>
      <c r="K51" s="22"/>
      <c r="L51" s="22"/>
      <c r="M51" s="20"/>
      <c r="N51" s="22"/>
      <c r="O51" s="22"/>
      <c r="P51" s="22"/>
      <c r="Q51" s="19" t="n">
        <f aca="false">IFERROR($K51*$L51,"")</f>
        <v>0</v>
      </c>
      <c r="R51" s="48" t="n">
        <f aca="false">IF(OR($O51="",$P51=""),0,$O51*$P51)</f>
        <v>0</v>
      </c>
      <c r="S51" s="20"/>
      <c r="T51" s="20"/>
      <c r="U51" s="33" t="n">
        <f aca="false">IF($A51="",0,IF(AND(OR($E51=Atleta!$C$4,$E51="Equipe (todos)"),$A51&gt;=Atleta!$C$5),MAX($U$7:U50)+1,0))</f>
        <v>0</v>
      </c>
    </row>
    <row r="52" customFormat="false" ht="15" hidden="false" customHeight="false" outlineLevel="0" collapsed="false">
      <c r="A52" s="21"/>
      <c r="B52" s="33" t="n">
        <f aca="false">IF($A52="",0,INT(($A52-Macrociclo!$C$11)/7)+1)</f>
        <v>0</v>
      </c>
      <c r="C52" s="22"/>
      <c r="D52" s="22"/>
      <c r="E52" s="20"/>
      <c r="F52" s="22"/>
      <c r="G52" s="20"/>
      <c r="H52" s="19" t="str">
        <f aca="false">IFERROR(INDEX(Exercícios!$C$7:$C$206,MATCH($G52,Exercícios!$B$7:$B$206,0)),"")</f>
        <v/>
      </c>
      <c r="I52" s="19" t="str">
        <f aca="false">IFERROR(INDEX(Exercícios!$D$7:$D$206,MATCH($G52,Exercícios!$B$7:$B$206,0)),"")</f>
        <v/>
      </c>
      <c r="J52" s="19" t="str">
        <f aca="false">IFERROR(INDEX(Exercícios!$E$7:$E$206,MATCH($G52,Exercícios!$B$7:$B$206,0)),"")</f>
        <v/>
      </c>
      <c r="K52" s="22"/>
      <c r="L52" s="22"/>
      <c r="M52" s="20"/>
      <c r="N52" s="22"/>
      <c r="O52" s="22"/>
      <c r="P52" s="22"/>
      <c r="Q52" s="19" t="n">
        <f aca="false">IFERROR($K52*$L52,"")</f>
        <v>0</v>
      </c>
      <c r="R52" s="48" t="n">
        <f aca="false">IF(OR($O52="",$P52=""),0,$O52*$P52)</f>
        <v>0</v>
      </c>
      <c r="S52" s="20"/>
      <c r="T52" s="20"/>
      <c r="U52" s="33" t="n">
        <f aca="false">IF($A52="",0,IF(AND(OR($E52=Atleta!$C$4,$E52="Equipe (todos)"),$A52&gt;=Atleta!$C$5),MAX($U$7:U51)+1,0))</f>
        <v>0</v>
      </c>
    </row>
    <row r="53" customFormat="false" ht="15" hidden="false" customHeight="false" outlineLevel="0" collapsed="false">
      <c r="A53" s="21"/>
      <c r="B53" s="33" t="n">
        <f aca="false">IF($A53="",0,INT(($A53-Macrociclo!$C$11)/7)+1)</f>
        <v>0</v>
      </c>
      <c r="C53" s="22"/>
      <c r="D53" s="22"/>
      <c r="E53" s="20"/>
      <c r="F53" s="22"/>
      <c r="G53" s="20"/>
      <c r="H53" s="19" t="str">
        <f aca="false">IFERROR(INDEX(Exercícios!$C$7:$C$206,MATCH($G53,Exercícios!$B$7:$B$206,0)),"")</f>
        <v/>
      </c>
      <c r="I53" s="19" t="str">
        <f aca="false">IFERROR(INDEX(Exercícios!$D$7:$D$206,MATCH($G53,Exercícios!$B$7:$B$206,0)),"")</f>
        <v/>
      </c>
      <c r="J53" s="19" t="str">
        <f aca="false">IFERROR(INDEX(Exercícios!$E$7:$E$206,MATCH($G53,Exercícios!$B$7:$B$206,0)),"")</f>
        <v/>
      </c>
      <c r="K53" s="22"/>
      <c r="L53" s="22"/>
      <c r="M53" s="20"/>
      <c r="N53" s="22"/>
      <c r="O53" s="22"/>
      <c r="P53" s="22"/>
      <c r="Q53" s="19" t="n">
        <f aca="false">IFERROR($K53*$L53,"")</f>
        <v>0</v>
      </c>
      <c r="R53" s="48" t="n">
        <f aca="false">IF(OR($O53="",$P53=""),0,$O53*$P53)</f>
        <v>0</v>
      </c>
      <c r="S53" s="20"/>
      <c r="T53" s="20"/>
      <c r="U53" s="33" t="n">
        <f aca="false">IF($A53="",0,IF(AND(OR($E53=Atleta!$C$4,$E53="Equipe (todos)"),$A53&gt;=Atleta!$C$5),MAX($U$7:U52)+1,0))</f>
        <v>0</v>
      </c>
    </row>
    <row r="54" customFormat="false" ht="15" hidden="false" customHeight="false" outlineLevel="0" collapsed="false">
      <c r="A54" s="21"/>
      <c r="B54" s="33" t="n">
        <f aca="false">IF($A54="",0,INT(($A54-Macrociclo!$C$11)/7)+1)</f>
        <v>0</v>
      </c>
      <c r="C54" s="22"/>
      <c r="D54" s="22"/>
      <c r="E54" s="20"/>
      <c r="F54" s="22"/>
      <c r="G54" s="20"/>
      <c r="H54" s="19" t="str">
        <f aca="false">IFERROR(INDEX(Exercícios!$C$7:$C$206,MATCH($G54,Exercícios!$B$7:$B$206,0)),"")</f>
        <v/>
      </c>
      <c r="I54" s="19" t="str">
        <f aca="false">IFERROR(INDEX(Exercícios!$D$7:$D$206,MATCH($G54,Exercícios!$B$7:$B$206,0)),"")</f>
        <v/>
      </c>
      <c r="J54" s="19" t="str">
        <f aca="false">IFERROR(INDEX(Exercícios!$E$7:$E$206,MATCH($G54,Exercícios!$B$7:$B$206,0)),"")</f>
        <v/>
      </c>
      <c r="K54" s="22"/>
      <c r="L54" s="22"/>
      <c r="M54" s="20"/>
      <c r="N54" s="22"/>
      <c r="O54" s="22"/>
      <c r="P54" s="22"/>
      <c r="Q54" s="19" t="n">
        <f aca="false">IFERROR($K54*$L54,"")</f>
        <v>0</v>
      </c>
      <c r="R54" s="48" t="n">
        <f aca="false">IF(OR($O54="",$P54=""),0,$O54*$P54)</f>
        <v>0</v>
      </c>
      <c r="S54" s="20"/>
      <c r="T54" s="20"/>
      <c r="U54" s="33" t="n">
        <f aca="false">IF($A54="",0,IF(AND(OR($E54=Atleta!$C$4,$E54="Equipe (todos)"),$A54&gt;=Atleta!$C$5),MAX($U$7:U53)+1,0))</f>
        <v>0</v>
      </c>
    </row>
    <row r="55" customFormat="false" ht="15" hidden="false" customHeight="false" outlineLevel="0" collapsed="false">
      <c r="A55" s="21"/>
      <c r="B55" s="33" t="n">
        <f aca="false">IF($A55="",0,INT(($A55-Macrociclo!$C$11)/7)+1)</f>
        <v>0</v>
      </c>
      <c r="C55" s="22"/>
      <c r="D55" s="22"/>
      <c r="E55" s="20"/>
      <c r="F55" s="22"/>
      <c r="G55" s="20"/>
      <c r="H55" s="19" t="str">
        <f aca="false">IFERROR(INDEX(Exercícios!$C$7:$C$206,MATCH($G55,Exercícios!$B$7:$B$206,0)),"")</f>
        <v/>
      </c>
      <c r="I55" s="19" t="str">
        <f aca="false">IFERROR(INDEX(Exercícios!$D$7:$D$206,MATCH($G55,Exercícios!$B$7:$B$206,0)),"")</f>
        <v/>
      </c>
      <c r="J55" s="19" t="str">
        <f aca="false">IFERROR(INDEX(Exercícios!$E$7:$E$206,MATCH($G55,Exercícios!$B$7:$B$206,0)),"")</f>
        <v/>
      </c>
      <c r="K55" s="22"/>
      <c r="L55" s="22"/>
      <c r="M55" s="20"/>
      <c r="N55" s="22"/>
      <c r="O55" s="22"/>
      <c r="P55" s="22"/>
      <c r="Q55" s="19" t="n">
        <f aca="false">IFERROR($K55*$L55,"")</f>
        <v>0</v>
      </c>
      <c r="R55" s="48" t="n">
        <f aca="false">IF(OR($O55="",$P55=""),0,$O55*$P55)</f>
        <v>0</v>
      </c>
      <c r="S55" s="20"/>
      <c r="T55" s="20"/>
      <c r="U55" s="33" t="n">
        <f aca="false">IF($A55="",0,IF(AND(OR($E55=Atleta!$C$4,$E55="Equipe (todos)"),$A55&gt;=Atleta!$C$5),MAX($U$7:U54)+1,0))</f>
        <v>0</v>
      </c>
    </row>
    <row r="56" customFormat="false" ht="15" hidden="false" customHeight="false" outlineLevel="0" collapsed="false">
      <c r="A56" s="21"/>
      <c r="B56" s="33" t="n">
        <f aca="false">IF($A56="",0,INT(($A56-Macrociclo!$C$11)/7)+1)</f>
        <v>0</v>
      </c>
      <c r="C56" s="22"/>
      <c r="D56" s="22"/>
      <c r="E56" s="20"/>
      <c r="F56" s="22"/>
      <c r="G56" s="20"/>
      <c r="H56" s="19" t="str">
        <f aca="false">IFERROR(INDEX(Exercícios!$C$7:$C$206,MATCH($G56,Exercícios!$B$7:$B$206,0)),"")</f>
        <v/>
      </c>
      <c r="I56" s="19" t="str">
        <f aca="false">IFERROR(INDEX(Exercícios!$D$7:$D$206,MATCH($G56,Exercícios!$B$7:$B$206,0)),"")</f>
        <v/>
      </c>
      <c r="J56" s="19" t="str">
        <f aca="false">IFERROR(INDEX(Exercícios!$E$7:$E$206,MATCH($G56,Exercícios!$B$7:$B$206,0)),"")</f>
        <v/>
      </c>
      <c r="K56" s="22"/>
      <c r="L56" s="22"/>
      <c r="M56" s="20"/>
      <c r="N56" s="22"/>
      <c r="O56" s="22"/>
      <c r="P56" s="22"/>
      <c r="Q56" s="19" t="n">
        <f aca="false">IFERROR($K56*$L56,"")</f>
        <v>0</v>
      </c>
      <c r="R56" s="48" t="n">
        <f aca="false">IF(OR($O56="",$P56=""),0,$O56*$P56)</f>
        <v>0</v>
      </c>
      <c r="S56" s="20"/>
      <c r="T56" s="20"/>
      <c r="U56" s="33" t="n">
        <f aca="false">IF($A56="",0,IF(AND(OR($E56=Atleta!$C$4,$E56="Equipe (todos)"),$A56&gt;=Atleta!$C$5),MAX($U$7:U55)+1,0))</f>
        <v>0</v>
      </c>
    </row>
    <row r="57" customFormat="false" ht="15" hidden="false" customHeight="false" outlineLevel="0" collapsed="false">
      <c r="A57" s="21"/>
      <c r="B57" s="33" t="n">
        <f aca="false">IF($A57="",0,INT(($A57-Macrociclo!$C$11)/7)+1)</f>
        <v>0</v>
      </c>
      <c r="C57" s="22"/>
      <c r="D57" s="22"/>
      <c r="E57" s="20"/>
      <c r="F57" s="22"/>
      <c r="G57" s="20"/>
      <c r="H57" s="19" t="str">
        <f aca="false">IFERROR(INDEX(Exercícios!$C$7:$C$206,MATCH($G57,Exercícios!$B$7:$B$206,0)),"")</f>
        <v/>
      </c>
      <c r="I57" s="19" t="str">
        <f aca="false">IFERROR(INDEX(Exercícios!$D$7:$D$206,MATCH($G57,Exercícios!$B$7:$B$206,0)),"")</f>
        <v/>
      </c>
      <c r="J57" s="19" t="str">
        <f aca="false">IFERROR(INDEX(Exercícios!$E$7:$E$206,MATCH($G57,Exercícios!$B$7:$B$206,0)),"")</f>
        <v/>
      </c>
      <c r="K57" s="22"/>
      <c r="L57" s="22"/>
      <c r="M57" s="20"/>
      <c r="N57" s="22"/>
      <c r="O57" s="22"/>
      <c r="P57" s="22"/>
      <c r="Q57" s="19" t="n">
        <f aca="false">IFERROR($K57*$L57,"")</f>
        <v>0</v>
      </c>
      <c r="R57" s="48" t="n">
        <f aca="false">IF(OR($O57="",$P57=""),0,$O57*$P57)</f>
        <v>0</v>
      </c>
      <c r="S57" s="20"/>
      <c r="T57" s="20"/>
      <c r="U57" s="33" t="n">
        <f aca="false">IF($A57="",0,IF(AND(OR($E57=Atleta!$C$4,$E57="Equipe (todos)"),$A57&gt;=Atleta!$C$5),MAX($U$7:U56)+1,0))</f>
        <v>0</v>
      </c>
    </row>
    <row r="58" customFormat="false" ht="15" hidden="false" customHeight="false" outlineLevel="0" collapsed="false">
      <c r="A58" s="21"/>
      <c r="B58" s="33" t="n">
        <f aca="false">IF($A58="",0,INT(($A58-Macrociclo!$C$11)/7)+1)</f>
        <v>0</v>
      </c>
      <c r="C58" s="22"/>
      <c r="D58" s="22"/>
      <c r="E58" s="20"/>
      <c r="F58" s="22"/>
      <c r="G58" s="20"/>
      <c r="H58" s="19" t="str">
        <f aca="false">IFERROR(INDEX(Exercícios!$C$7:$C$206,MATCH($G58,Exercícios!$B$7:$B$206,0)),"")</f>
        <v/>
      </c>
      <c r="I58" s="19" t="str">
        <f aca="false">IFERROR(INDEX(Exercícios!$D$7:$D$206,MATCH($G58,Exercícios!$B$7:$B$206,0)),"")</f>
        <v/>
      </c>
      <c r="J58" s="19" t="str">
        <f aca="false">IFERROR(INDEX(Exercícios!$E$7:$E$206,MATCH($G58,Exercícios!$B$7:$B$206,0)),"")</f>
        <v/>
      </c>
      <c r="K58" s="22"/>
      <c r="L58" s="22"/>
      <c r="M58" s="20"/>
      <c r="N58" s="22"/>
      <c r="O58" s="22"/>
      <c r="P58" s="22"/>
      <c r="Q58" s="19" t="n">
        <f aca="false">IFERROR($K58*$L58,"")</f>
        <v>0</v>
      </c>
      <c r="R58" s="48" t="n">
        <f aca="false">IF(OR($O58="",$P58=""),0,$O58*$P58)</f>
        <v>0</v>
      </c>
      <c r="S58" s="20"/>
      <c r="T58" s="20"/>
      <c r="U58" s="33" t="n">
        <f aca="false">IF($A58="",0,IF(AND(OR($E58=Atleta!$C$4,$E58="Equipe (todos)"),$A58&gt;=Atleta!$C$5),MAX($U$7:U57)+1,0))</f>
        <v>0</v>
      </c>
    </row>
    <row r="59" customFormat="false" ht="15" hidden="false" customHeight="false" outlineLevel="0" collapsed="false">
      <c r="A59" s="21"/>
      <c r="B59" s="33" t="n">
        <f aca="false">IF($A59="",0,INT(($A59-Macrociclo!$C$11)/7)+1)</f>
        <v>0</v>
      </c>
      <c r="C59" s="22"/>
      <c r="D59" s="22"/>
      <c r="E59" s="20"/>
      <c r="F59" s="22"/>
      <c r="G59" s="20"/>
      <c r="H59" s="19" t="str">
        <f aca="false">IFERROR(INDEX(Exercícios!$C$7:$C$206,MATCH($G59,Exercícios!$B$7:$B$206,0)),"")</f>
        <v/>
      </c>
      <c r="I59" s="19" t="str">
        <f aca="false">IFERROR(INDEX(Exercícios!$D$7:$D$206,MATCH($G59,Exercícios!$B$7:$B$206,0)),"")</f>
        <v/>
      </c>
      <c r="J59" s="19" t="str">
        <f aca="false">IFERROR(INDEX(Exercícios!$E$7:$E$206,MATCH($G59,Exercícios!$B$7:$B$206,0)),"")</f>
        <v/>
      </c>
      <c r="K59" s="22"/>
      <c r="L59" s="22"/>
      <c r="M59" s="20"/>
      <c r="N59" s="22"/>
      <c r="O59" s="22"/>
      <c r="P59" s="22"/>
      <c r="Q59" s="19" t="n">
        <f aca="false">IFERROR($K59*$L59,"")</f>
        <v>0</v>
      </c>
      <c r="R59" s="48" t="n">
        <f aca="false">IF(OR($O59="",$P59=""),0,$O59*$P59)</f>
        <v>0</v>
      </c>
      <c r="S59" s="20"/>
      <c r="T59" s="20"/>
      <c r="U59" s="33" t="n">
        <f aca="false">IF($A59="",0,IF(AND(OR($E59=Atleta!$C$4,$E59="Equipe (todos)"),$A59&gt;=Atleta!$C$5),MAX($U$7:U58)+1,0))</f>
        <v>0</v>
      </c>
    </row>
    <row r="60" customFormat="false" ht="15" hidden="false" customHeight="false" outlineLevel="0" collapsed="false">
      <c r="A60" s="21"/>
      <c r="B60" s="33" t="n">
        <f aca="false">IF($A60="",0,INT(($A60-Macrociclo!$C$11)/7)+1)</f>
        <v>0</v>
      </c>
      <c r="C60" s="22"/>
      <c r="D60" s="22"/>
      <c r="E60" s="20"/>
      <c r="F60" s="22"/>
      <c r="G60" s="20"/>
      <c r="H60" s="19" t="str">
        <f aca="false">IFERROR(INDEX(Exercícios!$C$7:$C$206,MATCH($G60,Exercícios!$B$7:$B$206,0)),"")</f>
        <v/>
      </c>
      <c r="I60" s="19" t="str">
        <f aca="false">IFERROR(INDEX(Exercícios!$D$7:$D$206,MATCH($G60,Exercícios!$B$7:$B$206,0)),"")</f>
        <v/>
      </c>
      <c r="J60" s="19" t="str">
        <f aca="false">IFERROR(INDEX(Exercícios!$E$7:$E$206,MATCH($G60,Exercícios!$B$7:$B$206,0)),"")</f>
        <v/>
      </c>
      <c r="K60" s="22"/>
      <c r="L60" s="22"/>
      <c r="M60" s="20"/>
      <c r="N60" s="22"/>
      <c r="O60" s="22"/>
      <c r="P60" s="22"/>
      <c r="Q60" s="19" t="n">
        <f aca="false">IFERROR($K60*$L60,"")</f>
        <v>0</v>
      </c>
      <c r="R60" s="48" t="n">
        <f aca="false">IF(OR($O60="",$P60=""),0,$O60*$P60)</f>
        <v>0</v>
      </c>
      <c r="S60" s="20"/>
      <c r="T60" s="20"/>
      <c r="U60" s="33" t="n">
        <f aca="false">IF($A60="",0,IF(AND(OR($E60=Atleta!$C$4,$E60="Equipe (todos)"),$A60&gt;=Atleta!$C$5),MAX($U$7:U59)+1,0))</f>
        <v>0</v>
      </c>
    </row>
    <row r="61" customFormat="false" ht="15" hidden="false" customHeight="false" outlineLevel="0" collapsed="false">
      <c r="A61" s="21"/>
      <c r="B61" s="33" t="n">
        <f aca="false">IF($A61="",0,INT(($A61-Macrociclo!$C$11)/7)+1)</f>
        <v>0</v>
      </c>
      <c r="C61" s="22"/>
      <c r="D61" s="22"/>
      <c r="E61" s="20"/>
      <c r="F61" s="22"/>
      <c r="G61" s="20"/>
      <c r="H61" s="19" t="str">
        <f aca="false">IFERROR(INDEX(Exercícios!$C$7:$C$206,MATCH($G61,Exercícios!$B$7:$B$206,0)),"")</f>
        <v/>
      </c>
      <c r="I61" s="19" t="str">
        <f aca="false">IFERROR(INDEX(Exercícios!$D$7:$D$206,MATCH($G61,Exercícios!$B$7:$B$206,0)),"")</f>
        <v/>
      </c>
      <c r="J61" s="19" t="str">
        <f aca="false">IFERROR(INDEX(Exercícios!$E$7:$E$206,MATCH($G61,Exercícios!$B$7:$B$206,0)),"")</f>
        <v/>
      </c>
      <c r="K61" s="22"/>
      <c r="L61" s="22"/>
      <c r="M61" s="20"/>
      <c r="N61" s="22"/>
      <c r="O61" s="22"/>
      <c r="P61" s="22"/>
      <c r="Q61" s="19" t="n">
        <f aca="false">IFERROR($K61*$L61,"")</f>
        <v>0</v>
      </c>
      <c r="R61" s="48" t="n">
        <f aca="false">IF(OR($O61="",$P61=""),0,$O61*$P61)</f>
        <v>0</v>
      </c>
      <c r="S61" s="20"/>
      <c r="T61" s="20"/>
      <c r="U61" s="33" t="n">
        <f aca="false">IF($A61="",0,IF(AND(OR($E61=Atleta!$C$4,$E61="Equipe (todos)"),$A61&gt;=Atleta!$C$5),MAX($U$7:U60)+1,0))</f>
        <v>0</v>
      </c>
    </row>
    <row r="62" customFormat="false" ht="15" hidden="false" customHeight="false" outlineLevel="0" collapsed="false">
      <c r="A62" s="21"/>
      <c r="B62" s="33" t="n">
        <f aca="false">IF($A62="",0,INT(($A62-Macrociclo!$C$11)/7)+1)</f>
        <v>0</v>
      </c>
      <c r="C62" s="22"/>
      <c r="D62" s="22"/>
      <c r="E62" s="20"/>
      <c r="F62" s="22"/>
      <c r="G62" s="20"/>
      <c r="H62" s="19" t="str">
        <f aca="false">IFERROR(INDEX(Exercícios!$C$7:$C$206,MATCH($G62,Exercícios!$B$7:$B$206,0)),"")</f>
        <v/>
      </c>
      <c r="I62" s="19" t="str">
        <f aca="false">IFERROR(INDEX(Exercícios!$D$7:$D$206,MATCH($G62,Exercícios!$B$7:$B$206,0)),"")</f>
        <v/>
      </c>
      <c r="J62" s="19" t="str">
        <f aca="false">IFERROR(INDEX(Exercícios!$E$7:$E$206,MATCH($G62,Exercícios!$B$7:$B$206,0)),"")</f>
        <v/>
      </c>
      <c r="K62" s="22"/>
      <c r="L62" s="22"/>
      <c r="M62" s="20"/>
      <c r="N62" s="22"/>
      <c r="O62" s="22"/>
      <c r="P62" s="22"/>
      <c r="Q62" s="19" t="n">
        <f aca="false">IFERROR($K62*$L62,"")</f>
        <v>0</v>
      </c>
      <c r="R62" s="48" t="n">
        <f aca="false">IF(OR($O62="",$P62=""),0,$O62*$P62)</f>
        <v>0</v>
      </c>
      <c r="S62" s="20"/>
      <c r="T62" s="20"/>
      <c r="U62" s="33" t="n">
        <f aca="false">IF($A62="",0,IF(AND(OR($E62=Atleta!$C$4,$E62="Equipe (todos)"),$A62&gt;=Atleta!$C$5),MAX($U$7:U61)+1,0))</f>
        <v>0</v>
      </c>
    </row>
    <row r="63" customFormat="false" ht="15" hidden="false" customHeight="false" outlineLevel="0" collapsed="false">
      <c r="A63" s="21"/>
      <c r="B63" s="33" t="n">
        <f aca="false">IF($A63="",0,INT(($A63-Macrociclo!$C$11)/7)+1)</f>
        <v>0</v>
      </c>
      <c r="C63" s="22"/>
      <c r="D63" s="22"/>
      <c r="E63" s="20"/>
      <c r="F63" s="22"/>
      <c r="G63" s="20"/>
      <c r="H63" s="19" t="str">
        <f aca="false">IFERROR(INDEX(Exercícios!$C$7:$C$206,MATCH($G63,Exercícios!$B$7:$B$206,0)),"")</f>
        <v/>
      </c>
      <c r="I63" s="19" t="str">
        <f aca="false">IFERROR(INDEX(Exercícios!$D$7:$D$206,MATCH($G63,Exercícios!$B$7:$B$206,0)),"")</f>
        <v/>
      </c>
      <c r="J63" s="19" t="str">
        <f aca="false">IFERROR(INDEX(Exercícios!$E$7:$E$206,MATCH($G63,Exercícios!$B$7:$B$206,0)),"")</f>
        <v/>
      </c>
      <c r="K63" s="22"/>
      <c r="L63" s="22"/>
      <c r="M63" s="20"/>
      <c r="N63" s="22"/>
      <c r="O63" s="22"/>
      <c r="P63" s="22"/>
      <c r="Q63" s="19" t="n">
        <f aca="false">IFERROR($K63*$L63,"")</f>
        <v>0</v>
      </c>
      <c r="R63" s="48" t="n">
        <f aca="false">IF(OR($O63="",$P63=""),0,$O63*$P63)</f>
        <v>0</v>
      </c>
      <c r="S63" s="20"/>
      <c r="T63" s="20"/>
      <c r="U63" s="33" t="n">
        <f aca="false">IF($A63="",0,IF(AND(OR($E63=Atleta!$C$4,$E63="Equipe (todos)"),$A63&gt;=Atleta!$C$5),MAX($U$7:U62)+1,0))</f>
        <v>0</v>
      </c>
    </row>
    <row r="64" customFormat="false" ht="15" hidden="false" customHeight="false" outlineLevel="0" collapsed="false">
      <c r="A64" s="21"/>
      <c r="B64" s="33" t="n">
        <f aca="false">IF($A64="",0,INT(($A64-Macrociclo!$C$11)/7)+1)</f>
        <v>0</v>
      </c>
      <c r="C64" s="22"/>
      <c r="D64" s="22"/>
      <c r="E64" s="20"/>
      <c r="F64" s="22"/>
      <c r="G64" s="20"/>
      <c r="H64" s="19" t="str">
        <f aca="false">IFERROR(INDEX(Exercícios!$C$7:$C$206,MATCH($G64,Exercícios!$B$7:$B$206,0)),"")</f>
        <v/>
      </c>
      <c r="I64" s="19" t="str">
        <f aca="false">IFERROR(INDEX(Exercícios!$D$7:$D$206,MATCH($G64,Exercícios!$B$7:$B$206,0)),"")</f>
        <v/>
      </c>
      <c r="J64" s="19" t="str">
        <f aca="false">IFERROR(INDEX(Exercícios!$E$7:$E$206,MATCH($G64,Exercícios!$B$7:$B$206,0)),"")</f>
        <v/>
      </c>
      <c r="K64" s="22"/>
      <c r="L64" s="22"/>
      <c r="M64" s="20"/>
      <c r="N64" s="22"/>
      <c r="O64" s="22"/>
      <c r="P64" s="22"/>
      <c r="Q64" s="19" t="n">
        <f aca="false">IFERROR($K64*$L64,"")</f>
        <v>0</v>
      </c>
      <c r="R64" s="48" t="n">
        <f aca="false">IF(OR($O64="",$P64=""),0,$O64*$P64)</f>
        <v>0</v>
      </c>
      <c r="S64" s="20"/>
      <c r="T64" s="20"/>
      <c r="U64" s="33" t="n">
        <f aca="false">IF($A64="",0,IF(AND(OR($E64=Atleta!$C$4,$E64="Equipe (todos)"),$A64&gt;=Atleta!$C$5),MAX($U$7:U63)+1,0))</f>
        <v>0</v>
      </c>
    </row>
    <row r="65" customFormat="false" ht="15" hidden="false" customHeight="false" outlineLevel="0" collapsed="false">
      <c r="A65" s="21"/>
      <c r="B65" s="33" t="n">
        <f aca="false">IF($A65="",0,INT(($A65-Macrociclo!$C$11)/7)+1)</f>
        <v>0</v>
      </c>
      <c r="C65" s="22"/>
      <c r="D65" s="22"/>
      <c r="E65" s="20"/>
      <c r="F65" s="22"/>
      <c r="G65" s="20"/>
      <c r="H65" s="19" t="str">
        <f aca="false">IFERROR(INDEX(Exercícios!$C$7:$C$206,MATCH($G65,Exercícios!$B$7:$B$206,0)),"")</f>
        <v/>
      </c>
      <c r="I65" s="19" t="str">
        <f aca="false">IFERROR(INDEX(Exercícios!$D$7:$D$206,MATCH($G65,Exercícios!$B$7:$B$206,0)),"")</f>
        <v/>
      </c>
      <c r="J65" s="19" t="str">
        <f aca="false">IFERROR(INDEX(Exercícios!$E$7:$E$206,MATCH($G65,Exercícios!$B$7:$B$206,0)),"")</f>
        <v/>
      </c>
      <c r="K65" s="22"/>
      <c r="L65" s="22"/>
      <c r="M65" s="20"/>
      <c r="N65" s="22"/>
      <c r="O65" s="22"/>
      <c r="P65" s="22"/>
      <c r="Q65" s="19" t="n">
        <f aca="false">IFERROR($K65*$L65,"")</f>
        <v>0</v>
      </c>
      <c r="R65" s="48" t="n">
        <f aca="false">IF(OR($O65="",$P65=""),0,$O65*$P65)</f>
        <v>0</v>
      </c>
      <c r="S65" s="20"/>
      <c r="T65" s="20"/>
      <c r="U65" s="33" t="n">
        <f aca="false">IF($A65="",0,IF(AND(OR($E65=Atleta!$C$4,$E65="Equipe (todos)"),$A65&gt;=Atleta!$C$5),MAX($U$7:U64)+1,0))</f>
        <v>0</v>
      </c>
    </row>
    <row r="66" customFormat="false" ht="15" hidden="false" customHeight="false" outlineLevel="0" collapsed="false">
      <c r="A66" s="21"/>
      <c r="B66" s="33" t="n">
        <f aca="false">IF($A66="",0,INT(($A66-Macrociclo!$C$11)/7)+1)</f>
        <v>0</v>
      </c>
      <c r="C66" s="22"/>
      <c r="D66" s="22"/>
      <c r="E66" s="20"/>
      <c r="F66" s="22"/>
      <c r="G66" s="20"/>
      <c r="H66" s="19" t="str">
        <f aca="false">IFERROR(INDEX(Exercícios!$C$7:$C$206,MATCH($G66,Exercícios!$B$7:$B$206,0)),"")</f>
        <v/>
      </c>
      <c r="I66" s="19" t="str">
        <f aca="false">IFERROR(INDEX(Exercícios!$D$7:$D$206,MATCH($G66,Exercícios!$B$7:$B$206,0)),"")</f>
        <v/>
      </c>
      <c r="J66" s="19" t="str">
        <f aca="false">IFERROR(INDEX(Exercícios!$E$7:$E$206,MATCH($G66,Exercícios!$B$7:$B$206,0)),"")</f>
        <v/>
      </c>
      <c r="K66" s="22"/>
      <c r="L66" s="22"/>
      <c r="M66" s="20"/>
      <c r="N66" s="22"/>
      <c r="O66" s="22"/>
      <c r="P66" s="22"/>
      <c r="Q66" s="19" t="n">
        <f aca="false">IFERROR($K66*$L66,"")</f>
        <v>0</v>
      </c>
      <c r="R66" s="48" t="n">
        <f aca="false">IF(OR($O66="",$P66=""),0,$O66*$P66)</f>
        <v>0</v>
      </c>
      <c r="S66" s="20"/>
      <c r="T66" s="20"/>
      <c r="U66" s="33" t="n">
        <f aca="false">IF($A66="",0,IF(AND(OR($E66=Atleta!$C$4,$E66="Equipe (todos)"),$A66&gt;=Atleta!$C$5),MAX($U$7:U65)+1,0))</f>
        <v>0</v>
      </c>
    </row>
    <row r="67" customFormat="false" ht="15" hidden="false" customHeight="false" outlineLevel="0" collapsed="false">
      <c r="A67" s="21"/>
      <c r="B67" s="33" t="n">
        <f aca="false">IF($A67="",0,INT(($A67-Macrociclo!$C$11)/7)+1)</f>
        <v>0</v>
      </c>
      <c r="C67" s="22"/>
      <c r="D67" s="22"/>
      <c r="E67" s="20"/>
      <c r="F67" s="22"/>
      <c r="G67" s="20"/>
      <c r="H67" s="19" t="str">
        <f aca="false">IFERROR(INDEX(Exercícios!$C$7:$C$206,MATCH($G67,Exercícios!$B$7:$B$206,0)),"")</f>
        <v/>
      </c>
      <c r="I67" s="19" t="str">
        <f aca="false">IFERROR(INDEX(Exercícios!$D$7:$D$206,MATCH($G67,Exercícios!$B$7:$B$206,0)),"")</f>
        <v/>
      </c>
      <c r="J67" s="19" t="str">
        <f aca="false">IFERROR(INDEX(Exercícios!$E$7:$E$206,MATCH($G67,Exercícios!$B$7:$B$206,0)),"")</f>
        <v/>
      </c>
      <c r="K67" s="22"/>
      <c r="L67" s="22"/>
      <c r="M67" s="20"/>
      <c r="N67" s="22"/>
      <c r="O67" s="22"/>
      <c r="P67" s="22"/>
      <c r="Q67" s="19" t="n">
        <f aca="false">IFERROR($K67*$L67,"")</f>
        <v>0</v>
      </c>
      <c r="R67" s="48" t="n">
        <f aca="false">IF(OR($O67="",$P67=""),0,$O67*$P67)</f>
        <v>0</v>
      </c>
      <c r="S67" s="20"/>
      <c r="T67" s="20"/>
      <c r="U67" s="33" t="n">
        <f aca="false">IF($A67="",0,IF(AND(OR($E67=Atleta!$C$4,$E67="Equipe (todos)"),$A67&gt;=Atleta!$C$5),MAX($U$7:U66)+1,0))</f>
        <v>0</v>
      </c>
    </row>
    <row r="68" customFormat="false" ht="15" hidden="false" customHeight="false" outlineLevel="0" collapsed="false">
      <c r="A68" s="21"/>
      <c r="B68" s="33" t="n">
        <f aca="false">IF($A68="",0,INT(($A68-Macrociclo!$C$11)/7)+1)</f>
        <v>0</v>
      </c>
      <c r="C68" s="22"/>
      <c r="D68" s="22"/>
      <c r="E68" s="20"/>
      <c r="F68" s="22"/>
      <c r="G68" s="20"/>
      <c r="H68" s="19" t="str">
        <f aca="false">IFERROR(INDEX(Exercícios!$C$7:$C$206,MATCH($G68,Exercícios!$B$7:$B$206,0)),"")</f>
        <v/>
      </c>
      <c r="I68" s="19" t="str">
        <f aca="false">IFERROR(INDEX(Exercícios!$D$7:$D$206,MATCH($G68,Exercícios!$B$7:$B$206,0)),"")</f>
        <v/>
      </c>
      <c r="J68" s="19" t="str">
        <f aca="false">IFERROR(INDEX(Exercícios!$E$7:$E$206,MATCH($G68,Exercícios!$B$7:$B$206,0)),"")</f>
        <v/>
      </c>
      <c r="K68" s="22"/>
      <c r="L68" s="22"/>
      <c r="M68" s="20"/>
      <c r="N68" s="22"/>
      <c r="O68" s="22"/>
      <c r="P68" s="22"/>
      <c r="Q68" s="19" t="n">
        <f aca="false">IFERROR($K68*$L68,"")</f>
        <v>0</v>
      </c>
      <c r="R68" s="48" t="n">
        <f aca="false">IF(OR($O68="",$P68=""),0,$O68*$P68)</f>
        <v>0</v>
      </c>
      <c r="S68" s="20"/>
      <c r="T68" s="20"/>
      <c r="U68" s="33" t="n">
        <f aca="false">IF($A68="",0,IF(AND(OR($E68=Atleta!$C$4,$E68="Equipe (todos)"),$A68&gt;=Atleta!$C$5),MAX($U$7:U67)+1,0))</f>
        <v>0</v>
      </c>
    </row>
    <row r="69" customFormat="false" ht="15" hidden="false" customHeight="false" outlineLevel="0" collapsed="false">
      <c r="A69" s="21"/>
      <c r="B69" s="33" t="n">
        <f aca="false">IF($A69="",0,INT(($A69-Macrociclo!$C$11)/7)+1)</f>
        <v>0</v>
      </c>
      <c r="C69" s="22"/>
      <c r="D69" s="22"/>
      <c r="E69" s="20"/>
      <c r="F69" s="22"/>
      <c r="G69" s="20"/>
      <c r="H69" s="19" t="str">
        <f aca="false">IFERROR(INDEX(Exercícios!$C$7:$C$206,MATCH($G69,Exercícios!$B$7:$B$206,0)),"")</f>
        <v/>
      </c>
      <c r="I69" s="19" t="str">
        <f aca="false">IFERROR(INDEX(Exercícios!$D$7:$D$206,MATCH($G69,Exercícios!$B$7:$B$206,0)),"")</f>
        <v/>
      </c>
      <c r="J69" s="19" t="str">
        <f aca="false">IFERROR(INDEX(Exercícios!$E$7:$E$206,MATCH($G69,Exercícios!$B$7:$B$206,0)),"")</f>
        <v/>
      </c>
      <c r="K69" s="22"/>
      <c r="L69" s="22"/>
      <c r="M69" s="20"/>
      <c r="N69" s="22"/>
      <c r="O69" s="22"/>
      <c r="P69" s="22"/>
      <c r="Q69" s="19" t="n">
        <f aca="false">IFERROR($K69*$L69,"")</f>
        <v>0</v>
      </c>
      <c r="R69" s="48" t="n">
        <f aca="false">IF(OR($O69="",$P69=""),0,$O69*$P69)</f>
        <v>0</v>
      </c>
      <c r="S69" s="20"/>
      <c r="T69" s="20"/>
      <c r="U69" s="33" t="n">
        <f aca="false">IF($A69="",0,IF(AND(OR($E69=Atleta!$C$4,$E69="Equipe (todos)"),$A69&gt;=Atleta!$C$5),MAX($U$7:U68)+1,0))</f>
        <v>0</v>
      </c>
    </row>
    <row r="70" customFormat="false" ht="15" hidden="false" customHeight="false" outlineLevel="0" collapsed="false">
      <c r="A70" s="21"/>
      <c r="B70" s="33" t="n">
        <f aca="false">IF($A70="",0,INT(($A70-Macrociclo!$C$11)/7)+1)</f>
        <v>0</v>
      </c>
      <c r="C70" s="22"/>
      <c r="D70" s="22"/>
      <c r="E70" s="20"/>
      <c r="F70" s="22"/>
      <c r="G70" s="20"/>
      <c r="H70" s="19" t="str">
        <f aca="false">IFERROR(INDEX(Exercícios!$C$7:$C$206,MATCH($G70,Exercícios!$B$7:$B$206,0)),"")</f>
        <v/>
      </c>
      <c r="I70" s="19" t="str">
        <f aca="false">IFERROR(INDEX(Exercícios!$D$7:$D$206,MATCH($G70,Exercícios!$B$7:$B$206,0)),"")</f>
        <v/>
      </c>
      <c r="J70" s="19" t="str">
        <f aca="false">IFERROR(INDEX(Exercícios!$E$7:$E$206,MATCH($G70,Exercícios!$B$7:$B$206,0)),"")</f>
        <v/>
      </c>
      <c r="K70" s="22"/>
      <c r="L70" s="22"/>
      <c r="M70" s="20"/>
      <c r="N70" s="22"/>
      <c r="O70" s="22"/>
      <c r="P70" s="22"/>
      <c r="Q70" s="19" t="n">
        <f aca="false">IFERROR($K70*$L70,"")</f>
        <v>0</v>
      </c>
      <c r="R70" s="48" t="n">
        <f aca="false">IF(OR($O70="",$P70=""),0,$O70*$P70)</f>
        <v>0</v>
      </c>
      <c r="S70" s="20"/>
      <c r="T70" s="20"/>
      <c r="U70" s="33" t="n">
        <f aca="false">IF($A70="",0,IF(AND(OR($E70=Atleta!$C$4,$E70="Equipe (todos)"),$A70&gt;=Atleta!$C$5),MAX($U$7:U69)+1,0))</f>
        <v>0</v>
      </c>
    </row>
    <row r="71" customFormat="false" ht="15" hidden="false" customHeight="false" outlineLevel="0" collapsed="false">
      <c r="A71" s="21"/>
      <c r="B71" s="33" t="n">
        <f aca="false">IF($A71="",0,INT(($A71-Macrociclo!$C$11)/7)+1)</f>
        <v>0</v>
      </c>
      <c r="C71" s="22"/>
      <c r="D71" s="22"/>
      <c r="E71" s="20"/>
      <c r="F71" s="22"/>
      <c r="G71" s="20"/>
      <c r="H71" s="19" t="str">
        <f aca="false">IFERROR(INDEX(Exercícios!$C$7:$C$206,MATCH($G71,Exercícios!$B$7:$B$206,0)),"")</f>
        <v/>
      </c>
      <c r="I71" s="19" t="str">
        <f aca="false">IFERROR(INDEX(Exercícios!$D$7:$D$206,MATCH($G71,Exercícios!$B$7:$B$206,0)),"")</f>
        <v/>
      </c>
      <c r="J71" s="19" t="str">
        <f aca="false">IFERROR(INDEX(Exercícios!$E$7:$E$206,MATCH($G71,Exercícios!$B$7:$B$206,0)),"")</f>
        <v/>
      </c>
      <c r="K71" s="22"/>
      <c r="L71" s="22"/>
      <c r="M71" s="20"/>
      <c r="N71" s="22"/>
      <c r="O71" s="22"/>
      <c r="P71" s="22"/>
      <c r="Q71" s="19" t="n">
        <f aca="false">IFERROR($K71*$L71,"")</f>
        <v>0</v>
      </c>
      <c r="R71" s="48" t="n">
        <f aca="false">IF(OR($O71="",$P71=""),0,$O71*$P71)</f>
        <v>0</v>
      </c>
      <c r="S71" s="20"/>
      <c r="T71" s="20"/>
      <c r="U71" s="33" t="n">
        <f aca="false">IF($A71="",0,IF(AND(OR($E71=Atleta!$C$4,$E71="Equipe (todos)"),$A71&gt;=Atleta!$C$5),MAX($U$7:U70)+1,0))</f>
        <v>0</v>
      </c>
    </row>
    <row r="72" customFormat="false" ht="15" hidden="false" customHeight="false" outlineLevel="0" collapsed="false">
      <c r="A72" s="21"/>
      <c r="B72" s="33" t="n">
        <f aca="false">IF($A72="",0,INT(($A72-Macrociclo!$C$11)/7)+1)</f>
        <v>0</v>
      </c>
      <c r="C72" s="22"/>
      <c r="D72" s="22"/>
      <c r="E72" s="20"/>
      <c r="F72" s="22"/>
      <c r="G72" s="20"/>
      <c r="H72" s="19" t="str">
        <f aca="false">IFERROR(INDEX(Exercícios!$C$7:$C$206,MATCH($G72,Exercícios!$B$7:$B$206,0)),"")</f>
        <v/>
      </c>
      <c r="I72" s="19" t="str">
        <f aca="false">IFERROR(INDEX(Exercícios!$D$7:$D$206,MATCH($G72,Exercícios!$B$7:$B$206,0)),"")</f>
        <v/>
      </c>
      <c r="J72" s="19" t="str">
        <f aca="false">IFERROR(INDEX(Exercícios!$E$7:$E$206,MATCH($G72,Exercícios!$B$7:$B$206,0)),"")</f>
        <v/>
      </c>
      <c r="K72" s="22"/>
      <c r="L72" s="22"/>
      <c r="M72" s="20"/>
      <c r="N72" s="22"/>
      <c r="O72" s="22"/>
      <c r="P72" s="22"/>
      <c r="Q72" s="19" t="n">
        <f aca="false">IFERROR($K72*$L72,"")</f>
        <v>0</v>
      </c>
      <c r="R72" s="48" t="n">
        <f aca="false">IF(OR($O72="",$P72=""),0,$O72*$P72)</f>
        <v>0</v>
      </c>
      <c r="S72" s="20"/>
      <c r="T72" s="20"/>
      <c r="U72" s="33" t="n">
        <f aca="false">IF($A72="",0,IF(AND(OR($E72=Atleta!$C$4,$E72="Equipe (todos)"),$A72&gt;=Atleta!$C$5),MAX($U$7:U71)+1,0))</f>
        <v>0</v>
      </c>
    </row>
    <row r="73" customFormat="false" ht="15" hidden="false" customHeight="false" outlineLevel="0" collapsed="false">
      <c r="A73" s="21"/>
      <c r="B73" s="33" t="n">
        <f aca="false">IF($A73="",0,INT(($A73-Macrociclo!$C$11)/7)+1)</f>
        <v>0</v>
      </c>
      <c r="C73" s="22"/>
      <c r="D73" s="22"/>
      <c r="E73" s="20"/>
      <c r="F73" s="22"/>
      <c r="G73" s="20"/>
      <c r="H73" s="19" t="str">
        <f aca="false">IFERROR(INDEX(Exercícios!$C$7:$C$206,MATCH($G73,Exercícios!$B$7:$B$206,0)),"")</f>
        <v/>
      </c>
      <c r="I73" s="19" t="str">
        <f aca="false">IFERROR(INDEX(Exercícios!$D$7:$D$206,MATCH($G73,Exercícios!$B$7:$B$206,0)),"")</f>
        <v/>
      </c>
      <c r="J73" s="19" t="str">
        <f aca="false">IFERROR(INDEX(Exercícios!$E$7:$E$206,MATCH($G73,Exercícios!$B$7:$B$206,0)),"")</f>
        <v/>
      </c>
      <c r="K73" s="22"/>
      <c r="L73" s="22"/>
      <c r="M73" s="20"/>
      <c r="N73" s="22"/>
      <c r="O73" s="22"/>
      <c r="P73" s="22"/>
      <c r="Q73" s="19" t="n">
        <f aca="false">IFERROR($K73*$L73,"")</f>
        <v>0</v>
      </c>
      <c r="R73" s="48" t="n">
        <f aca="false">IF(OR($O73="",$P73=""),0,$O73*$P73)</f>
        <v>0</v>
      </c>
      <c r="S73" s="20"/>
      <c r="T73" s="20"/>
      <c r="U73" s="33" t="n">
        <f aca="false">IF($A73="",0,IF(AND(OR($E73=Atleta!$C$4,$E73="Equipe (todos)"),$A73&gt;=Atleta!$C$5),MAX($U$7:U72)+1,0))</f>
        <v>0</v>
      </c>
    </row>
    <row r="74" customFormat="false" ht="15" hidden="false" customHeight="false" outlineLevel="0" collapsed="false">
      <c r="A74" s="21"/>
      <c r="B74" s="33" t="n">
        <f aca="false">IF($A74="",0,INT(($A74-Macrociclo!$C$11)/7)+1)</f>
        <v>0</v>
      </c>
      <c r="C74" s="22"/>
      <c r="D74" s="22"/>
      <c r="E74" s="20"/>
      <c r="F74" s="22"/>
      <c r="G74" s="20"/>
      <c r="H74" s="19" t="str">
        <f aca="false">IFERROR(INDEX(Exercícios!$C$7:$C$206,MATCH($G74,Exercícios!$B$7:$B$206,0)),"")</f>
        <v/>
      </c>
      <c r="I74" s="19" t="str">
        <f aca="false">IFERROR(INDEX(Exercícios!$D$7:$D$206,MATCH($G74,Exercícios!$B$7:$B$206,0)),"")</f>
        <v/>
      </c>
      <c r="J74" s="19" t="str">
        <f aca="false">IFERROR(INDEX(Exercícios!$E$7:$E$206,MATCH($G74,Exercícios!$B$7:$B$206,0)),"")</f>
        <v/>
      </c>
      <c r="K74" s="22"/>
      <c r="L74" s="22"/>
      <c r="M74" s="20"/>
      <c r="N74" s="22"/>
      <c r="O74" s="22"/>
      <c r="P74" s="22"/>
      <c r="Q74" s="19" t="n">
        <f aca="false">IFERROR($K74*$L74,"")</f>
        <v>0</v>
      </c>
      <c r="R74" s="48" t="n">
        <f aca="false">IF(OR($O74="",$P74=""),0,$O74*$P74)</f>
        <v>0</v>
      </c>
      <c r="S74" s="20"/>
      <c r="T74" s="20"/>
      <c r="U74" s="33" t="n">
        <f aca="false">IF($A74="",0,IF(AND(OR($E74=Atleta!$C$4,$E74="Equipe (todos)"),$A74&gt;=Atleta!$C$5),MAX($U$7:U73)+1,0))</f>
        <v>0</v>
      </c>
    </row>
    <row r="75" customFormat="false" ht="15" hidden="false" customHeight="false" outlineLevel="0" collapsed="false">
      <c r="A75" s="21"/>
      <c r="B75" s="33" t="n">
        <f aca="false">IF($A75="",0,INT(($A75-Macrociclo!$C$11)/7)+1)</f>
        <v>0</v>
      </c>
      <c r="C75" s="22"/>
      <c r="D75" s="22"/>
      <c r="E75" s="20"/>
      <c r="F75" s="22"/>
      <c r="G75" s="20"/>
      <c r="H75" s="19" t="str">
        <f aca="false">IFERROR(INDEX(Exercícios!$C$7:$C$206,MATCH($G75,Exercícios!$B$7:$B$206,0)),"")</f>
        <v/>
      </c>
      <c r="I75" s="19" t="str">
        <f aca="false">IFERROR(INDEX(Exercícios!$D$7:$D$206,MATCH($G75,Exercícios!$B$7:$B$206,0)),"")</f>
        <v/>
      </c>
      <c r="J75" s="19" t="str">
        <f aca="false">IFERROR(INDEX(Exercícios!$E$7:$E$206,MATCH($G75,Exercícios!$B$7:$B$206,0)),"")</f>
        <v/>
      </c>
      <c r="K75" s="22"/>
      <c r="L75" s="22"/>
      <c r="M75" s="20"/>
      <c r="N75" s="22"/>
      <c r="O75" s="22"/>
      <c r="P75" s="22"/>
      <c r="Q75" s="19" t="n">
        <f aca="false">IFERROR($K75*$L75,"")</f>
        <v>0</v>
      </c>
      <c r="R75" s="48" t="n">
        <f aca="false">IF(OR($O75="",$P75=""),0,$O75*$P75)</f>
        <v>0</v>
      </c>
      <c r="S75" s="20"/>
      <c r="T75" s="20"/>
      <c r="U75" s="33" t="n">
        <f aca="false">IF($A75="",0,IF(AND(OR($E75=Atleta!$C$4,$E75="Equipe (todos)"),$A75&gt;=Atleta!$C$5),MAX($U$7:U74)+1,0))</f>
        <v>0</v>
      </c>
    </row>
    <row r="76" customFormat="false" ht="15" hidden="false" customHeight="false" outlineLevel="0" collapsed="false">
      <c r="A76" s="21"/>
      <c r="B76" s="33" t="n">
        <f aca="false">IF($A76="",0,INT(($A76-Macrociclo!$C$11)/7)+1)</f>
        <v>0</v>
      </c>
      <c r="C76" s="22"/>
      <c r="D76" s="22"/>
      <c r="E76" s="20"/>
      <c r="F76" s="22"/>
      <c r="G76" s="20"/>
      <c r="H76" s="19" t="str">
        <f aca="false">IFERROR(INDEX(Exercícios!$C$7:$C$206,MATCH($G76,Exercícios!$B$7:$B$206,0)),"")</f>
        <v/>
      </c>
      <c r="I76" s="19" t="str">
        <f aca="false">IFERROR(INDEX(Exercícios!$D$7:$D$206,MATCH($G76,Exercícios!$B$7:$B$206,0)),"")</f>
        <v/>
      </c>
      <c r="J76" s="19" t="str">
        <f aca="false">IFERROR(INDEX(Exercícios!$E$7:$E$206,MATCH($G76,Exercícios!$B$7:$B$206,0)),"")</f>
        <v/>
      </c>
      <c r="K76" s="22"/>
      <c r="L76" s="22"/>
      <c r="M76" s="20"/>
      <c r="N76" s="22"/>
      <c r="O76" s="22"/>
      <c r="P76" s="22"/>
      <c r="Q76" s="19" t="n">
        <f aca="false">IFERROR($K76*$L76,"")</f>
        <v>0</v>
      </c>
      <c r="R76" s="48" t="n">
        <f aca="false">IF(OR($O76="",$P76=""),0,$O76*$P76)</f>
        <v>0</v>
      </c>
      <c r="S76" s="20"/>
      <c r="T76" s="20"/>
      <c r="U76" s="33" t="n">
        <f aca="false">IF($A76="",0,IF(AND(OR($E76=Atleta!$C$4,$E76="Equipe (todos)"),$A76&gt;=Atleta!$C$5),MAX($U$7:U75)+1,0))</f>
        <v>0</v>
      </c>
    </row>
    <row r="77" customFormat="false" ht="15" hidden="false" customHeight="false" outlineLevel="0" collapsed="false">
      <c r="A77" s="21"/>
      <c r="B77" s="33" t="n">
        <f aca="false">IF($A77="",0,INT(($A77-Macrociclo!$C$11)/7)+1)</f>
        <v>0</v>
      </c>
      <c r="C77" s="22"/>
      <c r="D77" s="22"/>
      <c r="E77" s="20"/>
      <c r="F77" s="22"/>
      <c r="G77" s="20"/>
      <c r="H77" s="19" t="str">
        <f aca="false">IFERROR(INDEX(Exercícios!$C$7:$C$206,MATCH($G77,Exercícios!$B$7:$B$206,0)),"")</f>
        <v/>
      </c>
      <c r="I77" s="19" t="str">
        <f aca="false">IFERROR(INDEX(Exercícios!$D$7:$D$206,MATCH($G77,Exercícios!$B$7:$B$206,0)),"")</f>
        <v/>
      </c>
      <c r="J77" s="19" t="str">
        <f aca="false">IFERROR(INDEX(Exercícios!$E$7:$E$206,MATCH($G77,Exercícios!$B$7:$B$206,0)),"")</f>
        <v/>
      </c>
      <c r="K77" s="22"/>
      <c r="L77" s="22"/>
      <c r="M77" s="20"/>
      <c r="N77" s="22"/>
      <c r="O77" s="22"/>
      <c r="P77" s="22"/>
      <c r="Q77" s="19" t="n">
        <f aca="false">IFERROR($K77*$L77,"")</f>
        <v>0</v>
      </c>
      <c r="R77" s="48" t="n">
        <f aca="false">IF(OR($O77="",$P77=""),0,$O77*$P77)</f>
        <v>0</v>
      </c>
      <c r="S77" s="20"/>
      <c r="T77" s="20"/>
      <c r="U77" s="33" t="n">
        <f aca="false">IF($A77="",0,IF(AND(OR($E77=Atleta!$C$4,$E77="Equipe (todos)"),$A77&gt;=Atleta!$C$5),MAX($U$7:U76)+1,0))</f>
        <v>0</v>
      </c>
    </row>
    <row r="78" customFormat="false" ht="15" hidden="false" customHeight="false" outlineLevel="0" collapsed="false">
      <c r="A78" s="21"/>
      <c r="B78" s="33" t="n">
        <f aca="false">IF($A78="",0,INT(($A78-Macrociclo!$C$11)/7)+1)</f>
        <v>0</v>
      </c>
      <c r="C78" s="22"/>
      <c r="D78" s="22"/>
      <c r="E78" s="20"/>
      <c r="F78" s="22"/>
      <c r="G78" s="20"/>
      <c r="H78" s="19" t="str">
        <f aca="false">IFERROR(INDEX(Exercícios!$C$7:$C$206,MATCH($G78,Exercícios!$B$7:$B$206,0)),"")</f>
        <v/>
      </c>
      <c r="I78" s="19" t="str">
        <f aca="false">IFERROR(INDEX(Exercícios!$D$7:$D$206,MATCH($G78,Exercícios!$B$7:$B$206,0)),"")</f>
        <v/>
      </c>
      <c r="J78" s="19" t="str">
        <f aca="false">IFERROR(INDEX(Exercícios!$E$7:$E$206,MATCH($G78,Exercícios!$B$7:$B$206,0)),"")</f>
        <v/>
      </c>
      <c r="K78" s="22"/>
      <c r="L78" s="22"/>
      <c r="M78" s="20"/>
      <c r="N78" s="22"/>
      <c r="O78" s="22"/>
      <c r="P78" s="22"/>
      <c r="Q78" s="19" t="n">
        <f aca="false">IFERROR($K78*$L78,"")</f>
        <v>0</v>
      </c>
      <c r="R78" s="48" t="n">
        <f aca="false">IF(OR($O78="",$P78=""),0,$O78*$P78)</f>
        <v>0</v>
      </c>
      <c r="S78" s="20"/>
      <c r="T78" s="20"/>
      <c r="U78" s="33" t="n">
        <f aca="false">IF($A78="",0,IF(AND(OR($E78=Atleta!$C$4,$E78="Equipe (todos)"),$A78&gt;=Atleta!$C$5),MAX($U$7:U77)+1,0))</f>
        <v>0</v>
      </c>
    </row>
    <row r="79" customFormat="false" ht="15" hidden="false" customHeight="false" outlineLevel="0" collapsed="false">
      <c r="A79" s="21"/>
      <c r="B79" s="33" t="n">
        <f aca="false">IF($A79="",0,INT(($A79-Macrociclo!$C$11)/7)+1)</f>
        <v>0</v>
      </c>
      <c r="C79" s="22"/>
      <c r="D79" s="22"/>
      <c r="E79" s="20"/>
      <c r="F79" s="22"/>
      <c r="G79" s="20"/>
      <c r="H79" s="19" t="str">
        <f aca="false">IFERROR(INDEX(Exercícios!$C$7:$C$206,MATCH($G79,Exercícios!$B$7:$B$206,0)),"")</f>
        <v/>
      </c>
      <c r="I79" s="19" t="str">
        <f aca="false">IFERROR(INDEX(Exercícios!$D$7:$D$206,MATCH($G79,Exercícios!$B$7:$B$206,0)),"")</f>
        <v/>
      </c>
      <c r="J79" s="19" t="str">
        <f aca="false">IFERROR(INDEX(Exercícios!$E$7:$E$206,MATCH($G79,Exercícios!$B$7:$B$206,0)),"")</f>
        <v/>
      </c>
      <c r="K79" s="22"/>
      <c r="L79" s="22"/>
      <c r="M79" s="20"/>
      <c r="N79" s="22"/>
      <c r="O79" s="22"/>
      <c r="P79" s="22"/>
      <c r="Q79" s="19" t="n">
        <f aca="false">IFERROR($K79*$L79,"")</f>
        <v>0</v>
      </c>
      <c r="R79" s="48" t="n">
        <f aca="false">IF(OR($O79="",$P79=""),0,$O79*$P79)</f>
        <v>0</v>
      </c>
      <c r="S79" s="20"/>
      <c r="T79" s="20"/>
      <c r="U79" s="33" t="n">
        <f aca="false">IF($A79="",0,IF(AND(OR($E79=Atleta!$C$4,$E79="Equipe (todos)"),$A79&gt;=Atleta!$C$5),MAX($U$7:U78)+1,0))</f>
        <v>0</v>
      </c>
    </row>
    <row r="80" customFormat="false" ht="15" hidden="false" customHeight="false" outlineLevel="0" collapsed="false">
      <c r="A80" s="21"/>
      <c r="B80" s="33" t="n">
        <f aca="false">IF($A80="",0,INT(($A80-Macrociclo!$C$11)/7)+1)</f>
        <v>0</v>
      </c>
      <c r="C80" s="22"/>
      <c r="D80" s="22"/>
      <c r="E80" s="20"/>
      <c r="F80" s="22"/>
      <c r="G80" s="20"/>
      <c r="H80" s="19" t="str">
        <f aca="false">IFERROR(INDEX(Exercícios!$C$7:$C$206,MATCH($G80,Exercícios!$B$7:$B$206,0)),"")</f>
        <v/>
      </c>
      <c r="I80" s="19" t="str">
        <f aca="false">IFERROR(INDEX(Exercícios!$D$7:$D$206,MATCH($G80,Exercícios!$B$7:$B$206,0)),"")</f>
        <v/>
      </c>
      <c r="J80" s="19" t="str">
        <f aca="false">IFERROR(INDEX(Exercícios!$E$7:$E$206,MATCH($G80,Exercícios!$B$7:$B$206,0)),"")</f>
        <v/>
      </c>
      <c r="K80" s="22"/>
      <c r="L80" s="22"/>
      <c r="M80" s="20"/>
      <c r="N80" s="22"/>
      <c r="O80" s="22"/>
      <c r="P80" s="22"/>
      <c r="Q80" s="19" t="n">
        <f aca="false">IFERROR($K80*$L80,"")</f>
        <v>0</v>
      </c>
      <c r="R80" s="48" t="n">
        <f aca="false">IF(OR($O80="",$P80=""),0,$O80*$P80)</f>
        <v>0</v>
      </c>
      <c r="S80" s="20"/>
      <c r="T80" s="20"/>
      <c r="U80" s="33" t="n">
        <f aca="false">IF($A80="",0,IF(AND(OR($E80=Atleta!$C$4,$E80="Equipe (todos)"),$A80&gt;=Atleta!$C$5),MAX($U$7:U79)+1,0))</f>
        <v>0</v>
      </c>
    </row>
    <row r="81" customFormat="false" ht="15" hidden="false" customHeight="false" outlineLevel="0" collapsed="false">
      <c r="A81" s="21"/>
      <c r="B81" s="33" t="n">
        <f aca="false">IF($A81="",0,INT(($A81-Macrociclo!$C$11)/7)+1)</f>
        <v>0</v>
      </c>
      <c r="C81" s="22"/>
      <c r="D81" s="22"/>
      <c r="E81" s="20"/>
      <c r="F81" s="22"/>
      <c r="G81" s="20"/>
      <c r="H81" s="19" t="str">
        <f aca="false">IFERROR(INDEX(Exercícios!$C$7:$C$206,MATCH($G81,Exercícios!$B$7:$B$206,0)),"")</f>
        <v/>
      </c>
      <c r="I81" s="19" t="str">
        <f aca="false">IFERROR(INDEX(Exercícios!$D$7:$D$206,MATCH($G81,Exercícios!$B$7:$B$206,0)),"")</f>
        <v/>
      </c>
      <c r="J81" s="19" t="str">
        <f aca="false">IFERROR(INDEX(Exercícios!$E$7:$E$206,MATCH($G81,Exercícios!$B$7:$B$206,0)),"")</f>
        <v/>
      </c>
      <c r="K81" s="22"/>
      <c r="L81" s="22"/>
      <c r="M81" s="20"/>
      <c r="N81" s="22"/>
      <c r="O81" s="22"/>
      <c r="P81" s="22"/>
      <c r="Q81" s="19" t="n">
        <f aca="false">IFERROR($K81*$L81,"")</f>
        <v>0</v>
      </c>
      <c r="R81" s="48" t="n">
        <f aca="false">IF(OR($O81="",$P81=""),0,$O81*$P81)</f>
        <v>0</v>
      </c>
      <c r="S81" s="20"/>
      <c r="T81" s="20"/>
      <c r="U81" s="33" t="n">
        <f aca="false">IF($A81="",0,IF(AND(OR($E81=Atleta!$C$4,$E81="Equipe (todos)"),$A81&gt;=Atleta!$C$5),MAX($U$7:U80)+1,0))</f>
        <v>0</v>
      </c>
    </row>
    <row r="82" customFormat="false" ht="15" hidden="false" customHeight="false" outlineLevel="0" collapsed="false">
      <c r="A82" s="21"/>
      <c r="B82" s="33" t="n">
        <f aca="false">IF($A82="",0,INT(($A82-Macrociclo!$C$11)/7)+1)</f>
        <v>0</v>
      </c>
      <c r="C82" s="22"/>
      <c r="D82" s="22"/>
      <c r="E82" s="20"/>
      <c r="F82" s="22"/>
      <c r="G82" s="20"/>
      <c r="H82" s="19" t="str">
        <f aca="false">IFERROR(INDEX(Exercícios!$C$7:$C$206,MATCH($G82,Exercícios!$B$7:$B$206,0)),"")</f>
        <v/>
      </c>
      <c r="I82" s="19" t="str">
        <f aca="false">IFERROR(INDEX(Exercícios!$D$7:$D$206,MATCH($G82,Exercícios!$B$7:$B$206,0)),"")</f>
        <v/>
      </c>
      <c r="J82" s="19" t="str">
        <f aca="false">IFERROR(INDEX(Exercícios!$E$7:$E$206,MATCH($G82,Exercícios!$B$7:$B$206,0)),"")</f>
        <v/>
      </c>
      <c r="K82" s="22"/>
      <c r="L82" s="22"/>
      <c r="M82" s="20"/>
      <c r="N82" s="22"/>
      <c r="O82" s="22"/>
      <c r="P82" s="22"/>
      <c r="Q82" s="19" t="n">
        <f aca="false">IFERROR($K82*$L82,"")</f>
        <v>0</v>
      </c>
      <c r="R82" s="48" t="n">
        <f aca="false">IF(OR($O82="",$P82=""),0,$O82*$P82)</f>
        <v>0</v>
      </c>
      <c r="S82" s="20"/>
      <c r="T82" s="20"/>
      <c r="U82" s="33" t="n">
        <f aca="false">IF($A82="",0,IF(AND(OR($E82=Atleta!$C$4,$E82="Equipe (todos)"),$A82&gt;=Atleta!$C$5),MAX($U$7:U81)+1,0))</f>
        <v>0</v>
      </c>
    </row>
    <row r="83" customFormat="false" ht="15" hidden="false" customHeight="false" outlineLevel="0" collapsed="false">
      <c r="A83" s="21"/>
      <c r="B83" s="33" t="n">
        <f aca="false">IF($A83="",0,INT(($A83-Macrociclo!$C$11)/7)+1)</f>
        <v>0</v>
      </c>
      <c r="C83" s="22"/>
      <c r="D83" s="22"/>
      <c r="E83" s="20"/>
      <c r="F83" s="22"/>
      <c r="G83" s="20"/>
      <c r="H83" s="19" t="str">
        <f aca="false">IFERROR(INDEX(Exercícios!$C$7:$C$206,MATCH($G83,Exercícios!$B$7:$B$206,0)),"")</f>
        <v/>
      </c>
      <c r="I83" s="19" t="str">
        <f aca="false">IFERROR(INDEX(Exercícios!$D$7:$D$206,MATCH($G83,Exercícios!$B$7:$B$206,0)),"")</f>
        <v/>
      </c>
      <c r="J83" s="19" t="str">
        <f aca="false">IFERROR(INDEX(Exercícios!$E$7:$E$206,MATCH($G83,Exercícios!$B$7:$B$206,0)),"")</f>
        <v/>
      </c>
      <c r="K83" s="22"/>
      <c r="L83" s="22"/>
      <c r="M83" s="20"/>
      <c r="N83" s="22"/>
      <c r="O83" s="22"/>
      <c r="P83" s="22"/>
      <c r="Q83" s="19" t="n">
        <f aca="false">IFERROR($K83*$L83,"")</f>
        <v>0</v>
      </c>
      <c r="R83" s="48" t="n">
        <f aca="false">IF(OR($O83="",$P83=""),0,$O83*$P83)</f>
        <v>0</v>
      </c>
      <c r="S83" s="20"/>
      <c r="T83" s="20"/>
      <c r="U83" s="33" t="n">
        <f aca="false">IF($A83="",0,IF(AND(OR($E83=Atleta!$C$4,$E83="Equipe (todos)"),$A83&gt;=Atleta!$C$5),MAX($U$7:U82)+1,0))</f>
        <v>0</v>
      </c>
    </row>
    <row r="84" customFormat="false" ht="15" hidden="false" customHeight="false" outlineLevel="0" collapsed="false">
      <c r="A84" s="21"/>
      <c r="B84" s="33" t="n">
        <f aca="false">IF($A84="",0,INT(($A84-Macrociclo!$C$11)/7)+1)</f>
        <v>0</v>
      </c>
      <c r="C84" s="22"/>
      <c r="D84" s="22"/>
      <c r="E84" s="20"/>
      <c r="F84" s="22"/>
      <c r="G84" s="20"/>
      <c r="H84" s="19" t="str">
        <f aca="false">IFERROR(INDEX(Exercícios!$C$7:$C$206,MATCH($G84,Exercícios!$B$7:$B$206,0)),"")</f>
        <v/>
      </c>
      <c r="I84" s="19" t="str">
        <f aca="false">IFERROR(INDEX(Exercícios!$D$7:$D$206,MATCH($G84,Exercícios!$B$7:$B$206,0)),"")</f>
        <v/>
      </c>
      <c r="J84" s="19" t="str">
        <f aca="false">IFERROR(INDEX(Exercícios!$E$7:$E$206,MATCH($G84,Exercícios!$B$7:$B$206,0)),"")</f>
        <v/>
      </c>
      <c r="K84" s="22"/>
      <c r="L84" s="22"/>
      <c r="M84" s="20"/>
      <c r="N84" s="22"/>
      <c r="O84" s="22"/>
      <c r="P84" s="22"/>
      <c r="Q84" s="19" t="n">
        <f aca="false">IFERROR($K84*$L84,"")</f>
        <v>0</v>
      </c>
      <c r="R84" s="48" t="n">
        <f aca="false">IF(OR($O84="",$P84=""),0,$O84*$P84)</f>
        <v>0</v>
      </c>
      <c r="S84" s="20"/>
      <c r="T84" s="20"/>
      <c r="U84" s="33" t="n">
        <f aca="false">IF($A84="",0,IF(AND(OR($E84=Atleta!$C$4,$E84="Equipe (todos)"),$A84&gt;=Atleta!$C$5),MAX($U$7:U83)+1,0))</f>
        <v>0</v>
      </c>
    </row>
    <row r="85" customFormat="false" ht="15" hidden="false" customHeight="false" outlineLevel="0" collapsed="false">
      <c r="A85" s="21"/>
      <c r="B85" s="33" t="n">
        <f aca="false">IF($A85="",0,INT(($A85-Macrociclo!$C$11)/7)+1)</f>
        <v>0</v>
      </c>
      <c r="C85" s="22"/>
      <c r="D85" s="22"/>
      <c r="E85" s="20"/>
      <c r="F85" s="22"/>
      <c r="G85" s="20"/>
      <c r="H85" s="19" t="str">
        <f aca="false">IFERROR(INDEX(Exercícios!$C$7:$C$206,MATCH($G85,Exercícios!$B$7:$B$206,0)),"")</f>
        <v/>
      </c>
      <c r="I85" s="19" t="str">
        <f aca="false">IFERROR(INDEX(Exercícios!$D$7:$D$206,MATCH($G85,Exercícios!$B$7:$B$206,0)),"")</f>
        <v/>
      </c>
      <c r="J85" s="19" t="str">
        <f aca="false">IFERROR(INDEX(Exercícios!$E$7:$E$206,MATCH($G85,Exercícios!$B$7:$B$206,0)),"")</f>
        <v/>
      </c>
      <c r="K85" s="22"/>
      <c r="L85" s="22"/>
      <c r="M85" s="20"/>
      <c r="N85" s="22"/>
      <c r="O85" s="22"/>
      <c r="P85" s="22"/>
      <c r="Q85" s="19" t="n">
        <f aca="false">IFERROR($K85*$L85,"")</f>
        <v>0</v>
      </c>
      <c r="R85" s="48" t="n">
        <f aca="false">IF(OR($O85="",$P85=""),0,$O85*$P85)</f>
        <v>0</v>
      </c>
      <c r="S85" s="20"/>
      <c r="T85" s="20"/>
      <c r="U85" s="33" t="n">
        <f aca="false">IF($A85="",0,IF(AND(OR($E85=Atleta!$C$4,$E85="Equipe (todos)"),$A85&gt;=Atleta!$C$5),MAX($U$7:U84)+1,0))</f>
        <v>0</v>
      </c>
    </row>
    <row r="86" customFormat="false" ht="15" hidden="false" customHeight="false" outlineLevel="0" collapsed="false">
      <c r="A86" s="21"/>
      <c r="B86" s="33" t="n">
        <f aca="false">IF($A86="",0,INT(($A86-Macrociclo!$C$11)/7)+1)</f>
        <v>0</v>
      </c>
      <c r="C86" s="22"/>
      <c r="D86" s="22"/>
      <c r="E86" s="20"/>
      <c r="F86" s="22"/>
      <c r="G86" s="20"/>
      <c r="H86" s="19" t="str">
        <f aca="false">IFERROR(INDEX(Exercícios!$C$7:$C$206,MATCH($G86,Exercícios!$B$7:$B$206,0)),"")</f>
        <v/>
      </c>
      <c r="I86" s="19" t="str">
        <f aca="false">IFERROR(INDEX(Exercícios!$D$7:$D$206,MATCH($G86,Exercícios!$B$7:$B$206,0)),"")</f>
        <v/>
      </c>
      <c r="J86" s="19" t="str">
        <f aca="false">IFERROR(INDEX(Exercícios!$E$7:$E$206,MATCH($G86,Exercícios!$B$7:$B$206,0)),"")</f>
        <v/>
      </c>
      <c r="K86" s="22"/>
      <c r="L86" s="22"/>
      <c r="M86" s="20"/>
      <c r="N86" s="22"/>
      <c r="O86" s="22"/>
      <c r="P86" s="22"/>
      <c r="Q86" s="19" t="n">
        <f aca="false">IFERROR($K86*$L86,"")</f>
        <v>0</v>
      </c>
      <c r="R86" s="48" t="n">
        <f aca="false">IF(OR($O86="",$P86=""),0,$O86*$P86)</f>
        <v>0</v>
      </c>
      <c r="S86" s="20"/>
      <c r="T86" s="20"/>
      <c r="U86" s="33" t="n">
        <f aca="false">IF($A86="",0,IF(AND(OR($E86=Atleta!$C$4,$E86="Equipe (todos)"),$A86&gt;=Atleta!$C$5),MAX($U$7:U85)+1,0))</f>
        <v>0</v>
      </c>
    </row>
    <row r="87" customFormat="false" ht="15" hidden="false" customHeight="false" outlineLevel="0" collapsed="false">
      <c r="A87" s="21"/>
      <c r="B87" s="33" t="n">
        <f aca="false">IF($A87="",0,INT(($A87-Macrociclo!$C$11)/7)+1)</f>
        <v>0</v>
      </c>
      <c r="C87" s="22"/>
      <c r="D87" s="22"/>
      <c r="E87" s="20"/>
      <c r="F87" s="22"/>
      <c r="G87" s="20"/>
      <c r="H87" s="19" t="str">
        <f aca="false">IFERROR(INDEX(Exercícios!$C$7:$C$206,MATCH($G87,Exercícios!$B$7:$B$206,0)),"")</f>
        <v/>
      </c>
      <c r="I87" s="19" t="str">
        <f aca="false">IFERROR(INDEX(Exercícios!$D$7:$D$206,MATCH($G87,Exercícios!$B$7:$B$206,0)),"")</f>
        <v/>
      </c>
      <c r="J87" s="19" t="str">
        <f aca="false">IFERROR(INDEX(Exercícios!$E$7:$E$206,MATCH($G87,Exercícios!$B$7:$B$206,0)),"")</f>
        <v/>
      </c>
      <c r="K87" s="22"/>
      <c r="L87" s="22"/>
      <c r="M87" s="20"/>
      <c r="N87" s="22"/>
      <c r="O87" s="22"/>
      <c r="P87" s="22"/>
      <c r="Q87" s="19" t="n">
        <f aca="false">IFERROR($K87*$L87,"")</f>
        <v>0</v>
      </c>
      <c r="R87" s="48" t="n">
        <f aca="false">IF(OR($O87="",$P87=""),0,$O87*$P87)</f>
        <v>0</v>
      </c>
      <c r="S87" s="20"/>
      <c r="T87" s="20"/>
      <c r="U87" s="33" t="n">
        <f aca="false">IF($A87="",0,IF(AND(OR($E87=Atleta!$C$4,$E87="Equipe (todos)"),$A87&gt;=Atleta!$C$5),MAX($U$7:U86)+1,0))</f>
        <v>0</v>
      </c>
    </row>
    <row r="88" customFormat="false" ht="15" hidden="false" customHeight="false" outlineLevel="0" collapsed="false">
      <c r="A88" s="21"/>
      <c r="B88" s="33" t="n">
        <f aca="false">IF($A88="",0,INT(($A88-Macrociclo!$C$11)/7)+1)</f>
        <v>0</v>
      </c>
      <c r="C88" s="22"/>
      <c r="D88" s="22"/>
      <c r="E88" s="20"/>
      <c r="F88" s="22"/>
      <c r="G88" s="20"/>
      <c r="H88" s="19" t="str">
        <f aca="false">IFERROR(INDEX(Exercícios!$C$7:$C$206,MATCH($G88,Exercícios!$B$7:$B$206,0)),"")</f>
        <v/>
      </c>
      <c r="I88" s="19" t="str">
        <f aca="false">IFERROR(INDEX(Exercícios!$D$7:$D$206,MATCH($G88,Exercícios!$B$7:$B$206,0)),"")</f>
        <v/>
      </c>
      <c r="J88" s="19" t="str">
        <f aca="false">IFERROR(INDEX(Exercícios!$E$7:$E$206,MATCH($G88,Exercícios!$B$7:$B$206,0)),"")</f>
        <v/>
      </c>
      <c r="K88" s="22"/>
      <c r="L88" s="22"/>
      <c r="M88" s="20"/>
      <c r="N88" s="22"/>
      <c r="O88" s="22"/>
      <c r="P88" s="22"/>
      <c r="Q88" s="19" t="n">
        <f aca="false">IFERROR($K88*$L88,"")</f>
        <v>0</v>
      </c>
      <c r="R88" s="48" t="n">
        <f aca="false">IF(OR($O88="",$P88=""),0,$O88*$P88)</f>
        <v>0</v>
      </c>
      <c r="S88" s="20"/>
      <c r="T88" s="20"/>
      <c r="U88" s="33" t="n">
        <f aca="false">IF($A88="",0,IF(AND(OR($E88=Atleta!$C$4,$E88="Equipe (todos)"),$A88&gt;=Atleta!$C$5),MAX($U$7:U87)+1,0))</f>
        <v>0</v>
      </c>
    </row>
    <row r="89" customFormat="false" ht="15" hidden="false" customHeight="false" outlineLevel="0" collapsed="false">
      <c r="A89" s="21"/>
      <c r="B89" s="33" t="n">
        <f aca="false">IF($A89="",0,INT(($A89-Macrociclo!$C$11)/7)+1)</f>
        <v>0</v>
      </c>
      <c r="C89" s="22"/>
      <c r="D89" s="22"/>
      <c r="E89" s="20"/>
      <c r="F89" s="22"/>
      <c r="G89" s="20"/>
      <c r="H89" s="19" t="str">
        <f aca="false">IFERROR(INDEX(Exercícios!$C$7:$C$206,MATCH($G89,Exercícios!$B$7:$B$206,0)),"")</f>
        <v/>
      </c>
      <c r="I89" s="19" t="str">
        <f aca="false">IFERROR(INDEX(Exercícios!$D$7:$D$206,MATCH($G89,Exercícios!$B$7:$B$206,0)),"")</f>
        <v/>
      </c>
      <c r="J89" s="19" t="str">
        <f aca="false">IFERROR(INDEX(Exercícios!$E$7:$E$206,MATCH($G89,Exercícios!$B$7:$B$206,0)),"")</f>
        <v/>
      </c>
      <c r="K89" s="22"/>
      <c r="L89" s="22"/>
      <c r="M89" s="20"/>
      <c r="N89" s="22"/>
      <c r="O89" s="22"/>
      <c r="P89" s="22"/>
      <c r="Q89" s="19" t="n">
        <f aca="false">IFERROR($K89*$L89,"")</f>
        <v>0</v>
      </c>
      <c r="R89" s="48" t="n">
        <f aca="false">IF(OR($O89="",$P89=""),0,$O89*$P89)</f>
        <v>0</v>
      </c>
      <c r="S89" s="20"/>
      <c r="T89" s="20"/>
      <c r="U89" s="33" t="n">
        <f aca="false">IF($A89="",0,IF(AND(OR($E89=Atleta!$C$4,$E89="Equipe (todos)"),$A89&gt;=Atleta!$C$5),MAX($U$7:U88)+1,0))</f>
        <v>0</v>
      </c>
    </row>
    <row r="90" customFormat="false" ht="15" hidden="false" customHeight="false" outlineLevel="0" collapsed="false">
      <c r="A90" s="21"/>
      <c r="B90" s="33" t="n">
        <f aca="false">IF($A90="",0,INT(($A90-Macrociclo!$C$11)/7)+1)</f>
        <v>0</v>
      </c>
      <c r="C90" s="22"/>
      <c r="D90" s="22"/>
      <c r="E90" s="20"/>
      <c r="F90" s="22"/>
      <c r="G90" s="20"/>
      <c r="H90" s="19" t="str">
        <f aca="false">IFERROR(INDEX(Exercícios!$C$7:$C$206,MATCH($G90,Exercícios!$B$7:$B$206,0)),"")</f>
        <v/>
      </c>
      <c r="I90" s="19" t="str">
        <f aca="false">IFERROR(INDEX(Exercícios!$D$7:$D$206,MATCH($G90,Exercícios!$B$7:$B$206,0)),"")</f>
        <v/>
      </c>
      <c r="J90" s="19" t="str">
        <f aca="false">IFERROR(INDEX(Exercícios!$E$7:$E$206,MATCH($G90,Exercícios!$B$7:$B$206,0)),"")</f>
        <v/>
      </c>
      <c r="K90" s="22"/>
      <c r="L90" s="22"/>
      <c r="M90" s="20"/>
      <c r="N90" s="22"/>
      <c r="O90" s="22"/>
      <c r="P90" s="22"/>
      <c r="Q90" s="19" t="n">
        <f aca="false">IFERROR($K90*$L90,"")</f>
        <v>0</v>
      </c>
      <c r="R90" s="48" t="n">
        <f aca="false">IF(OR($O90="",$P90=""),0,$O90*$P90)</f>
        <v>0</v>
      </c>
      <c r="S90" s="20"/>
      <c r="T90" s="20"/>
      <c r="U90" s="33" t="n">
        <f aca="false">IF($A90="",0,IF(AND(OR($E90=Atleta!$C$4,$E90="Equipe (todos)"),$A90&gt;=Atleta!$C$5),MAX($U$7:U89)+1,0))</f>
        <v>0</v>
      </c>
    </row>
    <row r="91" customFormat="false" ht="15" hidden="false" customHeight="false" outlineLevel="0" collapsed="false">
      <c r="A91" s="21"/>
      <c r="B91" s="33" t="n">
        <f aca="false">IF($A91="",0,INT(($A91-Macrociclo!$C$11)/7)+1)</f>
        <v>0</v>
      </c>
      <c r="C91" s="22"/>
      <c r="D91" s="22"/>
      <c r="E91" s="20"/>
      <c r="F91" s="22"/>
      <c r="G91" s="20"/>
      <c r="H91" s="19" t="str">
        <f aca="false">IFERROR(INDEX(Exercícios!$C$7:$C$206,MATCH($G91,Exercícios!$B$7:$B$206,0)),"")</f>
        <v/>
      </c>
      <c r="I91" s="19" t="str">
        <f aca="false">IFERROR(INDEX(Exercícios!$D$7:$D$206,MATCH($G91,Exercícios!$B$7:$B$206,0)),"")</f>
        <v/>
      </c>
      <c r="J91" s="19" t="str">
        <f aca="false">IFERROR(INDEX(Exercícios!$E$7:$E$206,MATCH($G91,Exercícios!$B$7:$B$206,0)),"")</f>
        <v/>
      </c>
      <c r="K91" s="22"/>
      <c r="L91" s="22"/>
      <c r="M91" s="20"/>
      <c r="N91" s="22"/>
      <c r="O91" s="22"/>
      <c r="P91" s="22"/>
      <c r="Q91" s="19" t="n">
        <f aca="false">IFERROR($K91*$L91,"")</f>
        <v>0</v>
      </c>
      <c r="R91" s="48" t="n">
        <f aca="false">IF(OR($O91="",$P91=""),0,$O91*$P91)</f>
        <v>0</v>
      </c>
      <c r="S91" s="20"/>
      <c r="T91" s="20"/>
      <c r="U91" s="33" t="n">
        <f aca="false">IF($A91="",0,IF(AND(OR($E91=Atleta!$C$4,$E91="Equipe (todos)"),$A91&gt;=Atleta!$C$5),MAX($U$7:U90)+1,0))</f>
        <v>0</v>
      </c>
    </row>
    <row r="92" customFormat="false" ht="15" hidden="false" customHeight="false" outlineLevel="0" collapsed="false">
      <c r="A92" s="21"/>
      <c r="B92" s="33" t="n">
        <f aca="false">IF($A92="",0,INT(($A92-Macrociclo!$C$11)/7)+1)</f>
        <v>0</v>
      </c>
      <c r="C92" s="22"/>
      <c r="D92" s="22"/>
      <c r="E92" s="20"/>
      <c r="F92" s="22"/>
      <c r="G92" s="20"/>
      <c r="H92" s="19" t="str">
        <f aca="false">IFERROR(INDEX(Exercícios!$C$7:$C$206,MATCH($G92,Exercícios!$B$7:$B$206,0)),"")</f>
        <v/>
      </c>
      <c r="I92" s="19" t="str">
        <f aca="false">IFERROR(INDEX(Exercícios!$D$7:$D$206,MATCH($G92,Exercícios!$B$7:$B$206,0)),"")</f>
        <v/>
      </c>
      <c r="J92" s="19" t="str">
        <f aca="false">IFERROR(INDEX(Exercícios!$E$7:$E$206,MATCH($G92,Exercícios!$B$7:$B$206,0)),"")</f>
        <v/>
      </c>
      <c r="K92" s="22"/>
      <c r="L92" s="22"/>
      <c r="M92" s="20"/>
      <c r="N92" s="22"/>
      <c r="O92" s="22"/>
      <c r="P92" s="22"/>
      <c r="Q92" s="19" t="n">
        <f aca="false">IFERROR($K92*$L92,"")</f>
        <v>0</v>
      </c>
      <c r="R92" s="48" t="n">
        <f aca="false">IF(OR($O92="",$P92=""),0,$O92*$P92)</f>
        <v>0</v>
      </c>
      <c r="S92" s="20"/>
      <c r="T92" s="20"/>
      <c r="U92" s="33" t="n">
        <f aca="false">IF($A92="",0,IF(AND(OR($E92=Atleta!$C$4,$E92="Equipe (todos)"),$A92&gt;=Atleta!$C$5),MAX($U$7:U91)+1,0))</f>
        <v>0</v>
      </c>
    </row>
    <row r="93" customFormat="false" ht="15" hidden="false" customHeight="false" outlineLevel="0" collapsed="false">
      <c r="A93" s="21"/>
      <c r="B93" s="33" t="n">
        <f aca="false">IF($A93="",0,INT(($A93-Macrociclo!$C$11)/7)+1)</f>
        <v>0</v>
      </c>
      <c r="C93" s="22"/>
      <c r="D93" s="22"/>
      <c r="E93" s="20"/>
      <c r="F93" s="22"/>
      <c r="G93" s="20"/>
      <c r="H93" s="19" t="str">
        <f aca="false">IFERROR(INDEX(Exercícios!$C$7:$C$206,MATCH($G93,Exercícios!$B$7:$B$206,0)),"")</f>
        <v/>
      </c>
      <c r="I93" s="19" t="str">
        <f aca="false">IFERROR(INDEX(Exercícios!$D$7:$D$206,MATCH($G93,Exercícios!$B$7:$B$206,0)),"")</f>
        <v/>
      </c>
      <c r="J93" s="19" t="str">
        <f aca="false">IFERROR(INDEX(Exercícios!$E$7:$E$206,MATCH($G93,Exercícios!$B$7:$B$206,0)),"")</f>
        <v/>
      </c>
      <c r="K93" s="22"/>
      <c r="L93" s="22"/>
      <c r="M93" s="20"/>
      <c r="N93" s="22"/>
      <c r="O93" s="22"/>
      <c r="P93" s="22"/>
      <c r="Q93" s="19" t="n">
        <f aca="false">IFERROR($K93*$L93,"")</f>
        <v>0</v>
      </c>
      <c r="R93" s="48" t="n">
        <f aca="false">IF(OR($O93="",$P93=""),0,$O93*$P93)</f>
        <v>0</v>
      </c>
      <c r="S93" s="20"/>
      <c r="T93" s="20"/>
      <c r="U93" s="33" t="n">
        <f aca="false">IF($A93="",0,IF(AND(OR($E93=Atleta!$C$4,$E93="Equipe (todos)"),$A93&gt;=Atleta!$C$5),MAX($U$7:U92)+1,0))</f>
        <v>0</v>
      </c>
    </row>
    <row r="94" customFormat="false" ht="15" hidden="false" customHeight="false" outlineLevel="0" collapsed="false">
      <c r="A94" s="21"/>
      <c r="B94" s="33" t="n">
        <f aca="false">IF($A94="",0,INT(($A94-Macrociclo!$C$11)/7)+1)</f>
        <v>0</v>
      </c>
      <c r="C94" s="22"/>
      <c r="D94" s="22"/>
      <c r="E94" s="20"/>
      <c r="F94" s="22"/>
      <c r="G94" s="20"/>
      <c r="H94" s="19" t="str">
        <f aca="false">IFERROR(INDEX(Exercícios!$C$7:$C$206,MATCH($G94,Exercícios!$B$7:$B$206,0)),"")</f>
        <v/>
      </c>
      <c r="I94" s="19" t="str">
        <f aca="false">IFERROR(INDEX(Exercícios!$D$7:$D$206,MATCH($G94,Exercícios!$B$7:$B$206,0)),"")</f>
        <v/>
      </c>
      <c r="J94" s="19" t="str">
        <f aca="false">IFERROR(INDEX(Exercícios!$E$7:$E$206,MATCH($G94,Exercícios!$B$7:$B$206,0)),"")</f>
        <v/>
      </c>
      <c r="K94" s="22"/>
      <c r="L94" s="22"/>
      <c r="M94" s="20"/>
      <c r="N94" s="22"/>
      <c r="O94" s="22"/>
      <c r="P94" s="22"/>
      <c r="Q94" s="19" t="n">
        <f aca="false">IFERROR($K94*$L94,"")</f>
        <v>0</v>
      </c>
      <c r="R94" s="48" t="n">
        <f aca="false">IF(OR($O94="",$P94=""),0,$O94*$P94)</f>
        <v>0</v>
      </c>
      <c r="S94" s="20"/>
      <c r="T94" s="20"/>
      <c r="U94" s="33" t="n">
        <f aca="false">IF($A94="",0,IF(AND(OR($E94=Atleta!$C$4,$E94="Equipe (todos)"),$A94&gt;=Atleta!$C$5),MAX($U$7:U93)+1,0))</f>
        <v>0</v>
      </c>
    </row>
    <row r="95" customFormat="false" ht="15" hidden="false" customHeight="false" outlineLevel="0" collapsed="false">
      <c r="A95" s="21"/>
      <c r="B95" s="33" t="n">
        <f aca="false">IF($A95="",0,INT(($A95-Macrociclo!$C$11)/7)+1)</f>
        <v>0</v>
      </c>
      <c r="C95" s="22"/>
      <c r="D95" s="22"/>
      <c r="E95" s="20"/>
      <c r="F95" s="22"/>
      <c r="G95" s="20"/>
      <c r="H95" s="19" t="str">
        <f aca="false">IFERROR(INDEX(Exercícios!$C$7:$C$206,MATCH($G95,Exercícios!$B$7:$B$206,0)),"")</f>
        <v/>
      </c>
      <c r="I95" s="19" t="str">
        <f aca="false">IFERROR(INDEX(Exercícios!$D$7:$D$206,MATCH($G95,Exercícios!$B$7:$B$206,0)),"")</f>
        <v/>
      </c>
      <c r="J95" s="19" t="str">
        <f aca="false">IFERROR(INDEX(Exercícios!$E$7:$E$206,MATCH($G95,Exercícios!$B$7:$B$206,0)),"")</f>
        <v/>
      </c>
      <c r="K95" s="22"/>
      <c r="L95" s="22"/>
      <c r="M95" s="20"/>
      <c r="N95" s="22"/>
      <c r="O95" s="22"/>
      <c r="P95" s="22"/>
      <c r="Q95" s="19" t="n">
        <f aca="false">IFERROR($K95*$L95,"")</f>
        <v>0</v>
      </c>
      <c r="R95" s="48" t="n">
        <f aca="false">IF(OR($O95="",$P95=""),0,$O95*$P95)</f>
        <v>0</v>
      </c>
      <c r="S95" s="20"/>
      <c r="T95" s="20"/>
      <c r="U95" s="33" t="n">
        <f aca="false">IF($A95="",0,IF(AND(OR($E95=Atleta!$C$4,$E95="Equipe (todos)"),$A95&gt;=Atleta!$C$5),MAX($U$7:U94)+1,0))</f>
        <v>0</v>
      </c>
    </row>
    <row r="96" customFormat="false" ht="15" hidden="false" customHeight="false" outlineLevel="0" collapsed="false">
      <c r="A96" s="21"/>
      <c r="B96" s="33" t="n">
        <f aca="false">IF($A96="",0,INT(($A96-Macrociclo!$C$11)/7)+1)</f>
        <v>0</v>
      </c>
      <c r="C96" s="22"/>
      <c r="D96" s="22"/>
      <c r="E96" s="20"/>
      <c r="F96" s="22"/>
      <c r="G96" s="20"/>
      <c r="H96" s="19" t="str">
        <f aca="false">IFERROR(INDEX(Exercícios!$C$7:$C$206,MATCH($G96,Exercícios!$B$7:$B$206,0)),"")</f>
        <v/>
      </c>
      <c r="I96" s="19" t="str">
        <f aca="false">IFERROR(INDEX(Exercícios!$D$7:$D$206,MATCH($G96,Exercícios!$B$7:$B$206,0)),"")</f>
        <v/>
      </c>
      <c r="J96" s="19" t="str">
        <f aca="false">IFERROR(INDEX(Exercícios!$E$7:$E$206,MATCH($G96,Exercícios!$B$7:$B$206,0)),"")</f>
        <v/>
      </c>
      <c r="K96" s="22"/>
      <c r="L96" s="22"/>
      <c r="M96" s="20"/>
      <c r="N96" s="22"/>
      <c r="O96" s="22"/>
      <c r="P96" s="22"/>
      <c r="Q96" s="19" t="n">
        <f aca="false">IFERROR($K96*$L96,"")</f>
        <v>0</v>
      </c>
      <c r="R96" s="48" t="n">
        <f aca="false">IF(OR($O96="",$P96=""),0,$O96*$P96)</f>
        <v>0</v>
      </c>
      <c r="S96" s="20"/>
      <c r="T96" s="20"/>
      <c r="U96" s="33" t="n">
        <f aca="false">IF($A96="",0,IF(AND(OR($E96=Atleta!$C$4,$E96="Equipe (todos)"),$A96&gt;=Atleta!$C$5),MAX($U$7:U95)+1,0))</f>
        <v>0</v>
      </c>
    </row>
    <row r="97" customFormat="false" ht="15" hidden="false" customHeight="false" outlineLevel="0" collapsed="false">
      <c r="A97" s="21"/>
      <c r="B97" s="33" t="n">
        <f aca="false">IF($A97="",0,INT(($A97-Macrociclo!$C$11)/7)+1)</f>
        <v>0</v>
      </c>
      <c r="C97" s="22"/>
      <c r="D97" s="22"/>
      <c r="E97" s="20"/>
      <c r="F97" s="22"/>
      <c r="G97" s="20"/>
      <c r="H97" s="19" t="str">
        <f aca="false">IFERROR(INDEX(Exercícios!$C$7:$C$206,MATCH($G97,Exercícios!$B$7:$B$206,0)),"")</f>
        <v/>
      </c>
      <c r="I97" s="19" t="str">
        <f aca="false">IFERROR(INDEX(Exercícios!$D$7:$D$206,MATCH($G97,Exercícios!$B$7:$B$206,0)),"")</f>
        <v/>
      </c>
      <c r="J97" s="19" t="str">
        <f aca="false">IFERROR(INDEX(Exercícios!$E$7:$E$206,MATCH($G97,Exercícios!$B$7:$B$206,0)),"")</f>
        <v/>
      </c>
      <c r="K97" s="22"/>
      <c r="L97" s="22"/>
      <c r="M97" s="20"/>
      <c r="N97" s="22"/>
      <c r="O97" s="22"/>
      <c r="P97" s="22"/>
      <c r="Q97" s="19" t="n">
        <f aca="false">IFERROR($K97*$L97,"")</f>
        <v>0</v>
      </c>
      <c r="R97" s="48" t="n">
        <f aca="false">IF(OR($O97="",$P97=""),0,$O97*$P97)</f>
        <v>0</v>
      </c>
      <c r="S97" s="20"/>
      <c r="T97" s="20"/>
      <c r="U97" s="33" t="n">
        <f aca="false">IF($A97="",0,IF(AND(OR($E97=Atleta!$C$4,$E97="Equipe (todos)"),$A97&gt;=Atleta!$C$5),MAX($U$7:U96)+1,0))</f>
        <v>0</v>
      </c>
    </row>
    <row r="98" customFormat="false" ht="15" hidden="false" customHeight="false" outlineLevel="0" collapsed="false">
      <c r="A98" s="21"/>
      <c r="B98" s="33" t="n">
        <f aca="false">IF($A98="",0,INT(($A98-Macrociclo!$C$11)/7)+1)</f>
        <v>0</v>
      </c>
      <c r="C98" s="22"/>
      <c r="D98" s="22"/>
      <c r="E98" s="20"/>
      <c r="F98" s="22"/>
      <c r="G98" s="20"/>
      <c r="H98" s="19" t="str">
        <f aca="false">IFERROR(INDEX(Exercícios!$C$7:$C$206,MATCH($G98,Exercícios!$B$7:$B$206,0)),"")</f>
        <v/>
      </c>
      <c r="I98" s="19" t="str">
        <f aca="false">IFERROR(INDEX(Exercícios!$D$7:$D$206,MATCH($G98,Exercícios!$B$7:$B$206,0)),"")</f>
        <v/>
      </c>
      <c r="J98" s="19" t="str">
        <f aca="false">IFERROR(INDEX(Exercícios!$E$7:$E$206,MATCH($G98,Exercícios!$B$7:$B$206,0)),"")</f>
        <v/>
      </c>
      <c r="K98" s="22"/>
      <c r="L98" s="22"/>
      <c r="M98" s="20"/>
      <c r="N98" s="22"/>
      <c r="O98" s="22"/>
      <c r="P98" s="22"/>
      <c r="Q98" s="19" t="n">
        <f aca="false">IFERROR($K98*$L98,"")</f>
        <v>0</v>
      </c>
      <c r="R98" s="48" t="n">
        <f aca="false">IF(OR($O98="",$P98=""),0,$O98*$P98)</f>
        <v>0</v>
      </c>
      <c r="S98" s="20"/>
      <c r="T98" s="20"/>
      <c r="U98" s="33" t="n">
        <f aca="false">IF($A98="",0,IF(AND(OR($E98=Atleta!$C$4,$E98="Equipe (todos)"),$A98&gt;=Atleta!$C$5),MAX($U$7:U97)+1,0))</f>
        <v>0</v>
      </c>
    </row>
    <row r="99" customFormat="false" ht="15" hidden="false" customHeight="false" outlineLevel="0" collapsed="false">
      <c r="A99" s="21"/>
      <c r="B99" s="33" t="n">
        <f aca="false">IF($A99="",0,INT(($A99-Macrociclo!$C$11)/7)+1)</f>
        <v>0</v>
      </c>
      <c r="C99" s="22"/>
      <c r="D99" s="22"/>
      <c r="E99" s="20"/>
      <c r="F99" s="22"/>
      <c r="G99" s="20"/>
      <c r="H99" s="19" t="str">
        <f aca="false">IFERROR(INDEX(Exercícios!$C$7:$C$206,MATCH($G99,Exercícios!$B$7:$B$206,0)),"")</f>
        <v/>
      </c>
      <c r="I99" s="19" t="str">
        <f aca="false">IFERROR(INDEX(Exercícios!$D$7:$D$206,MATCH($G99,Exercícios!$B$7:$B$206,0)),"")</f>
        <v/>
      </c>
      <c r="J99" s="19" t="str">
        <f aca="false">IFERROR(INDEX(Exercícios!$E$7:$E$206,MATCH($G99,Exercícios!$B$7:$B$206,0)),"")</f>
        <v/>
      </c>
      <c r="K99" s="22"/>
      <c r="L99" s="22"/>
      <c r="M99" s="20"/>
      <c r="N99" s="22"/>
      <c r="O99" s="22"/>
      <c r="P99" s="22"/>
      <c r="Q99" s="19" t="n">
        <f aca="false">IFERROR($K99*$L99,"")</f>
        <v>0</v>
      </c>
      <c r="R99" s="48" t="n">
        <f aca="false">IF(OR($O99="",$P99=""),0,$O99*$P99)</f>
        <v>0</v>
      </c>
      <c r="S99" s="20"/>
      <c r="T99" s="20"/>
      <c r="U99" s="33" t="n">
        <f aca="false">IF($A99="",0,IF(AND(OR($E99=Atleta!$C$4,$E99="Equipe (todos)"),$A99&gt;=Atleta!$C$5),MAX($U$7:U98)+1,0))</f>
        <v>0</v>
      </c>
    </row>
    <row r="100" customFormat="false" ht="15" hidden="false" customHeight="false" outlineLevel="0" collapsed="false">
      <c r="A100" s="21"/>
      <c r="B100" s="33" t="n">
        <f aca="false">IF($A100="",0,INT(($A100-Macrociclo!$C$11)/7)+1)</f>
        <v>0</v>
      </c>
      <c r="C100" s="22"/>
      <c r="D100" s="22"/>
      <c r="E100" s="20"/>
      <c r="F100" s="22"/>
      <c r="G100" s="20"/>
      <c r="H100" s="19" t="str">
        <f aca="false">IFERROR(INDEX(Exercícios!$C$7:$C$206,MATCH($G100,Exercícios!$B$7:$B$206,0)),"")</f>
        <v/>
      </c>
      <c r="I100" s="19" t="str">
        <f aca="false">IFERROR(INDEX(Exercícios!$D$7:$D$206,MATCH($G100,Exercícios!$B$7:$B$206,0)),"")</f>
        <v/>
      </c>
      <c r="J100" s="19" t="str">
        <f aca="false">IFERROR(INDEX(Exercícios!$E$7:$E$206,MATCH($G100,Exercícios!$B$7:$B$206,0)),"")</f>
        <v/>
      </c>
      <c r="K100" s="22"/>
      <c r="L100" s="22"/>
      <c r="M100" s="20"/>
      <c r="N100" s="22"/>
      <c r="O100" s="22"/>
      <c r="P100" s="22"/>
      <c r="Q100" s="19" t="n">
        <f aca="false">IFERROR($K100*$L100,"")</f>
        <v>0</v>
      </c>
      <c r="R100" s="48" t="n">
        <f aca="false">IF(OR($O100="",$P100=""),0,$O100*$P100)</f>
        <v>0</v>
      </c>
      <c r="S100" s="20"/>
      <c r="T100" s="20"/>
      <c r="U100" s="33" t="n">
        <f aca="false">IF($A100="",0,IF(AND(OR($E100=Atleta!$C$4,$E100="Equipe (todos)"),$A100&gt;=Atleta!$C$5),MAX($U$7:U99)+1,0))</f>
        <v>0</v>
      </c>
    </row>
    <row r="101" customFormat="false" ht="15" hidden="false" customHeight="false" outlineLevel="0" collapsed="false">
      <c r="A101" s="21"/>
      <c r="B101" s="33" t="n">
        <f aca="false">IF($A101="",0,INT(($A101-Macrociclo!$C$11)/7)+1)</f>
        <v>0</v>
      </c>
      <c r="C101" s="22"/>
      <c r="D101" s="22"/>
      <c r="E101" s="20"/>
      <c r="F101" s="22"/>
      <c r="G101" s="20"/>
      <c r="H101" s="19" t="str">
        <f aca="false">IFERROR(INDEX(Exercícios!$C$7:$C$206,MATCH($G101,Exercícios!$B$7:$B$206,0)),"")</f>
        <v/>
      </c>
      <c r="I101" s="19" t="str">
        <f aca="false">IFERROR(INDEX(Exercícios!$D$7:$D$206,MATCH($G101,Exercícios!$B$7:$B$206,0)),"")</f>
        <v/>
      </c>
      <c r="J101" s="19" t="str">
        <f aca="false">IFERROR(INDEX(Exercícios!$E$7:$E$206,MATCH($G101,Exercícios!$B$7:$B$206,0)),"")</f>
        <v/>
      </c>
      <c r="K101" s="22"/>
      <c r="L101" s="22"/>
      <c r="M101" s="20"/>
      <c r="N101" s="22"/>
      <c r="O101" s="22"/>
      <c r="P101" s="22"/>
      <c r="Q101" s="19" t="n">
        <f aca="false">IFERROR($K101*$L101,"")</f>
        <v>0</v>
      </c>
      <c r="R101" s="48" t="n">
        <f aca="false">IF(OR($O101="",$P101=""),0,$O101*$P101)</f>
        <v>0</v>
      </c>
      <c r="S101" s="20"/>
      <c r="T101" s="20"/>
      <c r="U101" s="33" t="n">
        <f aca="false">IF($A101="",0,IF(AND(OR($E101=Atleta!$C$4,$E101="Equipe (todos)"),$A101&gt;=Atleta!$C$5),MAX($U$7:U100)+1,0))</f>
        <v>0</v>
      </c>
    </row>
    <row r="102" customFormat="false" ht="15" hidden="false" customHeight="false" outlineLevel="0" collapsed="false">
      <c r="A102" s="21"/>
      <c r="B102" s="33" t="n">
        <f aca="false">IF($A102="",0,INT(($A102-Macrociclo!$C$11)/7)+1)</f>
        <v>0</v>
      </c>
      <c r="C102" s="22"/>
      <c r="D102" s="22"/>
      <c r="E102" s="20"/>
      <c r="F102" s="22"/>
      <c r="G102" s="20"/>
      <c r="H102" s="19" t="str">
        <f aca="false">IFERROR(INDEX(Exercícios!$C$7:$C$206,MATCH($G102,Exercícios!$B$7:$B$206,0)),"")</f>
        <v/>
      </c>
      <c r="I102" s="19" t="str">
        <f aca="false">IFERROR(INDEX(Exercícios!$D$7:$D$206,MATCH($G102,Exercícios!$B$7:$B$206,0)),"")</f>
        <v/>
      </c>
      <c r="J102" s="19" t="str">
        <f aca="false">IFERROR(INDEX(Exercícios!$E$7:$E$206,MATCH($G102,Exercícios!$B$7:$B$206,0)),"")</f>
        <v/>
      </c>
      <c r="K102" s="22"/>
      <c r="L102" s="22"/>
      <c r="M102" s="20"/>
      <c r="N102" s="22"/>
      <c r="O102" s="22"/>
      <c r="P102" s="22"/>
      <c r="Q102" s="19" t="n">
        <f aca="false">IFERROR($K102*$L102,"")</f>
        <v>0</v>
      </c>
      <c r="R102" s="48" t="n">
        <f aca="false">IF(OR($O102="",$P102=""),0,$O102*$P102)</f>
        <v>0</v>
      </c>
      <c r="S102" s="20"/>
      <c r="T102" s="20"/>
      <c r="U102" s="33" t="n">
        <f aca="false">IF($A102="",0,IF(AND(OR($E102=Atleta!$C$4,$E102="Equipe (todos)"),$A102&gt;=Atleta!$C$5),MAX($U$7:U101)+1,0))</f>
        <v>0</v>
      </c>
    </row>
    <row r="103" customFormat="false" ht="15" hidden="false" customHeight="false" outlineLevel="0" collapsed="false">
      <c r="A103" s="21"/>
      <c r="B103" s="33" t="n">
        <f aca="false">IF($A103="",0,INT(($A103-Macrociclo!$C$11)/7)+1)</f>
        <v>0</v>
      </c>
      <c r="C103" s="22"/>
      <c r="D103" s="22"/>
      <c r="E103" s="20"/>
      <c r="F103" s="22"/>
      <c r="G103" s="20"/>
      <c r="H103" s="19" t="str">
        <f aca="false">IFERROR(INDEX(Exercícios!$C$7:$C$206,MATCH($G103,Exercícios!$B$7:$B$206,0)),"")</f>
        <v/>
      </c>
      <c r="I103" s="19" t="str">
        <f aca="false">IFERROR(INDEX(Exercícios!$D$7:$D$206,MATCH($G103,Exercícios!$B$7:$B$206,0)),"")</f>
        <v/>
      </c>
      <c r="J103" s="19" t="str">
        <f aca="false">IFERROR(INDEX(Exercícios!$E$7:$E$206,MATCH($G103,Exercícios!$B$7:$B$206,0)),"")</f>
        <v/>
      </c>
      <c r="K103" s="22"/>
      <c r="L103" s="22"/>
      <c r="M103" s="20"/>
      <c r="N103" s="22"/>
      <c r="O103" s="22"/>
      <c r="P103" s="22"/>
      <c r="Q103" s="19" t="n">
        <f aca="false">IFERROR($K103*$L103,"")</f>
        <v>0</v>
      </c>
      <c r="R103" s="48" t="n">
        <f aca="false">IF(OR($O103="",$P103=""),0,$O103*$P103)</f>
        <v>0</v>
      </c>
      <c r="S103" s="20"/>
      <c r="T103" s="20"/>
      <c r="U103" s="33" t="n">
        <f aca="false">IF($A103="",0,IF(AND(OR($E103=Atleta!$C$4,$E103="Equipe (todos)"),$A103&gt;=Atleta!$C$5),MAX($U$7:U102)+1,0))</f>
        <v>0</v>
      </c>
    </row>
    <row r="104" customFormat="false" ht="15" hidden="false" customHeight="false" outlineLevel="0" collapsed="false">
      <c r="A104" s="21"/>
      <c r="B104" s="33" t="n">
        <f aca="false">IF($A104="",0,INT(($A104-Macrociclo!$C$11)/7)+1)</f>
        <v>0</v>
      </c>
      <c r="C104" s="22"/>
      <c r="D104" s="22"/>
      <c r="E104" s="20"/>
      <c r="F104" s="22"/>
      <c r="G104" s="20"/>
      <c r="H104" s="19" t="str">
        <f aca="false">IFERROR(INDEX(Exercícios!$C$7:$C$206,MATCH($G104,Exercícios!$B$7:$B$206,0)),"")</f>
        <v/>
      </c>
      <c r="I104" s="19" t="str">
        <f aca="false">IFERROR(INDEX(Exercícios!$D$7:$D$206,MATCH($G104,Exercícios!$B$7:$B$206,0)),"")</f>
        <v/>
      </c>
      <c r="J104" s="19" t="str">
        <f aca="false">IFERROR(INDEX(Exercícios!$E$7:$E$206,MATCH($G104,Exercícios!$B$7:$B$206,0)),"")</f>
        <v/>
      </c>
      <c r="K104" s="22"/>
      <c r="L104" s="22"/>
      <c r="M104" s="20"/>
      <c r="N104" s="22"/>
      <c r="O104" s="22"/>
      <c r="P104" s="22"/>
      <c r="Q104" s="19" t="n">
        <f aca="false">IFERROR($K104*$L104,"")</f>
        <v>0</v>
      </c>
      <c r="R104" s="48" t="n">
        <f aca="false">IF(OR($O104="",$P104=""),0,$O104*$P104)</f>
        <v>0</v>
      </c>
      <c r="S104" s="20"/>
      <c r="T104" s="20"/>
      <c r="U104" s="33" t="n">
        <f aca="false">IF($A104="",0,IF(AND(OR($E104=Atleta!$C$4,$E104="Equipe (todos)"),$A104&gt;=Atleta!$C$5),MAX($U$7:U103)+1,0))</f>
        <v>0</v>
      </c>
    </row>
    <row r="105" customFormat="false" ht="15" hidden="false" customHeight="false" outlineLevel="0" collapsed="false">
      <c r="A105" s="21"/>
      <c r="B105" s="33" t="n">
        <f aca="false">IF($A105="",0,INT(($A105-Macrociclo!$C$11)/7)+1)</f>
        <v>0</v>
      </c>
      <c r="C105" s="22"/>
      <c r="D105" s="22"/>
      <c r="E105" s="20"/>
      <c r="F105" s="22"/>
      <c r="G105" s="20"/>
      <c r="H105" s="19" t="str">
        <f aca="false">IFERROR(INDEX(Exercícios!$C$7:$C$206,MATCH($G105,Exercícios!$B$7:$B$206,0)),"")</f>
        <v/>
      </c>
      <c r="I105" s="19" t="str">
        <f aca="false">IFERROR(INDEX(Exercícios!$D$7:$D$206,MATCH($G105,Exercícios!$B$7:$B$206,0)),"")</f>
        <v/>
      </c>
      <c r="J105" s="19" t="str">
        <f aca="false">IFERROR(INDEX(Exercícios!$E$7:$E$206,MATCH($G105,Exercícios!$B$7:$B$206,0)),"")</f>
        <v/>
      </c>
      <c r="K105" s="22"/>
      <c r="L105" s="22"/>
      <c r="M105" s="20"/>
      <c r="N105" s="22"/>
      <c r="O105" s="22"/>
      <c r="P105" s="22"/>
      <c r="Q105" s="19" t="n">
        <f aca="false">IFERROR($K105*$L105,"")</f>
        <v>0</v>
      </c>
      <c r="R105" s="48" t="n">
        <f aca="false">IF(OR($O105="",$P105=""),0,$O105*$P105)</f>
        <v>0</v>
      </c>
      <c r="S105" s="20"/>
      <c r="T105" s="20"/>
      <c r="U105" s="33" t="n">
        <f aca="false">IF($A105="",0,IF(AND(OR($E105=Atleta!$C$4,$E105="Equipe (todos)"),$A105&gt;=Atleta!$C$5),MAX($U$7:U104)+1,0))</f>
        <v>0</v>
      </c>
    </row>
    <row r="106" customFormat="false" ht="15" hidden="false" customHeight="false" outlineLevel="0" collapsed="false">
      <c r="A106" s="21"/>
      <c r="B106" s="33" t="n">
        <f aca="false">IF($A106="",0,INT(($A106-Macrociclo!$C$11)/7)+1)</f>
        <v>0</v>
      </c>
      <c r="C106" s="22"/>
      <c r="D106" s="22"/>
      <c r="E106" s="20"/>
      <c r="F106" s="22"/>
      <c r="G106" s="20"/>
      <c r="H106" s="19" t="str">
        <f aca="false">IFERROR(INDEX(Exercícios!$C$7:$C$206,MATCH($G106,Exercícios!$B$7:$B$206,0)),"")</f>
        <v/>
      </c>
      <c r="I106" s="19" t="str">
        <f aca="false">IFERROR(INDEX(Exercícios!$D$7:$D$206,MATCH($G106,Exercícios!$B$7:$B$206,0)),"")</f>
        <v/>
      </c>
      <c r="J106" s="19" t="str">
        <f aca="false">IFERROR(INDEX(Exercícios!$E$7:$E$206,MATCH($G106,Exercícios!$B$7:$B$206,0)),"")</f>
        <v/>
      </c>
      <c r="K106" s="22"/>
      <c r="L106" s="22"/>
      <c r="M106" s="20"/>
      <c r="N106" s="22"/>
      <c r="O106" s="22"/>
      <c r="P106" s="22"/>
      <c r="Q106" s="19" t="n">
        <f aca="false">IFERROR($K106*$L106,"")</f>
        <v>0</v>
      </c>
      <c r="R106" s="48" t="n">
        <f aca="false">IF(OR($O106="",$P106=""),0,$O106*$P106)</f>
        <v>0</v>
      </c>
      <c r="S106" s="20"/>
      <c r="T106" s="20"/>
      <c r="U106" s="33" t="n">
        <f aca="false">IF($A106="",0,IF(AND(OR($E106=Atleta!$C$4,$E106="Equipe (todos)"),$A106&gt;=Atleta!$C$5),MAX($U$7:U105)+1,0))</f>
        <v>0</v>
      </c>
    </row>
    <row r="107" customFormat="false" ht="15" hidden="false" customHeight="false" outlineLevel="0" collapsed="false">
      <c r="A107" s="21"/>
      <c r="B107" s="33" t="n">
        <f aca="false">IF($A107="",0,INT(($A107-Macrociclo!$C$11)/7)+1)</f>
        <v>0</v>
      </c>
      <c r="C107" s="22"/>
      <c r="D107" s="22"/>
      <c r="E107" s="20"/>
      <c r="F107" s="22"/>
      <c r="G107" s="20"/>
      <c r="H107" s="19" t="str">
        <f aca="false">IFERROR(INDEX(Exercícios!$C$7:$C$206,MATCH($G107,Exercícios!$B$7:$B$206,0)),"")</f>
        <v/>
      </c>
      <c r="I107" s="19" t="str">
        <f aca="false">IFERROR(INDEX(Exercícios!$D$7:$D$206,MATCH($G107,Exercícios!$B$7:$B$206,0)),"")</f>
        <v/>
      </c>
      <c r="J107" s="19" t="str">
        <f aca="false">IFERROR(INDEX(Exercícios!$E$7:$E$206,MATCH($G107,Exercícios!$B$7:$B$206,0)),"")</f>
        <v/>
      </c>
      <c r="K107" s="22"/>
      <c r="L107" s="22"/>
      <c r="M107" s="20"/>
      <c r="N107" s="22"/>
      <c r="O107" s="22"/>
      <c r="P107" s="22"/>
      <c r="Q107" s="19" t="n">
        <f aca="false">IFERROR($K107*$L107,"")</f>
        <v>0</v>
      </c>
      <c r="R107" s="48" t="n">
        <f aca="false">IF(OR($O107="",$P107=""),0,$O107*$P107)</f>
        <v>0</v>
      </c>
      <c r="S107" s="20"/>
      <c r="T107" s="20"/>
      <c r="U107" s="33" t="n">
        <f aca="false">IF($A107="",0,IF(AND(OR($E107=Atleta!$C$4,$E107="Equipe (todos)"),$A107&gt;=Atleta!$C$5),MAX($U$7:U106)+1,0))</f>
        <v>0</v>
      </c>
    </row>
    <row r="108" customFormat="false" ht="15" hidden="false" customHeight="false" outlineLevel="0" collapsed="false">
      <c r="A108" s="21"/>
      <c r="B108" s="33" t="n">
        <f aca="false">IF($A108="",0,INT(($A108-Macrociclo!$C$11)/7)+1)</f>
        <v>0</v>
      </c>
      <c r="C108" s="22"/>
      <c r="D108" s="22"/>
      <c r="E108" s="20"/>
      <c r="F108" s="22"/>
      <c r="G108" s="20"/>
      <c r="H108" s="19" t="str">
        <f aca="false">IFERROR(INDEX(Exercícios!$C$7:$C$206,MATCH($G108,Exercícios!$B$7:$B$206,0)),"")</f>
        <v/>
      </c>
      <c r="I108" s="19" t="str">
        <f aca="false">IFERROR(INDEX(Exercícios!$D$7:$D$206,MATCH($G108,Exercícios!$B$7:$B$206,0)),"")</f>
        <v/>
      </c>
      <c r="J108" s="19" t="str">
        <f aca="false">IFERROR(INDEX(Exercícios!$E$7:$E$206,MATCH($G108,Exercícios!$B$7:$B$206,0)),"")</f>
        <v/>
      </c>
      <c r="K108" s="22"/>
      <c r="L108" s="22"/>
      <c r="M108" s="20"/>
      <c r="N108" s="22"/>
      <c r="O108" s="22"/>
      <c r="P108" s="22"/>
      <c r="Q108" s="19" t="n">
        <f aca="false">IFERROR($K108*$L108,"")</f>
        <v>0</v>
      </c>
      <c r="R108" s="48" t="n">
        <f aca="false">IF(OR($O108="",$P108=""),0,$O108*$P108)</f>
        <v>0</v>
      </c>
      <c r="S108" s="20"/>
      <c r="T108" s="20"/>
      <c r="U108" s="33" t="n">
        <f aca="false">IF($A108="",0,IF(AND(OR($E108=Atleta!$C$4,$E108="Equipe (todos)"),$A108&gt;=Atleta!$C$5),MAX($U$7:U107)+1,0))</f>
        <v>0</v>
      </c>
    </row>
    <row r="109" customFormat="false" ht="15" hidden="false" customHeight="false" outlineLevel="0" collapsed="false">
      <c r="A109" s="21"/>
      <c r="B109" s="33" t="n">
        <f aca="false">IF($A109="",0,INT(($A109-Macrociclo!$C$11)/7)+1)</f>
        <v>0</v>
      </c>
      <c r="C109" s="22"/>
      <c r="D109" s="22"/>
      <c r="E109" s="20"/>
      <c r="F109" s="22"/>
      <c r="G109" s="20"/>
      <c r="H109" s="19" t="str">
        <f aca="false">IFERROR(INDEX(Exercícios!$C$7:$C$206,MATCH($G109,Exercícios!$B$7:$B$206,0)),"")</f>
        <v/>
      </c>
      <c r="I109" s="19" t="str">
        <f aca="false">IFERROR(INDEX(Exercícios!$D$7:$D$206,MATCH($G109,Exercícios!$B$7:$B$206,0)),"")</f>
        <v/>
      </c>
      <c r="J109" s="19" t="str">
        <f aca="false">IFERROR(INDEX(Exercícios!$E$7:$E$206,MATCH($G109,Exercícios!$B$7:$B$206,0)),"")</f>
        <v/>
      </c>
      <c r="K109" s="22"/>
      <c r="L109" s="22"/>
      <c r="M109" s="20"/>
      <c r="N109" s="22"/>
      <c r="O109" s="22"/>
      <c r="P109" s="22"/>
      <c r="Q109" s="19" t="n">
        <f aca="false">IFERROR($K109*$L109,"")</f>
        <v>0</v>
      </c>
      <c r="R109" s="48" t="n">
        <f aca="false">IF(OR($O109="",$P109=""),0,$O109*$P109)</f>
        <v>0</v>
      </c>
      <c r="S109" s="20"/>
      <c r="T109" s="20"/>
      <c r="U109" s="33" t="n">
        <f aca="false">IF($A109="",0,IF(AND(OR($E109=Atleta!$C$4,$E109="Equipe (todos)"),$A109&gt;=Atleta!$C$5),MAX($U$7:U108)+1,0))</f>
        <v>0</v>
      </c>
    </row>
    <row r="110" customFormat="false" ht="15" hidden="false" customHeight="false" outlineLevel="0" collapsed="false">
      <c r="A110" s="21"/>
      <c r="B110" s="33" t="n">
        <f aca="false">IF($A110="",0,INT(($A110-Macrociclo!$C$11)/7)+1)</f>
        <v>0</v>
      </c>
      <c r="C110" s="22"/>
      <c r="D110" s="22"/>
      <c r="E110" s="20"/>
      <c r="F110" s="22"/>
      <c r="G110" s="20"/>
      <c r="H110" s="19" t="str">
        <f aca="false">IFERROR(INDEX(Exercícios!$C$7:$C$206,MATCH($G110,Exercícios!$B$7:$B$206,0)),"")</f>
        <v/>
      </c>
      <c r="I110" s="19" t="str">
        <f aca="false">IFERROR(INDEX(Exercícios!$D$7:$D$206,MATCH($G110,Exercícios!$B$7:$B$206,0)),"")</f>
        <v/>
      </c>
      <c r="J110" s="19" t="str">
        <f aca="false">IFERROR(INDEX(Exercícios!$E$7:$E$206,MATCH($G110,Exercícios!$B$7:$B$206,0)),"")</f>
        <v/>
      </c>
      <c r="K110" s="22"/>
      <c r="L110" s="22"/>
      <c r="M110" s="20"/>
      <c r="N110" s="22"/>
      <c r="O110" s="22"/>
      <c r="P110" s="22"/>
      <c r="Q110" s="19" t="n">
        <f aca="false">IFERROR($K110*$L110,"")</f>
        <v>0</v>
      </c>
      <c r="R110" s="48" t="n">
        <f aca="false">IF(OR($O110="",$P110=""),0,$O110*$P110)</f>
        <v>0</v>
      </c>
      <c r="S110" s="20"/>
      <c r="T110" s="20"/>
      <c r="U110" s="33" t="n">
        <f aca="false">IF($A110="",0,IF(AND(OR($E110=Atleta!$C$4,$E110="Equipe (todos)"),$A110&gt;=Atleta!$C$5),MAX($U$7:U109)+1,0))</f>
        <v>0</v>
      </c>
    </row>
    <row r="111" customFormat="false" ht="15" hidden="false" customHeight="false" outlineLevel="0" collapsed="false">
      <c r="A111" s="21"/>
      <c r="B111" s="33" t="n">
        <f aca="false">IF($A111="",0,INT(($A111-Macrociclo!$C$11)/7)+1)</f>
        <v>0</v>
      </c>
      <c r="C111" s="22"/>
      <c r="D111" s="22"/>
      <c r="E111" s="20"/>
      <c r="F111" s="22"/>
      <c r="G111" s="20"/>
      <c r="H111" s="19" t="str">
        <f aca="false">IFERROR(INDEX(Exercícios!$C$7:$C$206,MATCH($G111,Exercícios!$B$7:$B$206,0)),"")</f>
        <v/>
      </c>
      <c r="I111" s="19" t="str">
        <f aca="false">IFERROR(INDEX(Exercícios!$D$7:$D$206,MATCH($G111,Exercícios!$B$7:$B$206,0)),"")</f>
        <v/>
      </c>
      <c r="J111" s="19" t="str">
        <f aca="false">IFERROR(INDEX(Exercícios!$E$7:$E$206,MATCH($G111,Exercícios!$B$7:$B$206,0)),"")</f>
        <v/>
      </c>
      <c r="K111" s="22"/>
      <c r="L111" s="22"/>
      <c r="M111" s="20"/>
      <c r="N111" s="22"/>
      <c r="O111" s="22"/>
      <c r="P111" s="22"/>
      <c r="Q111" s="19" t="n">
        <f aca="false">IFERROR($K111*$L111,"")</f>
        <v>0</v>
      </c>
      <c r="R111" s="48" t="n">
        <f aca="false">IF(OR($O111="",$P111=""),0,$O111*$P111)</f>
        <v>0</v>
      </c>
      <c r="S111" s="20"/>
      <c r="T111" s="20"/>
      <c r="U111" s="33" t="n">
        <f aca="false">IF($A111="",0,IF(AND(OR($E111=Atleta!$C$4,$E111="Equipe (todos)"),$A111&gt;=Atleta!$C$5),MAX($U$7:U110)+1,0))</f>
        <v>0</v>
      </c>
    </row>
    <row r="112" customFormat="false" ht="15" hidden="false" customHeight="false" outlineLevel="0" collapsed="false">
      <c r="A112" s="21"/>
      <c r="B112" s="33" t="n">
        <f aca="false">IF($A112="",0,INT(($A112-Macrociclo!$C$11)/7)+1)</f>
        <v>0</v>
      </c>
      <c r="C112" s="22"/>
      <c r="D112" s="22"/>
      <c r="E112" s="20"/>
      <c r="F112" s="22"/>
      <c r="G112" s="20"/>
      <c r="H112" s="19" t="str">
        <f aca="false">IFERROR(INDEX(Exercícios!$C$7:$C$206,MATCH($G112,Exercícios!$B$7:$B$206,0)),"")</f>
        <v/>
      </c>
      <c r="I112" s="19" t="str">
        <f aca="false">IFERROR(INDEX(Exercícios!$D$7:$D$206,MATCH($G112,Exercícios!$B$7:$B$206,0)),"")</f>
        <v/>
      </c>
      <c r="J112" s="19" t="str">
        <f aca="false">IFERROR(INDEX(Exercícios!$E$7:$E$206,MATCH($G112,Exercícios!$B$7:$B$206,0)),"")</f>
        <v/>
      </c>
      <c r="K112" s="22"/>
      <c r="L112" s="22"/>
      <c r="M112" s="20"/>
      <c r="N112" s="22"/>
      <c r="O112" s="22"/>
      <c r="P112" s="22"/>
      <c r="Q112" s="19" t="n">
        <f aca="false">IFERROR($K112*$L112,"")</f>
        <v>0</v>
      </c>
      <c r="R112" s="48" t="n">
        <f aca="false">IF(OR($O112="",$P112=""),0,$O112*$P112)</f>
        <v>0</v>
      </c>
      <c r="S112" s="20"/>
      <c r="T112" s="20"/>
      <c r="U112" s="33" t="n">
        <f aca="false">IF($A112="",0,IF(AND(OR($E112=Atleta!$C$4,$E112="Equipe (todos)"),$A112&gt;=Atleta!$C$5),MAX($U$7:U111)+1,0))</f>
        <v>0</v>
      </c>
    </row>
    <row r="113" customFormat="false" ht="15" hidden="false" customHeight="false" outlineLevel="0" collapsed="false">
      <c r="A113" s="21"/>
      <c r="B113" s="33" t="n">
        <f aca="false">IF($A113="",0,INT(($A113-Macrociclo!$C$11)/7)+1)</f>
        <v>0</v>
      </c>
      <c r="C113" s="22"/>
      <c r="D113" s="22"/>
      <c r="E113" s="20"/>
      <c r="F113" s="22"/>
      <c r="G113" s="20"/>
      <c r="H113" s="19" t="str">
        <f aca="false">IFERROR(INDEX(Exercícios!$C$7:$C$206,MATCH($G113,Exercícios!$B$7:$B$206,0)),"")</f>
        <v/>
      </c>
      <c r="I113" s="19" t="str">
        <f aca="false">IFERROR(INDEX(Exercícios!$D$7:$D$206,MATCH($G113,Exercícios!$B$7:$B$206,0)),"")</f>
        <v/>
      </c>
      <c r="J113" s="19" t="str">
        <f aca="false">IFERROR(INDEX(Exercícios!$E$7:$E$206,MATCH($G113,Exercícios!$B$7:$B$206,0)),"")</f>
        <v/>
      </c>
      <c r="K113" s="22"/>
      <c r="L113" s="22"/>
      <c r="M113" s="20"/>
      <c r="N113" s="22"/>
      <c r="O113" s="22"/>
      <c r="P113" s="22"/>
      <c r="Q113" s="19" t="n">
        <f aca="false">IFERROR($K113*$L113,"")</f>
        <v>0</v>
      </c>
      <c r="R113" s="48" t="n">
        <f aca="false">IF(OR($O113="",$P113=""),0,$O113*$P113)</f>
        <v>0</v>
      </c>
      <c r="S113" s="20"/>
      <c r="T113" s="20"/>
      <c r="U113" s="33" t="n">
        <f aca="false">IF($A113="",0,IF(AND(OR($E113=Atleta!$C$4,$E113="Equipe (todos)"),$A113&gt;=Atleta!$C$5),MAX($U$7:U112)+1,0))</f>
        <v>0</v>
      </c>
    </row>
    <row r="114" customFormat="false" ht="15" hidden="false" customHeight="false" outlineLevel="0" collapsed="false">
      <c r="A114" s="21"/>
      <c r="B114" s="33" t="n">
        <f aca="false">IF($A114="",0,INT(($A114-Macrociclo!$C$11)/7)+1)</f>
        <v>0</v>
      </c>
      <c r="C114" s="22"/>
      <c r="D114" s="22"/>
      <c r="E114" s="20"/>
      <c r="F114" s="22"/>
      <c r="G114" s="20"/>
      <c r="H114" s="19" t="str">
        <f aca="false">IFERROR(INDEX(Exercícios!$C$7:$C$206,MATCH($G114,Exercícios!$B$7:$B$206,0)),"")</f>
        <v/>
      </c>
      <c r="I114" s="19" t="str">
        <f aca="false">IFERROR(INDEX(Exercícios!$D$7:$D$206,MATCH($G114,Exercícios!$B$7:$B$206,0)),"")</f>
        <v/>
      </c>
      <c r="J114" s="19" t="str">
        <f aca="false">IFERROR(INDEX(Exercícios!$E$7:$E$206,MATCH($G114,Exercícios!$B$7:$B$206,0)),"")</f>
        <v/>
      </c>
      <c r="K114" s="22"/>
      <c r="L114" s="22"/>
      <c r="M114" s="20"/>
      <c r="N114" s="22"/>
      <c r="O114" s="22"/>
      <c r="P114" s="22"/>
      <c r="Q114" s="19" t="n">
        <f aca="false">IFERROR($K114*$L114,"")</f>
        <v>0</v>
      </c>
      <c r="R114" s="48" t="n">
        <f aca="false">IF(OR($O114="",$P114=""),0,$O114*$P114)</f>
        <v>0</v>
      </c>
      <c r="S114" s="20"/>
      <c r="T114" s="20"/>
      <c r="U114" s="33" t="n">
        <f aca="false">IF($A114="",0,IF(AND(OR($E114=Atleta!$C$4,$E114="Equipe (todos)"),$A114&gt;=Atleta!$C$5),MAX($U$7:U113)+1,0))</f>
        <v>0</v>
      </c>
    </row>
    <row r="115" customFormat="false" ht="15" hidden="false" customHeight="false" outlineLevel="0" collapsed="false">
      <c r="A115" s="21"/>
      <c r="B115" s="33" t="n">
        <f aca="false">IF($A115="",0,INT(($A115-Macrociclo!$C$11)/7)+1)</f>
        <v>0</v>
      </c>
      <c r="C115" s="22"/>
      <c r="D115" s="22"/>
      <c r="E115" s="20"/>
      <c r="F115" s="22"/>
      <c r="G115" s="20"/>
      <c r="H115" s="19" t="str">
        <f aca="false">IFERROR(INDEX(Exercícios!$C$7:$C$206,MATCH($G115,Exercícios!$B$7:$B$206,0)),"")</f>
        <v/>
      </c>
      <c r="I115" s="19" t="str">
        <f aca="false">IFERROR(INDEX(Exercícios!$D$7:$D$206,MATCH($G115,Exercícios!$B$7:$B$206,0)),"")</f>
        <v/>
      </c>
      <c r="J115" s="19" t="str">
        <f aca="false">IFERROR(INDEX(Exercícios!$E$7:$E$206,MATCH($G115,Exercícios!$B$7:$B$206,0)),"")</f>
        <v/>
      </c>
      <c r="K115" s="22"/>
      <c r="L115" s="22"/>
      <c r="M115" s="20"/>
      <c r="N115" s="22"/>
      <c r="O115" s="22"/>
      <c r="P115" s="22"/>
      <c r="Q115" s="19" t="n">
        <f aca="false">IFERROR($K115*$L115,"")</f>
        <v>0</v>
      </c>
      <c r="R115" s="48" t="n">
        <f aca="false">IF(OR($O115="",$P115=""),0,$O115*$P115)</f>
        <v>0</v>
      </c>
      <c r="S115" s="20"/>
      <c r="T115" s="20"/>
      <c r="U115" s="33" t="n">
        <f aca="false">IF($A115="",0,IF(AND(OR($E115=Atleta!$C$4,$E115="Equipe (todos)"),$A115&gt;=Atleta!$C$5),MAX($U$7:U114)+1,0))</f>
        <v>0</v>
      </c>
    </row>
    <row r="116" customFormat="false" ht="15" hidden="false" customHeight="false" outlineLevel="0" collapsed="false">
      <c r="A116" s="21"/>
      <c r="B116" s="33" t="n">
        <f aca="false">IF($A116="",0,INT(($A116-Macrociclo!$C$11)/7)+1)</f>
        <v>0</v>
      </c>
      <c r="C116" s="22"/>
      <c r="D116" s="22"/>
      <c r="E116" s="20"/>
      <c r="F116" s="22"/>
      <c r="G116" s="20"/>
      <c r="H116" s="19" t="str">
        <f aca="false">IFERROR(INDEX(Exercícios!$C$7:$C$206,MATCH($G116,Exercícios!$B$7:$B$206,0)),"")</f>
        <v/>
      </c>
      <c r="I116" s="19" t="str">
        <f aca="false">IFERROR(INDEX(Exercícios!$D$7:$D$206,MATCH($G116,Exercícios!$B$7:$B$206,0)),"")</f>
        <v/>
      </c>
      <c r="J116" s="19" t="str">
        <f aca="false">IFERROR(INDEX(Exercícios!$E$7:$E$206,MATCH($G116,Exercícios!$B$7:$B$206,0)),"")</f>
        <v/>
      </c>
      <c r="K116" s="22"/>
      <c r="L116" s="22"/>
      <c r="M116" s="20"/>
      <c r="N116" s="22"/>
      <c r="O116" s="22"/>
      <c r="P116" s="22"/>
      <c r="Q116" s="19" t="n">
        <f aca="false">IFERROR($K116*$L116,"")</f>
        <v>0</v>
      </c>
      <c r="R116" s="48" t="n">
        <f aca="false">IF(OR($O116="",$P116=""),0,$O116*$P116)</f>
        <v>0</v>
      </c>
      <c r="S116" s="20"/>
      <c r="T116" s="20"/>
      <c r="U116" s="33" t="n">
        <f aca="false">IF($A116="",0,IF(AND(OR($E116=Atleta!$C$4,$E116="Equipe (todos)"),$A116&gt;=Atleta!$C$5),MAX($U$7:U115)+1,0))</f>
        <v>0</v>
      </c>
    </row>
    <row r="117" customFormat="false" ht="15" hidden="false" customHeight="false" outlineLevel="0" collapsed="false">
      <c r="A117" s="21"/>
      <c r="B117" s="33" t="n">
        <f aca="false">IF($A117="",0,INT(($A117-Macrociclo!$C$11)/7)+1)</f>
        <v>0</v>
      </c>
      <c r="C117" s="22"/>
      <c r="D117" s="22"/>
      <c r="E117" s="20"/>
      <c r="F117" s="22"/>
      <c r="G117" s="20"/>
      <c r="H117" s="19" t="str">
        <f aca="false">IFERROR(INDEX(Exercícios!$C$7:$C$206,MATCH($G117,Exercícios!$B$7:$B$206,0)),"")</f>
        <v/>
      </c>
      <c r="I117" s="19" t="str">
        <f aca="false">IFERROR(INDEX(Exercícios!$D$7:$D$206,MATCH($G117,Exercícios!$B$7:$B$206,0)),"")</f>
        <v/>
      </c>
      <c r="J117" s="19" t="str">
        <f aca="false">IFERROR(INDEX(Exercícios!$E$7:$E$206,MATCH($G117,Exercícios!$B$7:$B$206,0)),"")</f>
        <v/>
      </c>
      <c r="K117" s="22"/>
      <c r="L117" s="22"/>
      <c r="M117" s="20"/>
      <c r="N117" s="22"/>
      <c r="O117" s="22"/>
      <c r="P117" s="22"/>
      <c r="Q117" s="19" t="n">
        <f aca="false">IFERROR($K117*$L117,"")</f>
        <v>0</v>
      </c>
      <c r="R117" s="48" t="n">
        <f aca="false">IF(OR($O117="",$P117=""),0,$O117*$P117)</f>
        <v>0</v>
      </c>
      <c r="S117" s="20"/>
      <c r="T117" s="20"/>
      <c r="U117" s="33" t="n">
        <f aca="false">IF($A117="",0,IF(AND(OR($E117=Atleta!$C$4,$E117="Equipe (todos)"),$A117&gt;=Atleta!$C$5),MAX($U$7:U116)+1,0))</f>
        <v>0</v>
      </c>
    </row>
    <row r="118" customFormat="false" ht="15" hidden="false" customHeight="false" outlineLevel="0" collapsed="false">
      <c r="A118" s="21"/>
      <c r="B118" s="33" t="n">
        <f aca="false">IF($A118="",0,INT(($A118-Macrociclo!$C$11)/7)+1)</f>
        <v>0</v>
      </c>
      <c r="C118" s="22"/>
      <c r="D118" s="22"/>
      <c r="E118" s="20"/>
      <c r="F118" s="22"/>
      <c r="G118" s="20"/>
      <c r="H118" s="19" t="str">
        <f aca="false">IFERROR(INDEX(Exercícios!$C$7:$C$206,MATCH($G118,Exercícios!$B$7:$B$206,0)),"")</f>
        <v/>
      </c>
      <c r="I118" s="19" t="str">
        <f aca="false">IFERROR(INDEX(Exercícios!$D$7:$D$206,MATCH($G118,Exercícios!$B$7:$B$206,0)),"")</f>
        <v/>
      </c>
      <c r="J118" s="19" t="str">
        <f aca="false">IFERROR(INDEX(Exercícios!$E$7:$E$206,MATCH($G118,Exercícios!$B$7:$B$206,0)),"")</f>
        <v/>
      </c>
      <c r="K118" s="22"/>
      <c r="L118" s="22"/>
      <c r="M118" s="20"/>
      <c r="N118" s="22"/>
      <c r="O118" s="22"/>
      <c r="P118" s="22"/>
      <c r="Q118" s="19" t="n">
        <f aca="false">IFERROR($K118*$L118,"")</f>
        <v>0</v>
      </c>
      <c r="R118" s="48" t="n">
        <f aca="false">IF(OR($O118="",$P118=""),0,$O118*$P118)</f>
        <v>0</v>
      </c>
      <c r="S118" s="20"/>
      <c r="T118" s="20"/>
      <c r="U118" s="33" t="n">
        <f aca="false">IF($A118="",0,IF(AND(OR($E118=Atleta!$C$4,$E118="Equipe (todos)"),$A118&gt;=Atleta!$C$5),MAX($U$7:U117)+1,0))</f>
        <v>0</v>
      </c>
    </row>
    <row r="119" customFormat="false" ht="15" hidden="false" customHeight="false" outlineLevel="0" collapsed="false">
      <c r="A119" s="21"/>
      <c r="B119" s="33" t="n">
        <f aca="false">IF($A119="",0,INT(($A119-Macrociclo!$C$11)/7)+1)</f>
        <v>0</v>
      </c>
      <c r="C119" s="22"/>
      <c r="D119" s="22"/>
      <c r="E119" s="20"/>
      <c r="F119" s="22"/>
      <c r="G119" s="20"/>
      <c r="H119" s="19" t="str">
        <f aca="false">IFERROR(INDEX(Exercícios!$C$7:$C$206,MATCH($G119,Exercícios!$B$7:$B$206,0)),"")</f>
        <v/>
      </c>
      <c r="I119" s="19" t="str">
        <f aca="false">IFERROR(INDEX(Exercícios!$D$7:$D$206,MATCH($G119,Exercícios!$B$7:$B$206,0)),"")</f>
        <v/>
      </c>
      <c r="J119" s="19" t="str">
        <f aca="false">IFERROR(INDEX(Exercícios!$E$7:$E$206,MATCH($G119,Exercícios!$B$7:$B$206,0)),"")</f>
        <v/>
      </c>
      <c r="K119" s="22"/>
      <c r="L119" s="22"/>
      <c r="M119" s="20"/>
      <c r="N119" s="22"/>
      <c r="O119" s="22"/>
      <c r="P119" s="22"/>
      <c r="Q119" s="19" t="n">
        <f aca="false">IFERROR($K119*$L119,"")</f>
        <v>0</v>
      </c>
      <c r="R119" s="48" t="n">
        <f aca="false">IF(OR($O119="",$P119=""),0,$O119*$P119)</f>
        <v>0</v>
      </c>
      <c r="S119" s="20"/>
      <c r="T119" s="20"/>
      <c r="U119" s="33" t="n">
        <f aca="false">IF($A119="",0,IF(AND(OR($E119=Atleta!$C$4,$E119="Equipe (todos)"),$A119&gt;=Atleta!$C$5),MAX($U$7:U118)+1,0))</f>
        <v>0</v>
      </c>
    </row>
    <row r="120" customFormat="false" ht="15" hidden="false" customHeight="false" outlineLevel="0" collapsed="false">
      <c r="A120" s="21"/>
      <c r="B120" s="33" t="n">
        <f aca="false">IF($A120="",0,INT(($A120-Macrociclo!$C$11)/7)+1)</f>
        <v>0</v>
      </c>
      <c r="C120" s="22"/>
      <c r="D120" s="22"/>
      <c r="E120" s="20"/>
      <c r="F120" s="22"/>
      <c r="G120" s="20"/>
      <c r="H120" s="19" t="str">
        <f aca="false">IFERROR(INDEX(Exercícios!$C$7:$C$206,MATCH($G120,Exercícios!$B$7:$B$206,0)),"")</f>
        <v/>
      </c>
      <c r="I120" s="19" t="str">
        <f aca="false">IFERROR(INDEX(Exercícios!$D$7:$D$206,MATCH($G120,Exercícios!$B$7:$B$206,0)),"")</f>
        <v/>
      </c>
      <c r="J120" s="19" t="str">
        <f aca="false">IFERROR(INDEX(Exercícios!$E$7:$E$206,MATCH($G120,Exercícios!$B$7:$B$206,0)),"")</f>
        <v/>
      </c>
      <c r="K120" s="22"/>
      <c r="L120" s="22"/>
      <c r="M120" s="20"/>
      <c r="N120" s="22"/>
      <c r="O120" s="22"/>
      <c r="P120" s="22"/>
      <c r="Q120" s="19" t="n">
        <f aca="false">IFERROR($K120*$L120,"")</f>
        <v>0</v>
      </c>
      <c r="R120" s="48" t="n">
        <f aca="false">IF(OR($O120="",$P120=""),0,$O120*$P120)</f>
        <v>0</v>
      </c>
      <c r="S120" s="20"/>
      <c r="T120" s="20"/>
      <c r="U120" s="33" t="n">
        <f aca="false">IF($A120="",0,IF(AND(OR($E120=Atleta!$C$4,$E120="Equipe (todos)"),$A120&gt;=Atleta!$C$5),MAX($U$7:U119)+1,0))</f>
        <v>0</v>
      </c>
    </row>
    <row r="121" customFormat="false" ht="15" hidden="false" customHeight="false" outlineLevel="0" collapsed="false">
      <c r="A121" s="21"/>
      <c r="B121" s="33" t="n">
        <f aca="false">IF($A121="",0,INT(($A121-Macrociclo!$C$11)/7)+1)</f>
        <v>0</v>
      </c>
      <c r="C121" s="22"/>
      <c r="D121" s="22"/>
      <c r="E121" s="20"/>
      <c r="F121" s="22"/>
      <c r="G121" s="20"/>
      <c r="H121" s="19" t="str">
        <f aca="false">IFERROR(INDEX(Exercícios!$C$7:$C$206,MATCH($G121,Exercícios!$B$7:$B$206,0)),"")</f>
        <v/>
      </c>
      <c r="I121" s="19" t="str">
        <f aca="false">IFERROR(INDEX(Exercícios!$D$7:$D$206,MATCH($G121,Exercícios!$B$7:$B$206,0)),"")</f>
        <v/>
      </c>
      <c r="J121" s="19" t="str">
        <f aca="false">IFERROR(INDEX(Exercícios!$E$7:$E$206,MATCH($G121,Exercícios!$B$7:$B$206,0)),"")</f>
        <v/>
      </c>
      <c r="K121" s="22"/>
      <c r="L121" s="22"/>
      <c r="M121" s="20"/>
      <c r="N121" s="22"/>
      <c r="O121" s="22"/>
      <c r="P121" s="22"/>
      <c r="Q121" s="19" t="n">
        <f aca="false">IFERROR($K121*$L121,"")</f>
        <v>0</v>
      </c>
      <c r="R121" s="48" t="n">
        <f aca="false">IF(OR($O121="",$P121=""),0,$O121*$P121)</f>
        <v>0</v>
      </c>
      <c r="S121" s="20"/>
      <c r="T121" s="20"/>
      <c r="U121" s="33" t="n">
        <f aca="false">IF($A121="",0,IF(AND(OR($E121=Atleta!$C$4,$E121="Equipe (todos)"),$A121&gt;=Atleta!$C$5),MAX($U$7:U120)+1,0))</f>
        <v>0</v>
      </c>
    </row>
    <row r="122" customFormat="false" ht="15" hidden="false" customHeight="false" outlineLevel="0" collapsed="false">
      <c r="A122" s="21"/>
      <c r="B122" s="33" t="n">
        <f aca="false">IF($A122="",0,INT(($A122-Macrociclo!$C$11)/7)+1)</f>
        <v>0</v>
      </c>
      <c r="C122" s="22"/>
      <c r="D122" s="22"/>
      <c r="E122" s="20"/>
      <c r="F122" s="22"/>
      <c r="G122" s="20"/>
      <c r="H122" s="19" t="str">
        <f aca="false">IFERROR(INDEX(Exercícios!$C$7:$C$206,MATCH($G122,Exercícios!$B$7:$B$206,0)),"")</f>
        <v/>
      </c>
      <c r="I122" s="19" t="str">
        <f aca="false">IFERROR(INDEX(Exercícios!$D$7:$D$206,MATCH($G122,Exercícios!$B$7:$B$206,0)),"")</f>
        <v/>
      </c>
      <c r="J122" s="19" t="str">
        <f aca="false">IFERROR(INDEX(Exercícios!$E$7:$E$206,MATCH($G122,Exercícios!$B$7:$B$206,0)),"")</f>
        <v/>
      </c>
      <c r="K122" s="22"/>
      <c r="L122" s="22"/>
      <c r="M122" s="20"/>
      <c r="N122" s="22"/>
      <c r="O122" s="22"/>
      <c r="P122" s="22"/>
      <c r="Q122" s="19" t="n">
        <f aca="false">IFERROR($K122*$L122,"")</f>
        <v>0</v>
      </c>
      <c r="R122" s="48" t="n">
        <f aca="false">IF(OR($O122="",$P122=""),0,$O122*$P122)</f>
        <v>0</v>
      </c>
      <c r="S122" s="20"/>
      <c r="T122" s="20"/>
      <c r="U122" s="33" t="n">
        <f aca="false">IF($A122="",0,IF(AND(OR($E122=Atleta!$C$4,$E122="Equipe (todos)"),$A122&gt;=Atleta!$C$5),MAX($U$7:U121)+1,0))</f>
        <v>0</v>
      </c>
    </row>
    <row r="123" customFormat="false" ht="15" hidden="false" customHeight="false" outlineLevel="0" collapsed="false">
      <c r="A123" s="21"/>
      <c r="B123" s="33" t="n">
        <f aca="false">IF($A123="",0,INT(($A123-Macrociclo!$C$11)/7)+1)</f>
        <v>0</v>
      </c>
      <c r="C123" s="22"/>
      <c r="D123" s="22"/>
      <c r="E123" s="20"/>
      <c r="F123" s="22"/>
      <c r="G123" s="20"/>
      <c r="H123" s="19" t="str">
        <f aca="false">IFERROR(INDEX(Exercícios!$C$7:$C$206,MATCH($G123,Exercícios!$B$7:$B$206,0)),"")</f>
        <v/>
      </c>
      <c r="I123" s="19" t="str">
        <f aca="false">IFERROR(INDEX(Exercícios!$D$7:$D$206,MATCH($G123,Exercícios!$B$7:$B$206,0)),"")</f>
        <v/>
      </c>
      <c r="J123" s="19" t="str">
        <f aca="false">IFERROR(INDEX(Exercícios!$E$7:$E$206,MATCH($G123,Exercícios!$B$7:$B$206,0)),"")</f>
        <v/>
      </c>
      <c r="K123" s="22"/>
      <c r="L123" s="22"/>
      <c r="M123" s="20"/>
      <c r="N123" s="22"/>
      <c r="O123" s="22"/>
      <c r="P123" s="22"/>
      <c r="Q123" s="19" t="n">
        <f aca="false">IFERROR($K123*$L123,"")</f>
        <v>0</v>
      </c>
      <c r="R123" s="48" t="n">
        <f aca="false">IF(OR($O123="",$P123=""),0,$O123*$P123)</f>
        <v>0</v>
      </c>
      <c r="S123" s="20"/>
      <c r="T123" s="20"/>
      <c r="U123" s="33" t="n">
        <f aca="false">IF($A123="",0,IF(AND(OR($E123=Atleta!$C$4,$E123="Equipe (todos)"),$A123&gt;=Atleta!$C$5),MAX($U$7:U122)+1,0))</f>
        <v>0</v>
      </c>
    </row>
    <row r="124" customFormat="false" ht="15" hidden="false" customHeight="false" outlineLevel="0" collapsed="false">
      <c r="A124" s="21"/>
      <c r="B124" s="33" t="n">
        <f aca="false">IF($A124="",0,INT(($A124-Macrociclo!$C$11)/7)+1)</f>
        <v>0</v>
      </c>
      <c r="C124" s="22"/>
      <c r="D124" s="22"/>
      <c r="E124" s="20"/>
      <c r="F124" s="22"/>
      <c r="G124" s="20"/>
      <c r="H124" s="19" t="str">
        <f aca="false">IFERROR(INDEX(Exercícios!$C$7:$C$206,MATCH($G124,Exercícios!$B$7:$B$206,0)),"")</f>
        <v/>
      </c>
      <c r="I124" s="19" t="str">
        <f aca="false">IFERROR(INDEX(Exercícios!$D$7:$D$206,MATCH($G124,Exercícios!$B$7:$B$206,0)),"")</f>
        <v/>
      </c>
      <c r="J124" s="19" t="str">
        <f aca="false">IFERROR(INDEX(Exercícios!$E$7:$E$206,MATCH($G124,Exercícios!$B$7:$B$206,0)),"")</f>
        <v/>
      </c>
      <c r="K124" s="22"/>
      <c r="L124" s="22"/>
      <c r="M124" s="20"/>
      <c r="N124" s="22"/>
      <c r="O124" s="22"/>
      <c r="P124" s="22"/>
      <c r="Q124" s="19" t="n">
        <f aca="false">IFERROR($K124*$L124,"")</f>
        <v>0</v>
      </c>
      <c r="R124" s="48" t="n">
        <f aca="false">IF(OR($O124="",$P124=""),0,$O124*$P124)</f>
        <v>0</v>
      </c>
      <c r="S124" s="20"/>
      <c r="T124" s="20"/>
      <c r="U124" s="33" t="n">
        <f aca="false">IF($A124="",0,IF(AND(OR($E124=Atleta!$C$4,$E124="Equipe (todos)"),$A124&gt;=Atleta!$C$5),MAX($U$7:U123)+1,0))</f>
        <v>0</v>
      </c>
    </row>
    <row r="125" customFormat="false" ht="15" hidden="false" customHeight="false" outlineLevel="0" collapsed="false">
      <c r="A125" s="21"/>
      <c r="B125" s="33" t="n">
        <f aca="false">IF($A125="",0,INT(($A125-Macrociclo!$C$11)/7)+1)</f>
        <v>0</v>
      </c>
      <c r="C125" s="22"/>
      <c r="D125" s="22"/>
      <c r="E125" s="20"/>
      <c r="F125" s="22"/>
      <c r="G125" s="20"/>
      <c r="H125" s="19" t="str">
        <f aca="false">IFERROR(INDEX(Exercícios!$C$7:$C$206,MATCH($G125,Exercícios!$B$7:$B$206,0)),"")</f>
        <v/>
      </c>
      <c r="I125" s="19" t="str">
        <f aca="false">IFERROR(INDEX(Exercícios!$D$7:$D$206,MATCH($G125,Exercícios!$B$7:$B$206,0)),"")</f>
        <v/>
      </c>
      <c r="J125" s="19" t="str">
        <f aca="false">IFERROR(INDEX(Exercícios!$E$7:$E$206,MATCH($G125,Exercícios!$B$7:$B$206,0)),"")</f>
        <v/>
      </c>
      <c r="K125" s="22"/>
      <c r="L125" s="22"/>
      <c r="M125" s="20"/>
      <c r="N125" s="22"/>
      <c r="O125" s="22"/>
      <c r="P125" s="22"/>
      <c r="Q125" s="19" t="n">
        <f aca="false">IFERROR($K125*$L125,"")</f>
        <v>0</v>
      </c>
      <c r="R125" s="48" t="n">
        <f aca="false">IF(OR($O125="",$P125=""),0,$O125*$P125)</f>
        <v>0</v>
      </c>
      <c r="S125" s="20"/>
      <c r="T125" s="20"/>
      <c r="U125" s="33" t="n">
        <f aca="false">IF($A125="",0,IF(AND(OR($E125=Atleta!$C$4,$E125="Equipe (todos)"),$A125&gt;=Atleta!$C$5),MAX($U$7:U124)+1,0))</f>
        <v>0</v>
      </c>
    </row>
    <row r="126" customFormat="false" ht="15" hidden="false" customHeight="false" outlineLevel="0" collapsed="false">
      <c r="A126" s="21"/>
      <c r="B126" s="33" t="n">
        <f aca="false">IF($A126="",0,INT(($A126-Macrociclo!$C$11)/7)+1)</f>
        <v>0</v>
      </c>
      <c r="C126" s="22"/>
      <c r="D126" s="22"/>
      <c r="E126" s="20"/>
      <c r="F126" s="22"/>
      <c r="G126" s="20"/>
      <c r="H126" s="19" t="str">
        <f aca="false">IFERROR(INDEX(Exercícios!$C$7:$C$206,MATCH($G126,Exercícios!$B$7:$B$206,0)),"")</f>
        <v/>
      </c>
      <c r="I126" s="19" t="str">
        <f aca="false">IFERROR(INDEX(Exercícios!$D$7:$D$206,MATCH($G126,Exercícios!$B$7:$B$206,0)),"")</f>
        <v/>
      </c>
      <c r="J126" s="19" t="str">
        <f aca="false">IFERROR(INDEX(Exercícios!$E$7:$E$206,MATCH($G126,Exercícios!$B$7:$B$206,0)),"")</f>
        <v/>
      </c>
      <c r="K126" s="22"/>
      <c r="L126" s="22"/>
      <c r="M126" s="20"/>
      <c r="N126" s="22"/>
      <c r="O126" s="22"/>
      <c r="P126" s="22"/>
      <c r="Q126" s="19" t="n">
        <f aca="false">IFERROR($K126*$L126,"")</f>
        <v>0</v>
      </c>
      <c r="R126" s="48" t="n">
        <f aca="false">IF(OR($O126="",$P126=""),0,$O126*$P126)</f>
        <v>0</v>
      </c>
      <c r="S126" s="20"/>
      <c r="T126" s="20"/>
      <c r="U126" s="33" t="n">
        <f aca="false">IF($A126="",0,IF(AND(OR($E126=Atleta!$C$4,$E126="Equipe (todos)"),$A126&gt;=Atleta!$C$5),MAX($U$7:U125)+1,0))</f>
        <v>0</v>
      </c>
    </row>
    <row r="127" customFormat="false" ht="15" hidden="false" customHeight="false" outlineLevel="0" collapsed="false">
      <c r="A127" s="21"/>
      <c r="B127" s="33" t="n">
        <f aca="false">IF($A127="",0,INT(($A127-Macrociclo!$C$11)/7)+1)</f>
        <v>0</v>
      </c>
      <c r="C127" s="22"/>
      <c r="D127" s="22"/>
      <c r="E127" s="20"/>
      <c r="F127" s="22"/>
      <c r="G127" s="20"/>
      <c r="H127" s="19" t="str">
        <f aca="false">IFERROR(INDEX(Exercícios!$C$7:$C$206,MATCH($G127,Exercícios!$B$7:$B$206,0)),"")</f>
        <v/>
      </c>
      <c r="I127" s="19" t="str">
        <f aca="false">IFERROR(INDEX(Exercícios!$D$7:$D$206,MATCH($G127,Exercícios!$B$7:$B$206,0)),"")</f>
        <v/>
      </c>
      <c r="J127" s="19" t="str">
        <f aca="false">IFERROR(INDEX(Exercícios!$E$7:$E$206,MATCH($G127,Exercícios!$B$7:$B$206,0)),"")</f>
        <v/>
      </c>
      <c r="K127" s="22"/>
      <c r="L127" s="22"/>
      <c r="M127" s="20"/>
      <c r="N127" s="22"/>
      <c r="O127" s="22"/>
      <c r="P127" s="22"/>
      <c r="Q127" s="19" t="n">
        <f aca="false">IFERROR($K127*$L127,"")</f>
        <v>0</v>
      </c>
      <c r="R127" s="48" t="n">
        <f aca="false">IF(OR($O127="",$P127=""),0,$O127*$P127)</f>
        <v>0</v>
      </c>
      <c r="S127" s="20"/>
      <c r="T127" s="20"/>
      <c r="U127" s="33" t="n">
        <f aca="false">IF($A127="",0,IF(AND(OR($E127=Atleta!$C$4,$E127="Equipe (todos)"),$A127&gt;=Atleta!$C$5),MAX($U$7:U126)+1,0))</f>
        <v>0</v>
      </c>
    </row>
    <row r="128" customFormat="false" ht="15" hidden="false" customHeight="false" outlineLevel="0" collapsed="false">
      <c r="A128" s="21"/>
      <c r="B128" s="33" t="n">
        <f aca="false">IF($A128="",0,INT(($A128-Macrociclo!$C$11)/7)+1)</f>
        <v>0</v>
      </c>
      <c r="C128" s="22"/>
      <c r="D128" s="22"/>
      <c r="E128" s="20"/>
      <c r="F128" s="22"/>
      <c r="G128" s="20"/>
      <c r="H128" s="19" t="str">
        <f aca="false">IFERROR(INDEX(Exercícios!$C$7:$C$206,MATCH($G128,Exercícios!$B$7:$B$206,0)),"")</f>
        <v/>
      </c>
      <c r="I128" s="19" t="str">
        <f aca="false">IFERROR(INDEX(Exercícios!$D$7:$D$206,MATCH($G128,Exercícios!$B$7:$B$206,0)),"")</f>
        <v/>
      </c>
      <c r="J128" s="19" t="str">
        <f aca="false">IFERROR(INDEX(Exercícios!$E$7:$E$206,MATCH($G128,Exercícios!$B$7:$B$206,0)),"")</f>
        <v/>
      </c>
      <c r="K128" s="22"/>
      <c r="L128" s="22"/>
      <c r="M128" s="20"/>
      <c r="N128" s="22"/>
      <c r="O128" s="22"/>
      <c r="P128" s="22"/>
      <c r="Q128" s="19" t="n">
        <f aca="false">IFERROR($K128*$L128,"")</f>
        <v>0</v>
      </c>
      <c r="R128" s="48" t="n">
        <f aca="false">IF(OR($O128="",$P128=""),0,$O128*$P128)</f>
        <v>0</v>
      </c>
      <c r="S128" s="20"/>
      <c r="T128" s="20"/>
      <c r="U128" s="33" t="n">
        <f aca="false">IF($A128="",0,IF(AND(OR($E128=Atleta!$C$4,$E128="Equipe (todos)"),$A128&gt;=Atleta!$C$5),MAX($U$7:U127)+1,0))</f>
        <v>0</v>
      </c>
    </row>
    <row r="129" customFormat="false" ht="15" hidden="false" customHeight="false" outlineLevel="0" collapsed="false">
      <c r="A129" s="21"/>
      <c r="B129" s="33" t="n">
        <f aca="false">IF($A129="",0,INT(($A129-Macrociclo!$C$11)/7)+1)</f>
        <v>0</v>
      </c>
      <c r="C129" s="22"/>
      <c r="D129" s="22"/>
      <c r="E129" s="20"/>
      <c r="F129" s="22"/>
      <c r="G129" s="20"/>
      <c r="H129" s="19" t="str">
        <f aca="false">IFERROR(INDEX(Exercícios!$C$7:$C$206,MATCH($G129,Exercícios!$B$7:$B$206,0)),"")</f>
        <v/>
      </c>
      <c r="I129" s="19" t="str">
        <f aca="false">IFERROR(INDEX(Exercícios!$D$7:$D$206,MATCH($G129,Exercícios!$B$7:$B$206,0)),"")</f>
        <v/>
      </c>
      <c r="J129" s="19" t="str">
        <f aca="false">IFERROR(INDEX(Exercícios!$E$7:$E$206,MATCH($G129,Exercícios!$B$7:$B$206,0)),"")</f>
        <v/>
      </c>
      <c r="K129" s="22"/>
      <c r="L129" s="22"/>
      <c r="M129" s="20"/>
      <c r="N129" s="22"/>
      <c r="O129" s="22"/>
      <c r="P129" s="22"/>
      <c r="Q129" s="19" t="n">
        <f aca="false">IFERROR($K129*$L129,"")</f>
        <v>0</v>
      </c>
      <c r="R129" s="48" t="n">
        <f aca="false">IF(OR($O129="",$P129=""),0,$O129*$P129)</f>
        <v>0</v>
      </c>
      <c r="S129" s="20"/>
      <c r="T129" s="20"/>
      <c r="U129" s="33" t="n">
        <f aca="false">IF($A129="",0,IF(AND(OR($E129=Atleta!$C$4,$E129="Equipe (todos)"),$A129&gt;=Atleta!$C$5),MAX($U$7:U128)+1,0))</f>
        <v>0</v>
      </c>
    </row>
    <row r="130" customFormat="false" ht="15" hidden="false" customHeight="false" outlineLevel="0" collapsed="false">
      <c r="A130" s="21"/>
      <c r="B130" s="33" t="n">
        <f aca="false">IF($A130="",0,INT(($A130-Macrociclo!$C$11)/7)+1)</f>
        <v>0</v>
      </c>
      <c r="C130" s="22"/>
      <c r="D130" s="22"/>
      <c r="E130" s="20"/>
      <c r="F130" s="22"/>
      <c r="G130" s="20"/>
      <c r="H130" s="19" t="str">
        <f aca="false">IFERROR(INDEX(Exercícios!$C$7:$C$206,MATCH($G130,Exercícios!$B$7:$B$206,0)),"")</f>
        <v/>
      </c>
      <c r="I130" s="19" t="str">
        <f aca="false">IFERROR(INDEX(Exercícios!$D$7:$D$206,MATCH($G130,Exercícios!$B$7:$B$206,0)),"")</f>
        <v/>
      </c>
      <c r="J130" s="19" t="str">
        <f aca="false">IFERROR(INDEX(Exercícios!$E$7:$E$206,MATCH($G130,Exercícios!$B$7:$B$206,0)),"")</f>
        <v/>
      </c>
      <c r="K130" s="22"/>
      <c r="L130" s="22"/>
      <c r="M130" s="20"/>
      <c r="N130" s="22"/>
      <c r="O130" s="22"/>
      <c r="P130" s="22"/>
      <c r="Q130" s="19" t="n">
        <f aca="false">IFERROR($K130*$L130,"")</f>
        <v>0</v>
      </c>
      <c r="R130" s="48" t="n">
        <f aca="false">IF(OR($O130="",$P130=""),0,$O130*$P130)</f>
        <v>0</v>
      </c>
      <c r="S130" s="20"/>
      <c r="T130" s="20"/>
      <c r="U130" s="33" t="n">
        <f aca="false">IF($A130="",0,IF(AND(OR($E130=Atleta!$C$4,$E130="Equipe (todos)"),$A130&gt;=Atleta!$C$5),MAX($U$7:U129)+1,0))</f>
        <v>0</v>
      </c>
    </row>
    <row r="131" customFormat="false" ht="15" hidden="false" customHeight="false" outlineLevel="0" collapsed="false">
      <c r="A131" s="21"/>
      <c r="B131" s="33" t="n">
        <f aca="false">IF($A131="",0,INT(($A131-Macrociclo!$C$11)/7)+1)</f>
        <v>0</v>
      </c>
      <c r="C131" s="22"/>
      <c r="D131" s="22"/>
      <c r="E131" s="20"/>
      <c r="F131" s="22"/>
      <c r="G131" s="20"/>
      <c r="H131" s="19" t="str">
        <f aca="false">IFERROR(INDEX(Exercícios!$C$7:$C$206,MATCH($G131,Exercícios!$B$7:$B$206,0)),"")</f>
        <v/>
      </c>
      <c r="I131" s="19" t="str">
        <f aca="false">IFERROR(INDEX(Exercícios!$D$7:$D$206,MATCH($G131,Exercícios!$B$7:$B$206,0)),"")</f>
        <v/>
      </c>
      <c r="J131" s="19" t="str">
        <f aca="false">IFERROR(INDEX(Exercícios!$E$7:$E$206,MATCH($G131,Exercícios!$B$7:$B$206,0)),"")</f>
        <v/>
      </c>
      <c r="K131" s="22"/>
      <c r="L131" s="22"/>
      <c r="M131" s="20"/>
      <c r="N131" s="22"/>
      <c r="O131" s="22"/>
      <c r="P131" s="22"/>
      <c r="Q131" s="19" t="n">
        <f aca="false">IFERROR($K131*$L131,"")</f>
        <v>0</v>
      </c>
      <c r="R131" s="48" t="n">
        <f aca="false">IF(OR($O131="",$P131=""),0,$O131*$P131)</f>
        <v>0</v>
      </c>
      <c r="S131" s="20"/>
      <c r="T131" s="20"/>
      <c r="U131" s="33" t="n">
        <f aca="false">IF($A131="",0,IF(AND(OR($E131=Atleta!$C$4,$E131="Equipe (todos)"),$A131&gt;=Atleta!$C$5),MAX($U$7:U130)+1,0))</f>
        <v>0</v>
      </c>
    </row>
    <row r="132" customFormat="false" ht="15" hidden="false" customHeight="false" outlineLevel="0" collapsed="false">
      <c r="A132" s="21"/>
      <c r="B132" s="33" t="n">
        <f aca="false">IF($A132="",0,INT(($A132-Macrociclo!$C$11)/7)+1)</f>
        <v>0</v>
      </c>
      <c r="C132" s="22"/>
      <c r="D132" s="22"/>
      <c r="E132" s="20"/>
      <c r="F132" s="22"/>
      <c r="G132" s="20"/>
      <c r="H132" s="19" t="str">
        <f aca="false">IFERROR(INDEX(Exercícios!$C$7:$C$206,MATCH($G132,Exercícios!$B$7:$B$206,0)),"")</f>
        <v/>
      </c>
      <c r="I132" s="19" t="str">
        <f aca="false">IFERROR(INDEX(Exercícios!$D$7:$D$206,MATCH($G132,Exercícios!$B$7:$B$206,0)),"")</f>
        <v/>
      </c>
      <c r="J132" s="19" t="str">
        <f aca="false">IFERROR(INDEX(Exercícios!$E$7:$E$206,MATCH($G132,Exercícios!$B$7:$B$206,0)),"")</f>
        <v/>
      </c>
      <c r="K132" s="22"/>
      <c r="L132" s="22"/>
      <c r="M132" s="20"/>
      <c r="N132" s="22"/>
      <c r="O132" s="22"/>
      <c r="P132" s="22"/>
      <c r="Q132" s="19" t="n">
        <f aca="false">IFERROR($K132*$L132,"")</f>
        <v>0</v>
      </c>
      <c r="R132" s="48" t="n">
        <f aca="false">IF(OR($O132="",$P132=""),0,$O132*$P132)</f>
        <v>0</v>
      </c>
      <c r="S132" s="20"/>
      <c r="T132" s="20"/>
      <c r="U132" s="33" t="n">
        <f aca="false">IF($A132="",0,IF(AND(OR($E132=Atleta!$C$4,$E132="Equipe (todos)"),$A132&gt;=Atleta!$C$5),MAX($U$7:U131)+1,0))</f>
        <v>0</v>
      </c>
    </row>
    <row r="133" customFormat="false" ht="15" hidden="false" customHeight="false" outlineLevel="0" collapsed="false">
      <c r="A133" s="21"/>
      <c r="B133" s="33" t="n">
        <f aca="false">IF($A133="",0,INT(($A133-Macrociclo!$C$11)/7)+1)</f>
        <v>0</v>
      </c>
      <c r="C133" s="22"/>
      <c r="D133" s="22"/>
      <c r="E133" s="20"/>
      <c r="F133" s="22"/>
      <c r="G133" s="20"/>
      <c r="H133" s="19" t="str">
        <f aca="false">IFERROR(INDEX(Exercícios!$C$7:$C$206,MATCH($G133,Exercícios!$B$7:$B$206,0)),"")</f>
        <v/>
      </c>
      <c r="I133" s="19" t="str">
        <f aca="false">IFERROR(INDEX(Exercícios!$D$7:$D$206,MATCH($G133,Exercícios!$B$7:$B$206,0)),"")</f>
        <v/>
      </c>
      <c r="J133" s="19" t="str">
        <f aca="false">IFERROR(INDEX(Exercícios!$E$7:$E$206,MATCH($G133,Exercícios!$B$7:$B$206,0)),"")</f>
        <v/>
      </c>
      <c r="K133" s="22"/>
      <c r="L133" s="22"/>
      <c r="M133" s="20"/>
      <c r="N133" s="22"/>
      <c r="O133" s="22"/>
      <c r="P133" s="22"/>
      <c r="Q133" s="19" t="n">
        <f aca="false">IFERROR($K133*$L133,"")</f>
        <v>0</v>
      </c>
      <c r="R133" s="48" t="n">
        <f aca="false">IF(OR($O133="",$P133=""),0,$O133*$P133)</f>
        <v>0</v>
      </c>
      <c r="S133" s="20"/>
      <c r="T133" s="20"/>
      <c r="U133" s="33" t="n">
        <f aca="false">IF($A133="",0,IF(AND(OR($E133=Atleta!$C$4,$E133="Equipe (todos)"),$A133&gt;=Atleta!$C$5),MAX($U$7:U132)+1,0))</f>
        <v>0</v>
      </c>
    </row>
    <row r="134" customFormat="false" ht="15" hidden="false" customHeight="false" outlineLevel="0" collapsed="false">
      <c r="A134" s="21"/>
      <c r="B134" s="33" t="n">
        <f aca="false">IF($A134="",0,INT(($A134-Macrociclo!$C$11)/7)+1)</f>
        <v>0</v>
      </c>
      <c r="C134" s="22"/>
      <c r="D134" s="22"/>
      <c r="E134" s="20"/>
      <c r="F134" s="22"/>
      <c r="G134" s="20"/>
      <c r="H134" s="19" t="str">
        <f aca="false">IFERROR(INDEX(Exercícios!$C$7:$C$206,MATCH($G134,Exercícios!$B$7:$B$206,0)),"")</f>
        <v/>
      </c>
      <c r="I134" s="19" t="str">
        <f aca="false">IFERROR(INDEX(Exercícios!$D$7:$D$206,MATCH($G134,Exercícios!$B$7:$B$206,0)),"")</f>
        <v/>
      </c>
      <c r="J134" s="19" t="str">
        <f aca="false">IFERROR(INDEX(Exercícios!$E$7:$E$206,MATCH($G134,Exercícios!$B$7:$B$206,0)),"")</f>
        <v/>
      </c>
      <c r="K134" s="22"/>
      <c r="L134" s="22"/>
      <c r="M134" s="20"/>
      <c r="N134" s="22"/>
      <c r="O134" s="22"/>
      <c r="P134" s="22"/>
      <c r="Q134" s="19" t="n">
        <f aca="false">IFERROR($K134*$L134,"")</f>
        <v>0</v>
      </c>
      <c r="R134" s="48" t="n">
        <f aca="false">IF(OR($O134="",$P134=""),0,$O134*$P134)</f>
        <v>0</v>
      </c>
      <c r="S134" s="20"/>
      <c r="T134" s="20"/>
      <c r="U134" s="33" t="n">
        <f aca="false">IF($A134="",0,IF(AND(OR($E134=Atleta!$C$4,$E134="Equipe (todos)"),$A134&gt;=Atleta!$C$5),MAX($U$7:U133)+1,0))</f>
        <v>0</v>
      </c>
    </row>
    <row r="135" customFormat="false" ht="15" hidden="false" customHeight="false" outlineLevel="0" collapsed="false">
      <c r="A135" s="21"/>
      <c r="B135" s="33" t="n">
        <f aca="false">IF($A135="",0,INT(($A135-Macrociclo!$C$11)/7)+1)</f>
        <v>0</v>
      </c>
      <c r="C135" s="22"/>
      <c r="D135" s="22"/>
      <c r="E135" s="20"/>
      <c r="F135" s="22"/>
      <c r="G135" s="20"/>
      <c r="H135" s="19" t="str">
        <f aca="false">IFERROR(INDEX(Exercícios!$C$7:$C$206,MATCH($G135,Exercícios!$B$7:$B$206,0)),"")</f>
        <v/>
      </c>
      <c r="I135" s="19" t="str">
        <f aca="false">IFERROR(INDEX(Exercícios!$D$7:$D$206,MATCH($G135,Exercícios!$B$7:$B$206,0)),"")</f>
        <v/>
      </c>
      <c r="J135" s="19" t="str">
        <f aca="false">IFERROR(INDEX(Exercícios!$E$7:$E$206,MATCH($G135,Exercícios!$B$7:$B$206,0)),"")</f>
        <v/>
      </c>
      <c r="K135" s="22"/>
      <c r="L135" s="22"/>
      <c r="M135" s="20"/>
      <c r="N135" s="22"/>
      <c r="O135" s="22"/>
      <c r="P135" s="22"/>
      <c r="Q135" s="19" t="n">
        <f aca="false">IFERROR($K135*$L135,"")</f>
        <v>0</v>
      </c>
      <c r="R135" s="48" t="n">
        <f aca="false">IF(OR($O135="",$P135=""),0,$O135*$P135)</f>
        <v>0</v>
      </c>
      <c r="S135" s="20"/>
      <c r="T135" s="20"/>
      <c r="U135" s="33" t="n">
        <f aca="false">IF($A135="",0,IF(AND(OR($E135=Atleta!$C$4,$E135="Equipe (todos)"),$A135&gt;=Atleta!$C$5),MAX($U$7:U134)+1,0))</f>
        <v>0</v>
      </c>
    </row>
    <row r="136" customFormat="false" ht="15" hidden="false" customHeight="false" outlineLevel="0" collapsed="false">
      <c r="A136" s="21"/>
      <c r="B136" s="33" t="n">
        <f aca="false">IF($A136="",0,INT(($A136-Macrociclo!$C$11)/7)+1)</f>
        <v>0</v>
      </c>
      <c r="C136" s="22"/>
      <c r="D136" s="22"/>
      <c r="E136" s="20"/>
      <c r="F136" s="22"/>
      <c r="G136" s="20"/>
      <c r="H136" s="19" t="str">
        <f aca="false">IFERROR(INDEX(Exercícios!$C$7:$C$206,MATCH($G136,Exercícios!$B$7:$B$206,0)),"")</f>
        <v/>
      </c>
      <c r="I136" s="19" t="str">
        <f aca="false">IFERROR(INDEX(Exercícios!$D$7:$D$206,MATCH($G136,Exercícios!$B$7:$B$206,0)),"")</f>
        <v/>
      </c>
      <c r="J136" s="19" t="str">
        <f aca="false">IFERROR(INDEX(Exercícios!$E$7:$E$206,MATCH($G136,Exercícios!$B$7:$B$206,0)),"")</f>
        <v/>
      </c>
      <c r="K136" s="22"/>
      <c r="L136" s="22"/>
      <c r="M136" s="20"/>
      <c r="N136" s="22"/>
      <c r="O136" s="22"/>
      <c r="P136" s="22"/>
      <c r="Q136" s="19" t="n">
        <f aca="false">IFERROR($K136*$L136,"")</f>
        <v>0</v>
      </c>
      <c r="R136" s="48" t="n">
        <f aca="false">IF(OR($O136="",$P136=""),0,$O136*$P136)</f>
        <v>0</v>
      </c>
      <c r="S136" s="20"/>
      <c r="T136" s="20"/>
      <c r="U136" s="33" t="n">
        <f aca="false">IF($A136="",0,IF(AND(OR($E136=Atleta!$C$4,$E136="Equipe (todos)"),$A136&gt;=Atleta!$C$5),MAX($U$7:U135)+1,0))</f>
        <v>0</v>
      </c>
    </row>
    <row r="137" customFormat="false" ht="15" hidden="false" customHeight="false" outlineLevel="0" collapsed="false">
      <c r="A137" s="21"/>
      <c r="B137" s="33" t="n">
        <f aca="false">IF($A137="",0,INT(($A137-Macrociclo!$C$11)/7)+1)</f>
        <v>0</v>
      </c>
      <c r="C137" s="22"/>
      <c r="D137" s="22"/>
      <c r="E137" s="20"/>
      <c r="F137" s="22"/>
      <c r="G137" s="20"/>
      <c r="H137" s="19" t="str">
        <f aca="false">IFERROR(INDEX(Exercícios!$C$7:$C$206,MATCH($G137,Exercícios!$B$7:$B$206,0)),"")</f>
        <v/>
      </c>
      <c r="I137" s="19" t="str">
        <f aca="false">IFERROR(INDEX(Exercícios!$D$7:$D$206,MATCH($G137,Exercícios!$B$7:$B$206,0)),"")</f>
        <v/>
      </c>
      <c r="J137" s="19" t="str">
        <f aca="false">IFERROR(INDEX(Exercícios!$E$7:$E$206,MATCH($G137,Exercícios!$B$7:$B$206,0)),"")</f>
        <v/>
      </c>
      <c r="K137" s="22"/>
      <c r="L137" s="22"/>
      <c r="M137" s="20"/>
      <c r="N137" s="22"/>
      <c r="O137" s="22"/>
      <c r="P137" s="22"/>
      <c r="Q137" s="19" t="n">
        <f aca="false">IFERROR($K137*$L137,"")</f>
        <v>0</v>
      </c>
      <c r="R137" s="48" t="n">
        <f aca="false">IF(OR($O137="",$P137=""),0,$O137*$P137)</f>
        <v>0</v>
      </c>
      <c r="S137" s="20"/>
      <c r="T137" s="20"/>
      <c r="U137" s="33" t="n">
        <f aca="false">IF($A137="",0,IF(AND(OR($E137=Atleta!$C$4,$E137="Equipe (todos)"),$A137&gt;=Atleta!$C$5),MAX($U$7:U136)+1,0))</f>
        <v>0</v>
      </c>
    </row>
    <row r="138" customFormat="false" ht="15" hidden="false" customHeight="false" outlineLevel="0" collapsed="false">
      <c r="A138" s="21"/>
      <c r="B138" s="33" t="n">
        <f aca="false">IF($A138="",0,INT(($A138-Macrociclo!$C$11)/7)+1)</f>
        <v>0</v>
      </c>
      <c r="C138" s="22"/>
      <c r="D138" s="22"/>
      <c r="E138" s="20"/>
      <c r="F138" s="22"/>
      <c r="G138" s="20"/>
      <c r="H138" s="19" t="str">
        <f aca="false">IFERROR(INDEX(Exercícios!$C$7:$C$206,MATCH($G138,Exercícios!$B$7:$B$206,0)),"")</f>
        <v/>
      </c>
      <c r="I138" s="19" t="str">
        <f aca="false">IFERROR(INDEX(Exercícios!$D$7:$D$206,MATCH($G138,Exercícios!$B$7:$B$206,0)),"")</f>
        <v/>
      </c>
      <c r="J138" s="19" t="str">
        <f aca="false">IFERROR(INDEX(Exercícios!$E$7:$E$206,MATCH($G138,Exercícios!$B$7:$B$206,0)),"")</f>
        <v/>
      </c>
      <c r="K138" s="22"/>
      <c r="L138" s="22"/>
      <c r="M138" s="20"/>
      <c r="N138" s="22"/>
      <c r="O138" s="22"/>
      <c r="P138" s="22"/>
      <c r="Q138" s="19" t="n">
        <f aca="false">IFERROR($K138*$L138,"")</f>
        <v>0</v>
      </c>
      <c r="R138" s="48" t="n">
        <f aca="false">IF(OR($O138="",$P138=""),0,$O138*$P138)</f>
        <v>0</v>
      </c>
      <c r="S138" s="20"/>
      <c r="T138" s="20"/>
      <c r="U138" s="33" t="n">
        <f aca="false">IF($A138="",0,IF(AND(OR($E138=Atleta!$C$4,$E138="Equipe (todos)"),$A138&gt;=Atleta!$C$5),MAX($U$7:U137)+1,0))</f>
        <v>0</v>
      </c>
    </row>
    <row r="139" customFormat="false" ht="15" hidden="false" customHeight="false" outlineLevel="0" collapsed="false">
      <c r="A139" s="21"/>
      <c r="B139" s="33" t="n">
        <f aca="false">IF($A139="",0,INT(($A139-Macrociclo!$C$11)/7)+1)</f>
        <v>0</v>
      </c>
      <c r="C139" s="22"/>
      <c r="D139" s="22"/>
      <c r="E139" s="20"/>
      <c r="F139" s="22"/>
      <c r="G139" s="20"/>
      <c r="H139" s="19" t="str">
        <f aca="false">IFERROR(INDEX(Exercícios!$C$7:$C$206,MATCH($G139,Exercícios!$B$7:$B$206,0)),"")</f>
        <v/>
      </c>
      <c r="I139" s="19" t="str">
        <f aca="false">IFERROR(INDEX(Exercícios!$D$7:$D$206,MATCH($G139,Exercícios!$B$7:$B$206,0)),"")</f>
        <v/>
      </c>
      <c r="J139" s="19" t="str">
        <f aca="false">IFERROR(INDEX(Exercícios!$E$7:$E$206,MATCH($G139,Exercícios!$B$7:$B$206,0)),"")</f>
        <v/>
      </c>
      <c r="K139" s="22"/>
      <c r="L139" s="22"/>
      <c r="M139" s="20"/>
      <c r="N139" s="22"/>
      <c r="O139" s="22"/>
      <c r="P139" s="22"/>
      <c r="Q139" s="19" t="n">
        <f aca="false">IFERROR($K139*$L139,"")</f>
        <v>0</v>
      </c>
      <c r="R139" s="48" t="n">
        <f aca="false">IF(OR($O139="",$P139=""),0,$O139*$P139)</f>
        <v>0</v>
      </c>
      <c r="S139" s="20"/>
      <c r="T139" s="20"/>
      <c r="U139" s="33" t="n">
        <f aca="false">IF($A139="",0,IF(AND(OR($E139=Atleta!$C$4,$E139="Equipe (todos)"),$A139&gt;=Atleta!$C$5),MAX($U$7:U138)+1,0))</f>
        <v>0</v>
      </c>
    </row>
    <row r="140" customFormat="false" ht="15" hidden="false" customHeight="false" outlineLevel="0" collapsed="false">
      <c r="A140" s="21"/>
      <c r="B140" s="33" t="n">
        <f aca="false">IF($A140="",0,INT(($A140-Macrociclo!$C$11)/7)+1)</f>
        <v>0</v>
      </c>
      <c r="C140" s="22"/>
      <c r="D140" s="22"/>
      <c r="E140" s="20"/>
      <c r="F140" s="22"/>
      <c r="G140" s="20"/>
      <c r="H140" s="19" t="str">
        <f aca="false">IFERROR(INDEX(Exercícios!$C$7:$C$206,MATCH($G140,Exercícios!$B$7:$B$206,0)),"")</f>
        <v/>
      </c>
      <c r="I140" s="19" t="str">
        <f aca="false">IFERROR(INDEX(Exercícios!$D$7:$D$206,MATCH($G140,Exercícios!$B$7:$B$206,0)),"")</f>
        <v/>
      </c>
      <c r="J140" s="19" t="str">
        <f aca="false">IFERROR(INDEX(Exercícios!$E$7:$E$206,MATCH($G140,Exercícios!$B$7:$B$206,0)),"")</f>
        <v/>
      </c>
      <c r="K140" s="22"/>
      <c r="L140" s="22"/>
      <c r="M140" s="20"/>
      <c r="N140" s="22"/>
      <c r="O140" s="22"/>
      <c r="P140" s="22"/>
      <c r="Q140" s="19" t="n">
        <f aca="false">IFERROR($K140*$L140,"")</f>
        <v>0</v>
      </c>
      <c r="R140" s="48" t="n">
        <f aca="false">IF(OR($O140="",$P140=""),0,$O140*$P140)</f>
        <v>0</v>
      </c>
      <c r="S140" s="20"/>
      <c r="T140" s="20"/>
      <c r="U140" s="33" t="n">
        <f aca="false">IF($A140="",0,IF(AND(OR($E140=Atleta!$C$4,$E140="Equipe (todos)"),$A140&gt;=Atleta!$C$5),MAX($U$7:U139)+1,0))</f>
        <v>0</v>
      </c>
    </row>
    <row r="141" customFormat="false" ht="15" hidden="false" customHeight="false" outlineLevel="0" collapsed="false">
      <c r="A141" s="21"/>
      <c r="B141" s="33" t="n">
        <f aca="false">IF($A141="",0,INT(($A141-Macrociclo!$C$11)/7)+1)</f>
        <v>0</v>
      </c>
      <c r="C141" s="22"/>
      <c r="D141" s="22"/>
      <c r="E141" s="20"/>
      <c r="F141" s="22"/>
      <c r="G141" s="20"/>
      <c r="H141" s="19" t="str">
        <f aca="false">IFERROR(INDEX(Exercícios!$C$7:$C$206,MATCH($G141,Exercícios!$B$7:$B$206,0)),"")</f>
        <v/>
      </c>
      <c r="I141" s="19" t="str">
        <f aca="false">IFERROR(INDEX(Exercícios!$D$7:$D$206,MATCH($G141,Exercícios!$B$7:$B$206,0)),"")</f>
        <v/>
      </c>
      <c r="J141" s="19" t="str">
        <f aca="false">IFERROR(INDEX(Exercícios!$E$7:$E$206,MATCH($G141,Exercícios!$B$7:$B$206,0)),"")</f>
        <v/>
      </c>
      <c r="K141" s="22"/>
      <c r="L141" s="22"/>
      <c r="M141" s="20"/>
      <c r="N141" s="22"/>
      <c r="O141" s="22"/>
      <c r="P141" s="22"/>
      <c r="Q141" s="19" t="n">
        <f aca="false">IFERROR($K141*$L141,"")</f>
        <v>0</v>
      </c>
      <c r="R141" s="48" t="n">
        <f aca="false">IF(OR($O141="",$P141=""),0,$O141*$P141)</f>
        <v>0</v>
      </c>
      <c r="S141" s="20"/>
      <c r="T141" s="20"/>
      <c r="U141" s="33" t="n">
        <f aca="false">IF($A141="",0,IF(AND(OR($E141=Atleta!$C$4,$E141="Equipe (todos)"),$A141&gt;=Atleta!$C$5),MAX($U$7:U140)+1,0))</f>
        <v>0</v>
      </c>
    </row>
    <row r="142" customFormat="false" ht="15" hidden="false" customHeight="false" outlineLevel="0" collapsed="false">
      <c r="A142" s="21"/>
      <c r="B142" s="33" t="n">
        <f aca="false">IF($A142="",0,INT(($A142-Macrociclo!$C$11)/7)+1)</f>
        <v>0</v>
      </c>
      <c r="C142" s="22"/>
      <c r="D142" s="22"/>
      <c r="E142" s="20"/>
      <c r="F142" s="22"/>
      <c r="G142" s="20"/>
      <c r="H142" s="19" t="str">
        <f aca="false">IFERROR(INDEX(Exercícios!$C$7:$C$206,MATCH($G142,Exercícios!$B$7:$B$206,0)),"")</f>
        <v/>
      </c>
      <c r="I142" s="19" t="str">
        <f aca="false">IFERROR(INDEX(Exercícios!$D$7:$D$206,MATCH($G142,Exercícios!$B$7:$B$206,0)),"")</f>
        <v/>
      </c>
      <c r="J142" s="19" t="str">
        <f aca="false">IFERROR(INDEX(Exercícios!$E$7:$E$206,MATCH($G142,Exercícios!$B$7:$B$206,0)),"")</f>
        <v/>
      </c>
      <c r="K142" s="22"/>
      <c r="L142" s="22"/>
      <c r="M142" s="20"/>
      <c r="N142" s="22"/>
      <c r="O142" s="22"/>
      <c r="P142" s="22"/>
      <c r="Q142" s="19" t="n">
        <f aca="false">IFERROR($K142*$L142,"")</f>
        <v>0</v>
      </c>
      <c r="R142" s="48" t="n">
        <f aca="false">IF(OR($O142="",$P142=""),0,$O142*$P142)</f>
        <v>0</v>
      </c>
      <c r="S142" s="20"/>
      <c r="T142" s="20"/>
      <c r="U142" s="33" t="n">
        <f aca="false">IF($A142="",0,IF(AND(OR($E142=Atleta!$C$4,$E142="Equipe (todos)"),$A142&gt;=Atleta!$C$5),MAX($U$7:U141)+1,0))</f>
        <v>0</v>
      </c>
    </row>
    <row r="143" customFormat="false" ht="15" hidden="false" customHeight="false" outlineLevel="0" collapsed="false">
      <c r="A143" s="21"/>
      <c r="B143" s="33" t="n">
        <f aca="false">IF($A143="",0,INT(($A143-Macrociclo!$C$11)/7)+1)</f>
        <v>0</v>
      </c>
      <c r="C143" s="22"/>
      <c r="D143" s="22"/>
      <c r="E143" s="20"/>
      <c r="F143" s="22"/>
      <c r="G143" s="20"/>
      <c r="H143" s="19" t="str">
        <f aca="false">IFERROR(INDEX(Exercícios!$C$7:$C$206,MATCH($G143,Exercícios!$B$7:$B$206,0)),"")</f>
        <v/>
      </c>
      <c r="I143" s="19" t="str">
        <f aca="false">IFERROR(INDEX(Exercícios!$D$7:$D$206,MATCH($G143,Exercícios!$B$7:$B$206,0)),"")</f>
        <v/>
      </c>
      <c r="J143" s="19" t="str">
        <f aca="false">IFERROR(INDEX(Exercícios!$E$7:$E$206,MATCH($G143,Exercícios!$B$7:$B$206,0)),"")</f>
        <v/>
      </c>
      <c r="K143" s="22"/>
      <c r="L143" s="22"/>
      <c r="M143" s="20"/>
      <c r="N143" s="22"/>
      <c r="O143" s="22"/>
      <c r="P143" s="22"/>
      <c r="Q143" s="19" t="n">
        <f aca="false">IFERROR($K143*$L143,"")</f>
        <v>0</v>
      </c>
      <c r="R143" s="48" t="n">
        <f aca="false">IF(OR($O143="",$P143=""),0,$O143*$P143)</f>
        <v>0</v>
      </c>
      <c r="S143" s="20"/>
      <c r="T143" s="20"/>
      <c r="U143" s="33" t="n">
        <f aca="false">IF($A143="",0,IF(AND(OR($E143=Atleta!$C$4,$E143="Equipe (todos)"),$A143&gt;=Atleta!$C$5),MAX($U$7:U142)+1,0))</f>
        <v>0</v>
      </c>
    </row>
    <row r="144" customFormat="false" ht="15" hidden="false" customHeight="false" outlineLevel="0" collapsed="false">
      <c r="A144" s="21"/>
      <c r="B144" s="33" t="n">
        <f aca="false">IF($A144="",0,INT(($A144-Macrociclo!$C$11)/7)+1)</f>
        <v>0</v>
      </c>
      <c r="C144" s="22"/>
      <c r="D144" s="22"/>
      <c r="E144" s="20"/>
      <c r="F144" s="22"/>
      <c r="G144" s="20"/>
      <c r="H144" s="19" t="str">
        <f aca="false">IFERROR(INDEX(Exercícios!$C$7:$C$206,MATCH($G144,Exercícios!$B$7:$B$206,0)),"")</f>
        <v/>
      </c>
      <c r="I144" s="19" t="str">
        <f aca="false">IFERROR(INDEX(Exercícios!$D$7:$D$206,MATCH($G144,Exercícios!$B$7:$B$206,0)),"")</f>
        <v/>
      </c>
      <c r="J144" s="19" t="str">
        <f aca="false">IFERROR(INDEX(Exercícios!$E$7:$E$206,MATCH($G144,Exercícios!$B$7:$B$206,0)),"")</f>
        <v/>
      </c>
      <c r="K144" s="22"/>
      <c r="L144" s="22"/>
      <c r="M144" s="20"/>
      <c r="N144" s="22"/>
      <c r="O144" s="22"/>
      <c r="P144" s="22"/>
      <c r="Q144" s="19" t="n">
        <f aca="false">IFERROR($K144*$L144,"")</f>
        <v>0</v>
      </c>
      <c r="R144" s="48" t="n">
        <f aca="false">IF(OR($O144="",$P144=""),0,$O144*$P144)</f>
        <v>0</v>
      </c>
      <c r="S144" s="20"/>
      <c r="T144" s="20"/>
      <c r="U144" s="33" t="n">
        <f aca="false">IF($A144="",0,IF(AND(OR($E144=Atleta!$C$4,$E144="Equipe (todos)"),$A144&gt;=Atleta!$C$5),MAX($U$7:U143)+1,0))</f>
        <v>0</v>
      </c>
    </row>
    <row r="145" customFormat="false" ht="15" hidden="false" customHeight="false" outlineLevel="0" collapsed="false">
      <c r="A145" s="21"/>
      <c r="B145" s="33" t="n">
        <f aca="false">IF($A145="",0,INT(($A145-Macrociclo!$C$11)/7)+1)</f>
        <v>0</v>
      </c>
      <c r="C145" s="22"/>
      <c r="D145" s="22"/>
      <c r="E145" s="20"/>
      <c r="F145" s="22"/>
      <c r="G145" s="20"/>
      <c r="H145" s="19" t="str">
        <f aca="false">IFERROR(INDEX(Exercícios!$C$7:$C$206,MATCH($G145,Exercícios!$B$7:$B$206,0)),"")</f>
        <v/>
      </c>
      <c r="I145" s="19" t="str">
        <f aca="false">IFERROR(INDEX(Exercícios!$D$7:$D$206,MATCH($G145,Exercícios!$B$7:$B$206,0)),"")</f>
        <v/>
      </c>
      <c r="J145" s="19" t="str">
        <f aca="false">IFERROR(INDEX(Exercícios!$E$7:$E$206,MATCH($G145,Exercícios!$B$7:$B$206,0)),"")</f>
        <v/>
      </c>
      <c r="K145" s="22"/>
      <c r="L145" s="22"/>
      <c r="M145" s="20"/>
      <c r="N145" s="22"/>
      <c r="O145" s="22"/>
      <c r="P145" s="22"/>
      <c r="Q145" s="19" t="n">
        <f aca="false">IFERROR($K145*$L145,"")</f>
        <v>0</v>
      </c>
      <c r="R145" s="48" t="n">
        <f aca="false">IF(OR($O145="",$P145=""),0,$O145*$P145)</f>
        <v>0</v>
      </c>
      <c r="S145" s="20"/>
      <c r="T145" s="20"/>
      <c r="U145" s="33" t="n">
        <f aca="false">IF($A145="",0,IF(AND(OR($E145=Atleta!$C$4,$E145="Equipe (todos)"),$A145&gt;=Atleta!$C$5),MAX($U$7:U144)+1,0))</f>
        <v>0</v>
      </c>
    </row>
    <row r="146" customFormat="false" ht="15" hidden="false" customHeight="false" outlineLevel="0" collapsed="false">
      <c r="A146" s="21"/>
      <c r="B146" s="33" t="n">
        <f aca="false">IF($A146="",0,INT(($A146-Macrociclo!$C$11)/7)+1)</f>
        <v>0</v>
      </c>
      <c r="C146" s="22"/>
      <c r="D146" s="22"/>
      <c r="E146" s="20"/>
      <c r="F146" s="22"/>
      <c r="G146" s="20"/>
      <c r="H146" s="19" t="str">
        <f aca="false">IFERROR(INDEX(Exercícios!$C$7:$C$206,MATCH($G146,Exercícios!$B$7:$B$206,0)),"")</f>
        <v/>
      </c>
      <c r="I146" s="19" t="str">
        <f aca="false">IFERROR(INDEX(Exercícios!$D$7:$D$206,MATCH($G146,Exercícios!$B$7:$B$206,0)),"")</f>
        <v/>
      </c>
      <c r="J146" s="19" t="str">
        <f aca="false">IFERROR(INDEX(Exercícios!$E$7:$E$206,MATCH($G146,Exercícios!$B$7:$B$206,0)),"")</f>
        <v/>
      </c>
      <c r="K146" s="22"/>
      <c r="L146" s="22"/>
      <c r="M146" s="20"/>
      <c r="N146" s="22"/>
      <c r="O146" s="22"/>
      <c r="P146" s="22"/>
      <c r="Q146" s="19" t="n">
        <f aca="false">IFERROR($K146*$L146,"")</f>
        <v>0</v>
      </c>
      <c r="R146" s="48" t="n">
        <f aca="false">IF(OR($O146="",$P146=""),0,$O146*$P146)</f>
        <v>0</v>
      </c>
      <c r="S146" s="20"/>
      <c r="T146" s="20"/>
      <c r="U146" s="33" t="n">
        <f aca="false">IF($A146="",0,IF(AND(OR($E146=Atleta!$C$4,$E146="Equipe (todos)"),$A146&gt;=Atleta!$C$5),MAX($U$7:U145)+1,0))</f>
        <v>0</v>
      </c>
    </row>
    <row r="147" customFormat="false" ht="15" hidden="false" customHeight="false" outlineLevel="0" collapsed="false">
      <c r="A147" s="21"/>
      <c r="B147" s="33" t="n">
        <f aca="false">IF($A147="",0,INT(($A147-Macrociclo!$C$11)/7)+1)</f>
        <v>0</v>
      </c>
      <c r="C147" s="22"/>
      <c r="D147" s="22"/>
      <c r="E147" s="20"/>
      <c r="F147" s="22"/>
      <c r="G147" s="20"/>
      <c r="H147" s="19" t="str">
        <f aca="false">IFERROR(INDEX(Exercícios!$C$7:$C$206,MATCH($G147,Exercícios!$B$7:$B$206,0)),"")</f>
        <v/>
      </c>
      <c r="I147" s="19" t="str">
        <f aca="false">IFERROR(INDEX(Exercícios!$D$7:$D$206,MATCH($G147,Exercícios!$B$7:$B$206,0)),"")</f>
        <v/>
      </c>
      <c r="J147" s="19" t="str">
        <f aca="false">IFERROR(INDEX(Exercícios!$E$7:$E$206,MATCH($G147,Exercícios!$B$7:$B$206,0)),"")</f>
        <v/>
      </c>
      <c r="K147" s="22"/>
      <c r="L147" s="22"/>
      <c r="M147" s="20"/>
      <c r="N147" s="22"/>
      <c r="O147" s="22"/>
      <c r="P147" s="22"/>
      <c r="Q147" s="19" t="n">
        <f aca="false">IFERROR($K147*$L147,"")</f>
        <v>0</v>
      </c>
      <c r="R147" s="48" t="n">
        <f aca="false">IF(OR($O147="",$P147=""),0,$O147*$P147)</f>
        <v>0</v>
      </c>
      <c r="S147" s="20"/>
      <c r="T147" s="20"/>
      <c r="U147" s="33" t="n">
        <f aca="false">IF($A147="",0,IF(AND(OR($E147=Atleta!$C$4,$E147="Equipe (todos)"),$A147&gt;=Atleta!$C$5),MAX($U$7:U146)+1,0))</f>
        <v>0</v>
      </c>
    </row>
    <row r="148" customFormat="false" ht="15" hidden="false" customHeight="false" outlineLevel="0" collapsed="false">
      <c r="A148" s="21"/>
      <c r="B148" s="33" t="n">
        <f aca="false">IF($A148="",0,INT(($A148-Macrociclo!$C$11)/7)+1)</f>
        <v>0</v>
      </c>
      <c r="C148" s="22"/>
      <c r="D148" s="22"/>
      <c r="E148" s="20"/>
      <c r="F148" s="22"/>
      <c r="G148" s="20"/>
      <c r="H148" s="19" t="str">
        <f aca="false">IFERROR(INDEX(Exercícios!$C$7:$C$206,MATCH($G148,Exercícios!$B$7:$B$206,0)),"")</f>
        <v/>
      </c>
      <c r="I148" s="19" t="str">
        <f aca="false">IFERROR(INDEX(Exercícios!$D$7:$D$206,MATCH($G148,Exercícios!$B$7:$B$206,0)),"")</f>
        <v/>
      </c>
      <c r="J148" s="19" t="str">
        <f aca="false">IFERROR(INDEX(Exercícios!$E$7:$E$206,MATCH($G148,Exercícios!$B$7:$B$206,0)),"")</f>
        <v/>
      </c>
      <c r="K148" s="22"/>
      <c r="L148" s="22"/>
      <c r="M148" s="20"/>
      <c r="N148" s="22"/>
      <c r="O148" s="22"/>
      <c r="P148" s="22"/>
      <c r="Q148" s="19" t="n">
        <f aca="false">IFERROR($K148*$L148,"")</f>
        <v>0</v>
      </c>
      <c r="R148" s="48" t="n">
        <f aca="false">IF(OR($O148="",$P148=""),0,$O148*$P148)</f>
        <v>0</v>
      </c>
      <c r="S148" s="20"/>
      <c r="T148" s="20"/>
      <c r="U148" s="33" t="n">
        <f aca="false">IF($A148="",0,IF(AND(OR($E148=Atleta!$C$4,$E148="Equipe (todos)"),$A148&gt;=Atleta!$C$5),MAX($U$7:U147)+1,0))</f>
        <v>0</v>
      </c>
    </row>
    <row r="149" customFormat="false" ht="15" hidden="false" customHeight="false" outlineLevel="0" collapsed="false">
      <c r="A149" s="21"/>
      <c r="B149" s="33" t="n">
        <f aca="false">IF($A149="",0,INT(($A149-Macrociclo!$C$11)/7)+1)</f>
        <v>0</v>
      </c>
      <c r="C149" s="22"/>
      <c r="D149" s="22"/>
      <c r="E149" s="20"/>
      <c r="F149" s="22"/>
      <c r="G149" s="20"/>
      <c r="H149" s="19" t="str">
        <f aca="false">IFERROR(INDEX(Exercícios!$C$7:$C$206,MATCH($G149,Exercícios!$B$7:$B$206,0)),"")</f>
        <v/>
      </c>
      <c r="I149" s="19" t="str">
        <f aca="false">IFERROR(INDEX(Exercícios!$D$7:$D$206,MATCH($G149,Exercícios!$B$7:$B$206,0)),"")</f>
        <v/>
      </c>
      <c r="J149" s="19" t="str">
        <f aca="false">IFERROR(INDEX(Exercícios!$E$7:$E$206,MATCH($G149,Exercícios!$B$7:$B$206,0)),"")</f>
        <v/>
      </c>
      <c r="K149" s="22"/>
      <c r="L149" s="22"/>
      <c r="M149" s="20"/>
      <c r="N149" s="22"/>
      <c r="O149" s="22"/>
      <c r="P149" s="22"/>
      <c r="Q149" s="19" t="n">
        <f aca="false">IFERROR($K149*$L149,"")</f>
        <v>0</v>
      </c>
      <c r="R149" s="48" t="n">
        <f aca="false">IF(OR($O149="",$P149=""),0,$O149*$P149)</f>
        <v>0</v>
      </c>
      <c r="S149" s="20"/>
      <c r="T149" s="20"/>
      <c r="U149" s="33" t="n">
        <f aca="false">IF($A149="",0,IF(AND(OR($E149=Atleta!$C$4,$E149="Equipe (todos)"),$A149&gt;=Atleta!$C$5),MAX($U$7:U148)+1,0))</f>
        <v>0</v>
      </c>
    </row>
    <row r="150" customFormat="false" ht="15" hidden="false" customHeight="false" outlineLevel="0" collapsed="false">
      <c r="A150" s="21"/>
      <c r="B150" s="33" t="n">
        <f aca="false">IF($A150="",0,INT(($A150-Macrociclo!$C$11)/7)+1)</f>
        <v>0</v>
      </c>
      <c r="C150" s="22"/>
      <c r="D150" s="22"/>
      <c r="E150" s="20"/>
      <c r="F150" s="22"/>
      <c r="G150" s="20"/>
      <c r="H150" s="19" t="str">
        <f aca="false">IFERROR(INDEX(Exercícios!$C$7:$C$206,MATCH($G150,Exercícios!$B$7:$B$206,0)),"")</f>
        <v/>
      </c>
      <c r="I150" s="19" t="str">
        <f aca="false">IFERROR(INDEX(Exercícios!$D$7:$D$206,MATCH($G150,Exercícios!$B$7:$B$206,0)),"")</f>
        <v/>
      </c>
      <c r="J150" s="19" t="str">
        <f aca="false">IFERROR(INDEX(Exercícios!$E$7:$E$206,MATCH($G150,Exercícios!$B$7:$B$206,0)),"")</f>
        <v/>
      </c>
      <c r="K150" s="22"/>
      <c r="L150" s="22"/>
      <c r="M150" s="20"/>
      <c r="N150" s="22"/>
      <c r="O150" s="22"/>
      <c r="P150" s="22"/>
      <c r="Q150" s="19" t="n">
        <f aca="false">IFERROR($K150*$L150,"")</f>
        <v>0</v>
      </c>
      <c r="R150" s="48" t="n">
        <f aca="false">IF(OR($O150="",$P150=""),0,$O150*$P150)</f>
        <v>0</v>
      </c>
      <c r="S150" s="20"/>
      <c r="T150" s="20"/>
      <c r="U150" s="33" t="n">
        <f aca="false">IF($A150="",0,IF(AND(OR($E150=Atleta!$C$4,$E150="Equipe (todos)"),$A150&gt;=Atleta!$C$5),MAX($U$7:U149)+1,0))</f>
        <v>0</v>
      </c>
    </row>
    <row r="151" customFormat="false" ht="15" hidden="false" customHeight="false" outlineLevel="0" collapsed="false">
      <c r="A151" s="21"/>
      <c r="B151" s="33" t="n">
        <f aca="false">IF($A151="",0,INT(($A151-Macrociclo!$C$11)/7)+1)</f>
        <v>0</v>
      </c>
      <c r="C151" s="22"/>
      <c r="D151" s="22"/>
      <c r="E151" s="20"/>
      <c r="F151" s="22"/>
      <c r="G151" s="20"/>
      <c r="H151" s="19" t="str">
        <f aca="false">IFERROR(INDEX(Exercícios!$C$7:$C$206,MATCH($G151,Exercícios!$B$7:$B$206,0)),"")</f>
        <v/>
      </c>
      <c r="I151" s="19" t="str">
        <f aca="false">IFERROR(INDEX(Exercícios!$D$7:$D$206,MATCH($G151,Exercícios!$B$7:$B$206,0)),"")</f>
        <v/>
      </c>
      <c r="J151" s="19" t="str">
        <f aca="false">IFERROR(INDEX(Exercícios!$E$7:$E$206,MATCH($G151,Exercícios!$B$7:$B$206,0)),"")</f>
        <v/>
      </c>
      <c r="K151" s="22"/>
      <c r="L151" s="22"/>
      <c r="M151" s="20"/>
      <c r="N151" s="22"/>
      <c r="O151" s="22"/>
      <c r="P151" s="22"/>
      <c r="Q151" s="19" t="n">
        <f aca="false">IFERROR($K151*$L151,"")</f>
        <v>0</v>
      </c>
      <c r="R151" s="48" t="n">
        <f aca="false">IF(OR($O151="",$P151=""),0,$O151*$P151)</f>
        <v>0</v>
      </c>
      <c r="S151" s="20"/>
      <c r="T151" s="20"/>
      <c r="U151" s="33" t="n">
        <f aca="false">IF($A151="",0,IF(AND(OR($E151=Atleta!$C$4,$E151="Equipe (todos)"),$A151&gt;=Atleta!$C$5),MAX($U$7:U150)+1,0))</f>
        <v>0</v>
      </c>
    </row>
    <row r="152" customFormat="false" ht="15" hidden="false" customHeight="false" outlineLevel="0" collapsed="false">
      <c r="A152" s="21"/>
      <c r="B152" s="33" t="n">
        <f aca="false">IF($A152="",0,INT(($A152-Macrociclo!$C$11)/7)+1)</f>
        <v>0</v>
      </c>
      <c r="C152" s="22"/>
      <c r="D152" s="22"/>
      <c r="E152" s="20"/>
      <c r="F152" s="22"/>
      <c r="G152" s="20"/>
      <c r="H152" s="19" t="str">
        <f aca="false">IFERROR(INDEX(Exercícios!$C$7:$C$206,MATCH($G152,Exercícios!$B$7:$B$206,0)),"")</f>
        <v/>
      </c>
      <c r="I152" s="19" t="str">
        <f aca="false">IFERROR(INDEX(Exercícios!$D$7:$D$206,MATCH($G152,Exercícios!$B$7:$B$206,0)),"")</f>
        <v/>
      </c>
      <c r="J152" s="19" t="str">
        <f aca="false">IFERROR(INDEX(Exercícios!$E$7:$E$206,MATCH($G152,Exercícios!$B$7:$B$206,0)),"")</f>
        <v/>
      </c>
      <c r="K152" s="22"/>
      <c r="L152" s="22"/>
      <c r="M152" s="20"/>
      <c r="N152" s="22"/>
      <c r="O152" s="22"/>
      <c r="P152" s="22"/>
      <c r="Q152" s="19" t="n">
        <f aca="false">IFERROR($K152*$L152,"")</f>
        <v>0</v>
      </c>
      <c r="R152" s="48" t="n">
        <f aca="false">IF(OR($O152="",$P152=""),0,$O152*$P152)</f>
        <v>0</v>
      </c>
      <c r="S152" s="20"/>
      <c r="T152" s="20"/>
      <c r="U152" s="33" t="n">
        <f aca="false">IF($A152="",0,IF(AND(OR($E152=Atleta!$C$4,$E152="Equipe (todos)"),$A152&gt;=Atleta!$C$5),MAX($U$7:U151)+1,0))</f>
        <v>0</v>
      </c>
    </row>
    <row r="153" customFormat="false" ht="15" hidden="false" customHeight="false" outlineLevel="0" collapsed="false">
      <c r="A153" s="21"/>
      <c r="B153" s="33" t="n">
        <f aca="false">IF($A153="",0,INT(($A153-Macrociclo!$C$11)/7)+1)</f>
        <v>0</v>
      </c>
      <c r="C153" s="22"/>
      <c r="D153" s="22"/>
      <c r="E153" s="20"/>
      <c r="F153" s="22"/>
      <c r="G153" s="20"/>
      <c r="H153" s="19" t="str">
        <f aca="false">IFERROR(INDEX(Exercícios!$C$7:$C$206,MATCH($G153,Exercícios!$B$7:$B$206,0)),"")</f>
        <v/>
      </c>
      <c r="I153" s="19" t="str">
        <f aca="false">IFERROR(INDEX(Exercícios!$D$7:$D$206,MATCH($G153,Exercícios!$B$7:$B$206,0)),"")</f>
        <v/>
      </c>
      <c r="J153" s="19" t="str">
        <f aca="false">IFERROR(INDEX(Exercícios!$E$7:$E$206,MATCH($G153,Exercícios!$B$7:$B$206,0)),"")</f>
        <v/>
      </c>
      <c r="K153" s="22"/>
      <c r="L153" s="22"/>
      <c r="M153" s="20"/>
      <c r="N153" s="22"/>
      <c r="O153" s="22"/>
      <c r="P153" s="22"/>
      <c r="Q153" s="19" t="n">
        <f aca="false">IFERROR($K153*$L153,"")</f>
        <v>0</v>
      </c>
      <c r="R153" s="48" t="n">
        <f aca="false">IF(OR($O153="",$P153=""),0,$O153*$P153)</f>
        <v>0</v>
      </c>
      <c r="S153" s="20"/>
      <c r="T153" s="20"/>
      <c r="U153" s="33" t="n">
        <f aca="false">IF($A153="",0,IF(AND(OR($E153=Atleta!$C$4,$E153="Equipe (todos)"),$A153&gt;=Atleta!$C$5),MAX($U$7:U152)+1,0))</f>
        <v>0</v>
      </c>
    </row>
    <row r="154" customFormat="false" ht="15" hidden="false" customHeight="false" outlineLevel="0" collapsed="false">
      <c r="A154" s="21"/>
      <c r="B154" s="33" t="n">
        <f aca="false">IF($A154="",0,INT(($A154-Macrociclo!$C$11)/7)+1)</f>
        <v>0</v>
      </c>
      <c r="C154" s="22"/>
      <c r="D154" s="22"/>
      <c r="E154" s="20"/>
      <c r="F154" s="22"/>
      <c r="G154" s="20"/>
      <c r="H154" s="19" t="str">
        <f aca="false">IFERROR(INDEX(Exercícios!$C$7:$C$206,MATCH($G154,Exercícios!$B$7:$B$206,0)),"")</f>
        <v/>
      </c>
      <c r="I154" s="19" t="str">
        <f aca="false">IFERROR(INDEX(Exercícios!$D$7:$D$206,MATCH($G154,Exercícios!$B$7:$B$206,0)),"")</f>
        <v/>
      </c>
      <c r="J154" s="19" t="str">
        <f aca="false">IFERROR(INDEX(Exercícios!$E$7:$E$206,MATCH($G154,Exercícios!$B$7:$B$206,0)),"")</f>
        <v/>
      </c>
      <c r="K154" s="22"/>
      <c r="L154" s="22"/>
      <c r="M154" s="20"/>
      <c r="N154" s="22"/>
      <c r="O154" s="22"/>
      <c r="P154" s="22"/>
      <c r="Q154" s="19" t="n">
        <f aca="false">IFERROR($K154*$L154,"")</f>
        <v>0</v>
      </c>
      <c r="R154" s="48" t="n">
        <f aca="false">IF(OR($O154="",$P154=""),0,$O154*$P154)</f>
        <v>0</v>
      </c>
      <c r="S154" s="20"/>
      <c r="T154" s="20"/>
      <c r="U154" s="33" t="n">
        <f aca="false">IF($A154="",0,IF(AND(OR($E154=Atleta!$C$4,$E154="Equipe (todos)"),$A154&gt;=Atleta!$C$5),MAX($U$7:U153)+1,0))</f>
        <v>0</v>
      </c>
    </row>
    <row r="155" customFormat="false" ht="15" hidden="false" customHeight="false" outlineLevel="0" collapsed="false">
      <c r="A155" s="21"/>
      <c r="B155" s="33" t="n">
        <f aca="false">IF($A155="",0,INT(($A155-Macrociclo!$C$11)/7)+1)</f>
        <v>0</v>
      </c>
      <c r="C155" s="22"/>
      <c r="D155" s="22"/>
      <c r="E155" s="20"/>
      <c r="F155" s="22"/>
      <c r="G155" s="20"/>
      <c r="H155" s="19" t="str">
        <f aca="false">IFERROR(INDEX(Exercícios!$C$7:$C$206,MATCH($G155,Exercícios!$B$7:$B$206,0)),"")</f>
        <v/>
      </c>
      <c r="I155" s="19" t="str">
        <f aca="false">IFERROR(INDEX(Exercícios!$D$7:$D$206,MATCH($G155,Exercícios!$B$7:$B$206,0)),"")</f>
        <v/>
      </c>
      <c r="J155" s="19" t="str">
        <f aca="false">IFERROR(INDEX(Exercícios!$E$7:$E$206,MATCH($G155,Exercícios!$B$7:$B$206,0)),"")</f>
        <v/>
      </c>
      <c r="K155" s="22"/>
      <c r="L155" s="22"/>
      <c r="M155" s="20"/>
      <c r="N155" s="22"/>
      <c r="O155" s="22"/>
      <c r="P155" s="22"/>
      <c r="Q155" s="19" t="n">
        <f aca="false">IFERROR($K155*$L155,"")</f>
        <v>0</v>
      </c>
      <c r="R155" s="48" t="n">
        <f aca="false">IF(OR($O155="",$P155=""),0,$O155*$P155)</f>
        <v>0</v>
      </c>
      <c r="S155" s="20"/>
      <c r="T155" s="20"/>
      <c r="U155" s="33" t="n">
        <f aca="false">IF($A155="",0,IF(AND(OR($E155=Atleta!$C$4,$E155="Equipe (todos)"),$A155&gt;=Atleta!$C$5),MAX($U$7:U154)+1,0))</f>
        <v>0</v>
      </c>
    </row>
    <row r="156" customFormat="false" ht="15" hidden="false" customHeight="false" outlineLevel="0" collapsed="false">
      <c r="A156" s="21"/>
      <c r="B156" s="33" t="n">
        <f aca="false">IF($A156="",0,INT(($A156-Macrociclo!$C$11)/7)+1)</f>
        <v>0</v>
      </c>
      <c r="C156" s="22"/>
      <c r="D156" s="22"/>
      <c r="E156" s="20"/>
      <c r="F156" s="22"/>
      <c r="G156" s="20"/>
      <c r="H156" s="19" t="str">
        <f aca="false">IFERROR(INDEX(Exercícios!$C$7:$C$206,MATCH($G156,Exercícios!$B$7:$B$206,0)),"")</f>
        <v/>
      </c>
      <c r="I156" s="19" t="str">
        <f aca="false">IFERROR(INDEX(Exercícios!$D$7:$D$206,MATCH($G156,Exercícios!$B$7:$B$206,0)),"")</f>
        <v/>
      </c>
      <c r="J156" s="19" t="str">
        <f aca="false">IFERROR(INDEX(Exercícios!$E$7:$E$206,MATCH($G156,Exercícios!$B$7:$B$206,0)),"")</f>
        <v/>
      </c>
      <c r="K156" s="22"/>
      <c r="L156" s="22"/>
      <c r="M156" s="20"/>
      <c r="N156" s="22"/>
      <c r="O156" s="22"/>
      <c r="P156" s="22"/>
      <c r="Q156" s="19" t="n">
        <f aca="false">IFERROR($K156*$L156,"")</f>
        <v>0</v>
      </c>
      <c r="R156" s="48" t="n">
        <f aca="false">IF(OR($O156="",$P156=""),0,$O156*$P156)</f>
        <v>0</v>
      </c>
      <c r="S156" s="20"/>
      <c r="T156" s="20"/>
      <c r="U156" s="33" t="n">
        <f aca="false">IF($A156="",0,IF(AND(OR($E156=Atleta!$C$4,$E156="Equipe (todos)"),$A156&gt;=Atleta!$C$5),MAX($U$7:U155)+1,0))</f>
        <v>0</v>
      </c>
    </row>
    <row r="157" customFormat="false" ht="15" hidden="false" customHeight="false" outlineLevel="0" collapsed="false">
      <c r="A157" s="21"/>
      <c r="B157" s="33" t="n">
        <f aca="false">IF($A157="",0,INT(($A157-Macrociclo!$C$11)/7)+1)</f>
        <v>0</v>
      </c>
      <c r="C157" s="22"/>
      <c r="D157" s="22"/>
      <c r="E157" s="20"/>
      <c r="F157" s="22"/>
      <c r="G157" s="20"/>
      <c r="H157" s="19" t="str">
        <f aca="false">IFERROR(INDEX(Exercícios!$C$7:$C$206,MATCH($G157,Exercícios!$B$7:$B$206,0)),"")</f>
        <v/>
      </c>
      <c r="I157" s="19" t="str">
        <f aca="false">IFERROR(INDEX(Exercícios!$D$7:$D$206,MATCH($G157,Exercícios!$B$7:$B$206,0)),"")</f>
        <v/>
      </c>
      <c r="J157" s="19" t="str">
        <f aca="false">IFERROR(INDEX(Exercícios!$E$7:$E$206,MATCH($G157,Exercícios!$B$7:$B$206,0)),"")</f>
        <v/>
      </c>
      <c r="K157" s="22"/>
      <c r="L157" s="22"/>
      <c r="M157" s="20"/>
      <c r="N157" s="22"/>
      <c r="O157" s="22"/>
      <c r="P157" s="22"/>
      <c r="Q157" s="19" t="n">
        <f aca="false">IFERROR($K157*$L157,"")</f>
        <v>0</v>
      </c>
      <c r="R157" s="48" t="n">
        <f aca="false">IF(OR($O157="",$P157=""),0,$O157*$P157)</f>
        <v>0</v>
      </c>
      <c r="S157" s="20"/>
      <c r="T157" s="20"/>
      <c r="U157" s="33" t="n">
        <f aca="false">IF($A157="",0,IF(AND(OR($E157=Atleta!$C$4,$E157="Equipe (todos)"),$A157&gt;=Atleta!$C$5),MAX($U$7:U156)+1,0))</f>
        <v>0</v>
      </c>
    </row>
    <row r="158" customFormat="false" ht="15" hidden="false" customHeight="false" outlineLevel="0" collapsed="false">
      <c r="A158" s="21"/>
      <c r="B158" s="33" t="n">
        <f aca="false">IF($A158="",0,INT(($A158-Macrociclo!$C$11)/7)+1)</f>
        <v>0</v>
      </c>
      <c r="C158" s="22"/>
      <c r="D158" s="22"/>
      <c r="E158" s="20"/>
      <c r="F158" s="22"/>
      <c r="G158" s="20"/>
      <c r="H158" s="19" t="str">
        <f aca="false">IFERROR(INDEX(Exercícios!$C$7:$C$206,MATCH($G158,Exercícios!$B$7:$B$206,0)),"")</f>
        <v/>
      </c>
      <c r="I158" s="19" t="str">
        <f aca="false">IFERROR(INDEX(Exercícios!$D$7:$D$206,MATCH($G158,Exercícios!$B$7:$B$206,0)),"")</f>
        <v/>
      </c>
      <c r="J158" s="19" t="str">
        <f aca="false">IFERROR(INDEX(Exercícios!$E$7:$E$206,MATCH($G158,Exercícios!$B$7:$B$206,0)),"")</f>
        <v/>
      </c>
      <c r="K158" s="22"/>
      <c r="L158" s="22"/>
      <c r="M158" s="20"/>
      <c r="N158" s="22"/>
      <c r="O158" s="22"/>
      <c r="P158" s="22"/>
      <c r="Q158" s="19" t="n">
        <f aca="false">IFERROR($K158*$L158,"")</f>
        <v>0</v>
      </c>
      <c r="R158" s="48" t="n">
        <f aca="false">IF(OR($O158="",$P158=""),0,$O158*$P158)</f>
        <v>0</v>
      </c>
      <c r="S158" s="20"/>
      <c r="T158" s="20"/>
      <c r="U158" s="33" t="n">
        <f aca="false">IF($A158="",0,IF(AND(OR($E158=Atleta!$C$4,$E158="Equipe (todos)"),$A158&gt;=Atleta!$C$5),MAX($U$7:U157)+1,0))</f>
        <v>0</v>
      </c>
    </row>
    <row r="159" customFormat="false" ht="15" hidden="false" customHeight="false" outlineLevel="0" collapsed="false">
      <c r="A159" s="21"/>
      <c r="B159" s="33" t="n">
        <f aca="false">IF($A159="",0,INT(($A159-Macrociclo!$C$11)/7)+1)</f>
        <v>0</v>
      </c>
      <c r="C159" s="22"/>
      <c r="D159" s="22"/>
      <c r="E159" s="20"/>
      <c r="F159" s="22"/>
      <c r="G159" s="20"/>
      <c r="H159" s="19" t="str">
        <f aca="false">IFERROR(INDEX(Exercícios!$C$7:$C$206,MATCH($G159,Exercícios!$B$7:$B$206,0)),"")</f>
        <v/>
      </c>
      <c r="I159" s="19" t="str">
        <f aca="false">IFERROR(INDEX(Exercícios!$D$7:$D$206,MATCH($G159,Exercícios!$B$7:$B$206,0)),"")</f>
        <v/>
      </c>
      <c r="J159" s="19" t="str">
        <f aca="false">IFERROR(INDEX(Exercícios!$E$7:$E$206,MATCH($G159,Exercícios!$B$7:$B$206,0)),"")</f>
        <v/>
      </c>
      <c r="K159" s="22"/>
      <c r="L159" s="22"/>
      <c r="M159" s="20"/>
      <c r="N159" s="22"/>
      <c r="O159" s="22"/>
      <c r="P159" s="22"/>
      <c r="Q159" s="19" t="n">
        <f aca="false">IFERROR($K159*$L159,"")</f>
        <v>0</v>
      </c>
      <c r="R159" s="48" t="n">
        <f aca="false">IF(OR($O159="",$P159=""),0,$O159*$P159)</f>
        <v>0</v>
      </c>
      <c r="S159" s="20"/>
      <c r="T159" s="20"/>
      <c r="U159" s="33" t="n">
        <f aca="false">IF($A159="",0,IF(AND(OR($E159=Atleta!$C$4,$E159="Equipe (todos)"),$A159&gt;=Atleta!$C$5),MAX($U$7:U158)+1,0))</f>
        <v>0</v>
      </c>
    </row>
    <row r="160" customFormat="false" ht="15" hidden="false" customHeight="false" outlineLevel="0" collapsed="false">
      <c r="A160" s="21"/>
      <c r="B160" s="33" t="n">
        <f aca="false">IF($A160="",0,INT(($A160-Macrociclo!$C$11)/7)+1)</f>
        <v>0</v>
      </c>
      <c r="C160" s="22"/>
      <c r="D160" s="22"/>
      <c r="E160" s="20"/>
      <c r="F160" s="22"/>
      <c r="G160" s="20"/>
      <c r="H160" s="19" t="str">
        <f aca="false">IFERROR(INDEX(Exercícios!$C$7:$C$206,MATCH($G160,Exercícios!$B$7:$B$206,0)),"")</f>
        <v/>
      </c>
      <c r="I160" s="19" t="str">
        <f aca="false">IFERROR(INDEX(Exercícios!$D$7:$D$206,MATCH($G160,Exercícios!$B$7:$B$206,0)),"")</f>
        <v/>
      </c>
      <c r="J160" s="19" t="str">
        <f aca="false">IFERROR(INDEX(Exercícios!$E$7:$E$206,MATCH($G160,Exercícios!$B$7:$B$206,0)),"")</f>
        <v/>
      </c>
      <c r="K160" s="22"/>
      <c r="L160" s="22"/>
      <c r="M160" s="20"/>
      <c r="N160" s="22"/>
      <c r="O160" s="22"/>
      <c r="P160" s="22"/>
      <c r="Q160" s="19" t="n">
        <f aca="false">IFERROR($K160*$L160,"")</f>
        <v>0</v>
      </c>
      <c r="R160" s="48" t="n">
        <f aca="false">IF(OR($O160="",$P160=""),0,$O160*$P160)</f>
        <v>0</v>
      </c>
      <c r="S160" s="20"/>
      <c r="T160" s="20"/>
      <c r="U160" s="33" t="n">
        <f aca="false">IF($A160="",0,IF(AND(OR($E160=Atleta!$C$4,$E160="Equipe (todos)"),$A160&gt;=Atleta!$C$5),MAX($U$7:U159)+1,0))</f>
        <v>0</v>
      </c>
    </row>
    <row r="161" customFormat="false" ht="15" hidden="false" customHeight="false" outlineLevel="0" collapsed="false">
      <c r="A161" s="21"/>
      <c r="B161" s="33" t="n">
        <f aca="false">IF($A161="",0,INT(($A161-Macrociclo!$C$11)/7)+1)</f>
        <v>0</v>
      </c>
      <c r="C161" s="22"/>
      <c r="D161" s="22"/>
      <c r="E161" s="20"/>
      <c r="F161" s="22"/>
      <c r="G161" s="20"/>
      <c r="H161" s="19" t="str">
        <f aca="false">IFERROR(INDEX(Exercícios!$C$7:$C$206,MATCH($G161,Exercícios!$B$7:$B$206,0)),"")</f>
        <v/>
      </c>
      <c r="I161" s="19" t="str">
        <f aca="false">IFERROR(INDEX(Exercícios!$D$7:$D$206,MATCH($G161,Exercícios!$B$7:$B$206,0)),"")</f>
        <v/>
      </c>
      <c r="J161" s="19" t="str">
        <f aca="false">IFERROR(INDEX(Exercícios!$E$7:$E$206,MATCH($G161,Exercícios!$B$7:$B$206,0)),"")</f>
        <v/>
      </c>
      <c r="K161" s="22"/>
      <c r="L161" s="22"/>
      <c r="M161" s="20"/>
      <c r="N161" s="22"/>
      <c r="O161" s="22"/>
      <c r="P161" s="22"/>
      <c r="Q161" s="19" t="n">
        <f aca="false">IFERROR($K161*$L161,"")</f>
        <v>0</v>
      </c>
      <c r="R161" s="48" t="n">
        <f aca="false">IF(OR($O161="",$P161=""),0,$O161*$P161)</f>
        <v>0</v>
      </c>
      <c r="S161" s="20"/>
      <c r="T161" s="20"/>
      <c r="U161" s="33" t="n">
        <f aca="false">IF($A161="",0,IF(AND(OR($E161=Atleta!$C$4,$E161="Equipe (todos)"),$A161&gt;=Atleta!$C$5),MAX($U$7:U160)+1,0))</f>
        <v>0</v>
      </c>
    </row>
    <row r="162" customFormat="false" ht="15" hidden="false" customHeight="false" outlineLevel="0" collapsed="false">
      <c r="A162" s="21"/>
      <c r="B162" s="33" t="n">
        <f aca="false">IF($A162="",0,INT(($A162-Macrociclo!$C$11)/7)+1)</f>
        <v>0</v>
      </c>
      <c r="C162" s="22"/>
      <c r="D162" s="22"/>
      <c r="E162" s="20"/>
      <c r="F162" s="22"/>
      <c r="G162" s="20"/>
      <c r="H162" s="19" t="str">
        <f aca="false">IFERROR(INDEX(Exercícios!$C$7:$C$206,MATCH($G162,Exercícios!$B$7:$B$206,0)),"")</f>
        <v/>
      </c>
      <c r="I162" s="19" t="str">
        <f aca="false">IFERROR(INDEX(Exercícios!$D$7:$D$206,MATCH($G162,Exercícios!$B$7:$B$206,0)),"")</f>
        <v/>
      </c>
      <c r="J162" s="19" t="str">
        <f aca="false">IFERROR(INDEX(Exercícios!$E$7:$E$206,MATCH($G162,Exercícios!$B$7:$B$206,0)),"")</f>
        <v/>
      </c>
      <c r="K162" s="22"/>
      <c r="L162" s="22"/>
      <c r="M162" s="20"/>
      <c r="N162" s="22"/>
      <c r="O162" s="22"/>
      <c r="P162" s="22"/>
      <c r="Q162" s="19" t="n">
        <f aca="false">IFERROR($K162*$L162,"")</f>
        <v>0</v>
      </c>
      <c r="R162" s="48" t="n">
        <f aca="false">IF(OR($O162="",$P162=""),0,$O162*$P162)</f>
        <v>0</v>
      </c>
      <c r="S162" s="20"/>
      <c r="T162" s="20"/>
      <c r="U162" s="33" t="n">
        <f aca="false">IF($A162="",0,IF(AND(OR($E162=Atleta!$C$4,$E162="Equipe (todos)"),$A162&gt;=Atleta!$C$5),MAX($U$7:U161)+1,0))</f>
        <v>0</v>
      </c>
    </row>
    <row r="163" customFormat="false" ht="15" hidden="false" customHeight="false" outlineLevel="0" collapsed="false">
      <c r="A163" s="21"/>
      <c r="B163" s="33" t="n">
        <f aca="false">IF($A163="",0,INT(($A163-Macrociclo!$C$11)/7)+1)</f>
        <v>0</v>
      </c>
      <c r="C163" s="22"/>
      <c r="D163" s="22"/>
      <c r="E163" s="20"/>
      <c r="F163" s="22"/>
      <c r="G163" s="20"/>
      <c r="H163" s="19" t="str">
        <f aca="false">IFERROR(INDEX(Exercícios!$C$7:$C$206,MATCH($G163,Exercícios!$B$7:$B$206,0)),"")</f>
        <v/>
      </c>
      <c r="I163" s="19" t="str">
        <f aca="false">IFERROR(INDEX(Exercícios!$D$7:$D$206,MATCH($G163,Exercícios!$B$7:$B$206,0)),"")</f>
        <v/>
      </c>
      <c r="J163" s="19" t="str">
        <f aca="false">IFERROR(INDEX(Exercícios!$E$7:$E$206,MATCH($G163,Exercícios!$B$7:$B$206,0)),"")</f>
        <v/>
      </c>
      <c r="K163" s="22"/>
      <c r="L163" s="22"/>
      <c r="M163" s="20"/>
      <c r="N163" s="22"/>
      <c r="O163" s="22"/>
      <c r="P163" s="22"/>
      <c r="Q163" s="19" t="n">
        <f aca="false">IFERROR($K163*$L163,"")</f>
        <v>0</v>
      </c>
      <c r="R163" s="48" t="n">
        <f aca="false">IF(OR($O163="",$P163=""),0,$O163*$P163)</f>
        <v>0</v>
      </c>
      <c r="S163" s="20"/>
      <c r="T163" s="20"/>
      <c r="U163" s="33" t="n">
        <f aca="false">IF($A163="",0,IF(AND(OR($E163=Atleta!$C$4,$E163="Equipe (todos)"),$A163&gt;=Atleta!$C$5),MAX($U$7:U162)+1,0))</f>
        <v>0</v>
      </c>
    </row>
    <row r="164" customFormat="false" ht="15" hidden="false" customHeight="false" outlineLevel="0" collapsed="false">
      <c r="A164" s="21"/>
      <c r="B164" s="33" t="n">
        <f aca="false">IF($A164="",0,INT(($A164-Macrociclo!$C$11)/7)+1)</f>
        <v>0</v>
      </c>
      <c r="C164" s="22"/>
      <c r="D164" s="22"/>
      <c r="E164" s="20"/>
      <c r="F164" s="22"/>
      <c r="G164" s="20"/>
      <c r="H164" s="19" t="str">
        <f aca="false">IFERROR(INDEX(Exercícios!$C$7:$C$206,MATCH($G164,Exercícios!$B$7:$B$206,0)),"")</f>
        <v/>
      </c>
      <c r="I164" s="19" t="str">
        <f aca="false">IFERROR(INDEX(Exercícios!$D$7:$D$206,MATCH($G164,Exercícios!$B$7:$B$206,0)),"")</f>
        <v/>
      </c>
      <c r="J164" s="19" t="str">
        <f aca="false">IFERROR(INDEX(Exercícios!$E$7:$E$206,MATCH($G164,Exercícios!$B$7:$B$206,0)),"")</f>
        <v/>
      </c>
      <c r="K164" s="22"/>
      <c r="L164" s="22"/>
      <c r="M164" s="20"/>
      <c r="N164" s="22"/>
      <c r="O164" s="22"/>
      <c r="P164" s="22"/>
      <c r="Q164" s="19" t="n">
        <f aca="false">IFERROR($K164*$L164,"")</f>
        <v>0</v>
      </c>
      <c r="R164" s="48" t="n">
        <f aca="false">IF(OR($O164="",$P164=""),0,$O164*$P164)</f>
        <v>0</v>
      </c>
      <c r="S164" s="20"/>
      <c r="T164" s="20"/>
      <c r="U164" s="33" t="n">
        <f aca="false">IF($A164="",0,IF(AND(OR($E164=Atleta!$C$4,$E164="Equipe (todos)"),$A164&gt;=Atleta!$C$5),MAX($U$7:U163)+1,0))</f>
        <v>0</v>
      </c>
    </row>
    <row r="165" customFormat="false" ht="15" hidden="false" customHeight="false" outlineLevel="0" collapsed="false">
      <c r="A165" s="21"/>
      <c r="B165" s="33" t="n">
        <f aca="false">IF($A165="",0,INT(($A165-Macrociclo!$C$11)/7)+1)</f>
        <v>0</v>
      </c>
      <c r="C165" s="22"/>
      <c r="D165" s="22"/>
      <c r="E165" s="20"/>
      <c r="F165" s="22"/>
      <c r="G165" s="20"/>
      <c r="H165" s="19" t="str">
        <f aca="false">IFERROR(INDEX(Exercícios!$C$7:$C$206,MATCH($G165,Exercícios!$B$7:$B$206,0)),"")</f>
        <v/>
      </c>
      <c r="I165" s="19" t="str">
        <f aca="false">IFERROR(INDEX(Exercícios!$D$7:$D$206,MATCH($G165,Exercícios!$B$7:$B$206,0)),"")</f>
        <v/>
      </c>
      <c r="J165" s="19" t="str">
        <f aca="false">IFERROR(INDEX(Exercícios!$E$7:$E$206,MATCH($G165,Exercícios!$B$7:$B$206,0)),"")</f>
        <v/>
      </c>
      <c r="K165" s="22"/>
      <c r="L165" s="22"/>
      <c r="M165" s="20"/>
      <c r="N165" s="22"/>
      <c r="O165" s="22"/>
      <c r="P165" s="22"/>
      <c r="Q165" s="19" t="n">
        <f aca="false">IFERROR($K165*$L165,"")</f>
        <v>0</v>
      </c>
      <c r="R165" s="48" t="n">
        <f aca="false">IF(OR($O165="",$P165=""),0,$O165*$P165)</f>
        <v>0</v>
      </c>
      <c r="S165" s="20"/>
      <c r="T165" s="20"/>
      <c r="U165" s="33" t="n">
        <f aca="false">IF($A165="",0,IF(AND(OR($E165=Atleta!$C$4,$E165="Equipe (todos)"),$A165&gt;=Atleta!$C$5),MAX($U$7:U164)+1,0))</f>
        <v>0</v>
      </c>
    </row>
    <row r="166" customFormat="false" ht="15" hidden="false" customHeight="false" outlineLevel="0" collapsed="false">
      <c r="A166" s="21"/>
      <c r="B166" s="33" t="n">
        <f aca="false">IF($A166="",0,INT(($A166-Macrociclo!$C$11)/7)+1)</f>
        <v>0</v>
      </c>
      <c r="C166" s="22"/>
      <c r="D166" s="22"/>
      <c r="E166" s="20"/>
      <c r="F166" s="22"/>
      <c r="G166" s="20"/>
      <c r="H166" s="19" t="str">
        <f aca="false">IFERROR(INDEX(Exercícios!$C$7:$C$206,MATCH($G166,Exercícios!$B$7:$B$206,0)),"")</f>
        <v/>
      </c>
      <c r="I166" s="19" t="str">
        <f aca="false">IFERROR(INDEX(Exercícios!$D$7:$D$206,MATCH($G166,Exercícios!$B$7:$B$206,0)),"")</f>
        <v/>
      </c>
      <c r="J166" s="19" t="str">
        <f aca="false">IFERROR(INDEX(Exercícios!$E$7:$E$206,MATCH($G166,Exercícios!$B$7:$B$206,0)),"")</f>
        <v/>
      </c>
      <c r="K166" s="22"/>
      <c r="L166" s="22"/>
      <c r="M166" s="20"/>
      <c r="N166" s="22"/>
      <c r="O166" s="22"/>
      <c r="P166" s="22"/>
      <c r="Q166" s="19" t="n">
        <f aca="false">IFERROR($K166*$L166,"")</f>
        <v>0</v>
      </c>
      <c r="R166" s="48" t="n">
        <f aca="false">IF(OR($O166="",$P166=""),0,$O166*$P166)</f>
        <v>0</v>
      </c>
      <c r="S166" s="20"/>
      <c r="T166" s="20"/>
      <c r="U166" s="33" t="n">
        <f aca="false">IF($A166="",0,IF(AND(OR($E166=Atleta!$C$4,$E166="Equipe (todos)"),$A166&gt;=Atleta!$C$5),MAX($U$7:U165)+1,0))</f>
        <v>0</v>
      </c>
    </row>
    <row r="167" customFormat="false" ht="15" hidden="false" customHeight="false" outlineLevel="0" collapsed="false">
      <c r="A167" s="21"/>
      <c r="B167" s="33" t="n">
        <f aca="false">IF($A167="",0,INT(($A167-Macrociclo!$C$11)/7)+1)</f>
        <v>0</v>
      </c>
      <c r="C167" s="22"/>
      <c r="D167" s="22"/>
      <c r="E167" s="20"/>
      <c r="F167" s="22"/>
      <c r="G167" s="20"/>
      <c r="H167" s="19" t="str">
        <f aca="false">IFERROR(INDEX(Exercícios!$C$7:$C$206,MATCH($G167,Exercícios!$B$7:$B$206,0)),"")</f>
        <v/>
      </c>
      <c r="I167" s="19" t="str">
        <f aca="false">IFERROR(INDEX(Exercícios!$D$7:$D$206,MATCH($G167,Exercícios!$B$7:$B$206,0)),"")</f>
        <v/>
      </c>
      <c r="J167" s="19" t="str">
        <f aca="false">IFERROR(INDEX(Exercícios!$E$7:$E$206,MATCH($G167,Exercícios!$B$7:$B$206,0)),"")</f>
        <v/>
      </c>
      <c r="K167" s="22"/>
      <c r="L167" s="22"/>
      <c r="M167" s="20"/>
      <c r="N167" s="22"/>
      <c r="O167" s="22"/>
      <c r="P167" s="22"/>
      <c r="Q167" s="19" t="n">
        <f aca="false">IFERROR($K167*$L167,"")</f>
        <v>0</v>
      </c>
      <c r="R167" s="48" t="n">
        <f aca="false">IF(OR($O167="",$P167=""),0,$O167*$P167)</f>
        <v>0</v>
      </c>
      <c r="S167" s="20"/>
      <c r="T167" s="20"/>
      <c r="U167" s="33" t="n">
        <f aca="false">IF($A167="",0,IF(AND(OR($E167=Atleta!$C$4,$E167="Equipe (todos)"),$A167&gt;=Atleta!$C$5),MAX($U$7:U166)+1,0))</f>
        <v>0</v>
      </c>
    </row>
    <row r="168" customFormat="false" ht="15" hidden="false" customHeight="false" outlineLevel="0" collapsed="false">
      <c r="A168" s="21"/>
      <c r="B168" s="33" t="n">
        <f aca="false">IF($A168="",0,INT(($A168-Macrociclo!$C$11)/7)+1)</f>
        <v>0</v>
      </c>
      <c r="C168" s="22"/>
      <c r="D168" s="22"/>
      <c r="E168" s="20"/>
      <c r="F168" s="22"/>
      <c r="G168" s="20"/>
      <c r="H168" s="19" t="str">
        <f aca="false">IFERROR(INDEX(Exercícios!$C$7:$C$206,MATCH($G168,Exercícios!$B$7:$B$206,0)),"")</f>
        <v/>
      </c>
      <c r="I168" s="19" t="str">
        <f aca="false">IFERROR(INDEX(Exercícios!$D$7:$D$206,MATCH($G168,Exercícios!$B$7:$B$206,0)),"")</f>
        <v/>
      </c>
      <c r="J168" s="19" t="str">
        <f aca="false">IFERROR(INDEX(Exercícios!$E$7:$E$206,MATCH($G168,Exercícios!$B$7:$B$206,0)),"")</f>
        <v/>
      </c>
      <c r="K168" s="22"/>
      <c r="L168" s="22"/>
      <c r="M168" s="20"/>
      <c r="N168" s="22"/>
      <c r="O168" s="22"/>
      <c r="P168" s="22"/>
      <c r="Q168" s="19" t="n">
        <f aca="false">IFERROR($K168*$L168,"")</f>
        <v>0</v>
      </c>
      <c r="R168" s="48" t="n">
        <f aca="false">IF(OR($O168="",$P168=""),0,$O168*$P168)</f>
        <v>0</v>
      </c>
      <c r="S168" s="20"/>
      <c r="T168" s="20"/>
      <c r="U168" s="33" t="n">
        <f aca="false">IF($A168="",0,IF(AND(OR($E168=Atleta!$C$4,$E168="Equipe (todos)"),$A168&gt;=Atleta!$C$5),MAX($U$7:U167)+1,0))</f>
        <v>0</v>
      </c>
    </row>
    <row r="169" customFormat="false" ht="15" hidden="false" customHeight="false" outlineLevel="0" collapsed="false">
      <c r="A169" s="21"/>
      <c r="B169" s="33" t="n">
        <f aca="false">IF($A169="",0,INT(($A169-Macrociclo!$C$11)/7)+1)</f>
        <v>0</v>
      </c>
      <c r="C169" s="22"/>
      <c r="D169" s="22"/>
      <c r="E169" s="20"/>
      <c r="F169" s="22"/>
      <c r="G169" s="20"/>
      <c r="H169" s="19" t="str">
        <f aca="false">IFERROR(INDEX(Exercícios!$C$7:$C$206,MATCH($G169,Exercícios!$B$7:$B$206,0)),"")</f>
        <v/>
      </c>
      <c r="I169" s="19" t="str">
        <f aca="false">IFERROR(INDEX(Exercícios!$D$7:$D$206,MATCH($G169,Exercícios!$B$7:$B$206,0)),"")</f>
        <v/>
      </c>
      <c r="J169" s="19" t="str">
        <f aca="false">IFERROR(INDEX(Exercícios!$E$7:$E$206,MATCH($G169,Exercícios!$B$7:$B$206,0)),"")</f>
        <v/>
      </c>
      <c r="K169" s="22"/>
      <c r="L169" s="22"/>
      <c r="M169" s="20"/>
      <c r="N169" s="22"/>
      <c r="O169" s="22"/>
      <c r="P169" s="22"/>
      <c r="Q169" s="19" t="n">
        <f aca="false">IFERROR($K169*$L169,"")</f>
        <v>0</v>
      </c>
      <c r="R169" s="48" t="n">
        <f aca="false">IF(OR($O169="",$P169=""),0,$O169*$P169)</f>
        <v>0</v>
      </c>
      <c r="S169" s="20"/>
      <c r="T169" s="20"/>
      <c r="U169" s="33" t="n">
        <f aca="false">IF($A169="",0,IF(AND(OR($E169=Atleta!$C$4,$E169="Equipe (todos)"),$A169&gt;=Atleta!$C$5),MAX($U$7:U168)+1,0))</f>
        <v>0</v>
      </c>
    </row>
    <row r="170" customFormat="false" ht="15" hidden="false" customHeight="false" outlineLevel="0" collapsed="false">
      <c r="A170" s="21"/>
      <c r="B170" s="33" t="n">
        <f aca="false">IF($A170="",0,INT(($A170-Macrociclo!$C$11)/7)+1)</f>
        <v>0</v>
      </c>
      <c r="C170" s="22"/>
      <c r="D170" s="22"/>
      <c r="E170" s="20"/>
      <c r="F170" s="22"/>
      <c r="G170" s="20"/>
      <c r="H170" s="19" t="str">
        <f aca="false">IFERROR(INDEX(Exercícios!$C$7:$C$206,MATCH($G170,Exercícios!$B$7:$B$206,0)),"")</f>
        <v/>
      </c>
      <c r="I170" s="19" t="str">
        <f aca="false">IFERROR(INDEX(Exercícios!$D$7:$D$206,MATCH($G170,Exercícios!$B$7:$B$206,0)),"")</f>
        <v/>
      </c>
      <c r="J170" s="19" t="str">
        <f aca="false">IFERROR(INDEX(Exercícios!$E$7:$E$206,MATCH($G170,Exercícios!$B$7:$B$206,0)),"")</f>
        <v/>
      </c>
      <c r="K170" s="22"/>
      <c r="L170" s="22"/>
      <c r="M170" s="20"/>
      <c r="N170" s="22"/>
      <c r="O170" s="22"/>
      <c r="P170" s="22"/>
      <c r="Q170" s="19" t="n">
        <f aca="false">IFERROR($K170*$L170,"")</f>
        <v>0</v>
      </c>
      <c r="R170" s="48" t="n">
        <f aca="false">IF(OR($O170="",$P170=""),0,$O170*$P170)</f>
        <v>0</v>
      </c>
      <c r="S170" s="20"/>
      <c r="T170" s="20"/>
      <c r="U170" s="33" t="n">
        <f aca="false">IF($A170="",0,IF(AND(OR($E170=Atleta!$C$4,$E170="Equipe (todos)"),$A170&gt;=Atleta!$C$5),MAX($U$7:U169)+1,0))</f>
        <v>0</v>
      </c>
    </row>
    <row r="171" customFormat="false" ht="15" hidden="false" customHeight="false" outlineLevel="0" collapsed="false">
      <c r="A171" s="21"/>
      <c r="B171" s="33" t="n">
        <f aca="false">IF($A171="",0,INT(($A171-Macrociclo!$C$11)/7)+1)</f>
        <v>0</v>
      </c>
      <c r="C171" s="22"/>
      <c r="D171" s="22"/>
      <c r="E171" s="20"/>
      <c r="F171" s="22"/>
      <c r="G171" s="20"/>
      <c r="H171" s="19" t="str">
        <f aca="false">IFERROR(INDEX(Exercícios!$C$7:$C$206,MATCH($G171,Exercícios!$B$7:$B$206,0)),"")</f>
        <v/>
      </c>
      <c r="I171" s="19" t="str">
        <f aca="false">IFERROR(INDEX(Exercícios!$D$7:$D$206,MATCH($G171,Exercícios!$B$7:$B$206,0)),"")</f>
        <v/>
      </c>
      <c r="J171" s="19" t="str">
        <f aca="false">IFERROR(INDEX(Exercícios!$E$7:$E$206,MATCH($G171,Exercícios!$B$7:$B$206,0)),"")</f>
        <v/>
      </c>
      <c r="K171" s="22"/>
      <c r="L171" s="22"/>
      <c r="M171" s="20"/>
      <c r="N171" s="22"/>
      <c r="O171" s="22"/>
      <c r="P171" s="22"/>
      <c r="Q171" s="19" t="n">
        <f aca="false">IFERROR($K171*$L171,"")</f>
        <v>0</v>
      </c>
      <c r="R171" s="48" t="n">
        <f aca="false">IF(OR($O171="",$P171=""),0,$O171*$P171)</f>
        <v>0</v>
      </c>
      <c r="S171" s="20"/>
      <c r="T171" s="20"/>
      <c r="U171" s="33" t="n">
        <f aca="false">IF($A171="",0,IF(AND(OR($E171=Atleta!$C$4,$E171="Equipe (todos)"),$A171&gt;=Atleta!$C$5),MAX($U$7:U170)+1,0))</f>
        <v>0</v>
      </c>
    </row>
    <row r="172" customFormat="false" ht="15" hidden="false" customHeight="false" outlineLevel="0" collapsed="false">
      <c r="A172" s="21"/>
      <c r="B172" s="33" t="n">
        <f aca="false">IF($A172="",0,INT(($A172-Macrociclo!$C$11)/7)+1)</f>
        <v>0</v>
      </c>
      <c r="C172" s="22"/>
      <c r="D172" s="22"/>
      <c r="E172" s="20"/>
      <c r="F172" s="22"/>
      <c r="G172" s="20"/>
      <c r="H172" s="19" t="str">
        <f aca="false">IFERROR(INDEX(Exercícios!$C$7:$C$206,MATCH($G172,Exercícios!$B$7:$B$206,0)),"")</f>
        <v/>
      </c>
      <c r="I172" s="19" t="str">
        <f aca="false">IFERROR(INDEX(Exercícios!$D$7:$D$206,MATCH($G172,Exercícios!$B$7:$B$206,0)),"")</f>
        <v/>
      </c>
      <c r="J172" s="19" t="str">
        <f aca="false">IFERROR(INDEX(Exercícios!$E$7:$E$206,MATCH($G172,Exercícios!$B$7:$B$206,0)),"")</f>
        <v/>
      </c>
      <c r="K172" s="22"/>
      <c r="L172" s="22"/>
      <c r="M172" s="20"/>
      <c r="N172" s="22"/>
      <c r="O172" s="22"/>
      <c r="P172" s="22"/>
      <c r="Q172" s="19" t="n">
        <f aca="false">IFERROR($K172*$L172,"")</f>
        <v>0</v>
      </c>
      <c r="R172" s="48" t="n">
        <f aca="false">IF(OR($O172="",$P172=""),0,$O172*$P172)</f>
        <v>0</v>
      </c>
      <c r="S172" s="20"/>
      <c r="T172" s="20"/>
      <c r="U172" s="33" t="n">
        <f aca="false">IF($A172="",0,IF(AND(OR($E172=Atleta!$C$4,$E172="Equipe (todos)"),$A172&gt;=Atleta!$C$5),MAX($U$7:U171)+1,0))</f>
        <v>0</v>
      </c>
    </row>
    <row r="173" customFormat="false" ht="15" hidden="false" customHeight="false" outlineLevel="0" collapsed="false">
      <c r="A173" s="21"/>
      <c r="B173" s="33" t="n">
        <f aca="false">IF($A173="",0,INT(($A173-Macrociclo!$C$11)/7)+1)</f>
        <v>0</v>
      </c>
      <c r="C173" s="22"/>
      <c r="D173" s="22"/>
      <c r="E173" s="20"/>
      <c r="F173" s="22"/>
      <c r="G173" s="20"/>
      <c r="H173" s="19" t="str">
        <f aca="false">IFERROR(INDEX(Exercícios!$C$7:$C$206,MATCH($G173,Exercícios!$B$7:$B$206,0)),"")</f>
        <v/>
      </c>
      <c r="I173" s="19" t="str">
        <f aca="false">IFERROR(INDEX(Exercícios!$D$7:$D$206,MATCH($G173,Exercícios!$B$7:$B$206,0)),"")</f>
        <v/>
      </c>
      <c r="J173" s="19" t="str">
        <f aca="false">IFERROR(INDEX(Exercícios!$E$7:$E$206,MATCH($G173,Exercícios!$B$7:$B$206,0)),"")</f>
        <v/>
      </c>
      <c r="K173" s="22"/>
      <c r="L173" s="22"/>
      <c r="M173" s="20"/>
      <c r="N173" s="22"/>
      <c r="O173" s="22"/>
      <c r="P173" s="22"/>
      <c r="Q173" s="19" t="n">
        <f aca="false">IFERROR($K173*$L173,"")</f>
        <v>0</v>
      </c>
      <c r="R173" s="48" t="n">
        <f aca="false">IF(OR($O173="",$P173=""),0,$O173*$P173)</f>
        <v>0</v>
      </c>
      <c r="S173" s="20"/>
      <c r="T173" s="20"/>
      <c r="U173" s="33" t="n">
        <f aca="false">IF($A173="",0,IF(AND(OR($E173=Atleta!$C$4,$E173="Equipe (todos)"),$A173&gt;=Atleta!$C$5),MAX($U$7:U172)+1,0))</f>
        <v>0</v>
      </c>
    </row>
    <row r="174" customFormat="false" ht="15" hidden="false" customHeight="false" outlineLevel="0" collapsed="false">
      <c r="A174" s="21"/>
      <c r="B174" s="33" t="n">
        <f aca="false">IF($A174="",0,INT(($A174-Macrociclo!$C$11)/7)+1)</f>
        <v>0</v>
      </c>
      <c r="C174" s="22"/>
      <c r="D174" s="22"/>
      <c r="E174" s="20"/>
      <c r="F174" s="22"/>
      <c r="G174" s="20"/>
      <c r="H174" s="19" t="str">
        <f aca="false">IFERROR(INDEX(Exercícios!$C$7:$C$206,MATCH($G174,Exercícios!$B$7:$B$206,0)),"")</f>
        <v/>
      </c>
      <c r="I174" s="19" t="str">
        <f aca="false">IFERROR(INDEX(Exercícios!$D$7:$D$206,MATCH($G174,Exercícios!$B$7:$B$206,0)),"")</f>
        <v/>
      </c>
      <c r="J174" s="19" t="str">
        <f aca="false">IFERROR(INDEX(Exercícios!$E$7:$E$206,MATCH($G174,Exercícios!$B$7:$B$206,0)),"")</f>
        <v/>
      </c>
      <c r="K174" s="22"/>
      <c r="L174" s="22"/>
      <c r="M174" s="20"/>
      <c r="N174" s="22"/>
      <c r="O174" s="22"/>
      <c r="P174" s="22"/>
      <c r="Q174" s="19" t="n">
        <f aca="false">IFERROR($K174*$L174,"")</f>
        <v>0</v>
      </c>
      <c r="R174" s="48" t="n">
        <f aca="false">IF(OR($O174="",$P174=""),0,$O174*$P174)</f>
        <v>0</v>
      </c>
      <c r="S174" s="20"/>
      <c r="T174" s="20"/>
      <c r="U174" s="33" t="n">
        <f aca="false">IF($A174="",0,IF(AND(OR($E174=Atleta!$C$4,$E174="Equipe (todos)"),$A174&gt;=Atleta!$C$5),MAX($U$7:U173)+1,0))</f>
        <v>0</v>
      </c>
    </row>
    <row r="175" customFormat="false" ht="15" hidden="false" customHeight="false" outlineLevel="0" collapsed="false">
      <c r="A175" s="21"/>
      <c r="B175" s="33" t="n">
        <f aca="false">IF($A175="",0,INT(($A175-Macrociclo!$C$11)/7)+1)</f>
        <v>0</v>
      </c>
      <c r="C175" s="22"/>
      <c r="D175" s="22"/>
      <c r="E175" s="20"/>
      <c r="F175" s="22"/>
      <c r="G175" s="20"/>
      <c r="H175" s="19" t="str">
        <f aca="false">IFERROR(INDEX(Exercícios!$C$7:$C$206,MATCH($G175,Exercícios!$B$7:$B$206,0)),"")</f>
        <v/>
      </c>
      <c r="I175" s="19" t="str">
        <f aca="false">IFERROR(INDEX(Exercícios!$D$7:$D$206,MATCH($G175,Exercícios!$B$7:$B$206,0)),"")</f>
        <v/>
      </c>
      <c r="J175" s="19" t="str">
        <f aca="false">IFERROR(INDEX(Exercícios!$E$7:$E$206,MATCH($G175,Exercícios!$B$7:$B$206,0)),"")</f>
        <v/>
      </c>
      <c r="K175" s="22"/>
      <c r="L175" s="22"/>
      <c r="M175" s="20"/>
      <c r="N175" s="22"/>
      <c r="O175" s="22"/>
      <c r="P175" s="22"/>
      <c r="Q175" s="19" t="n">
        <f aca="false">IFERROR($K175*$L175,"")</f>
        <v>0</v>
      </c>
      <c r="R175" s="48" t="n">
        <f aca="false">IF(OR($O175="",$P175=""),0,$O175*$P175)</f>
        <v>0</v>
      </c>
      <c r="S175" s="20"/>
      <c r="T175" s="20"/>
      <c r="U175" s="33" t="n">
        <f aca="false">IF($A175="",0,IF(AND(OR($E175=Atleta!$C$4,$E175="Equipe (todos)"),$A175&gt;=Atleta!$C$5),MAX($U$7:U174)+1,0))</f>
        <v>0</v>
      </c>
    </row>
    <row r="176" customFormat="false" ht="15" hidden="false" customHeight="false" outlineLevel="0" collapsed="false">
      <c r="A176" s="21"/>
      <c r="B176" s="33" t="n">
        <f aca="false">IF($A176="",0,INT(($A176-Macrociclo!$C$11)/7)+1)</f>
        <v>0</v>
      </c>
      <c r="C176" s="22"/>
      <c r="D176" s="22"/>
      <c r="E176" s="20"/>
      <c r="F176" s="22"/>
      <c r="G176" s="20"/>
      <c r="H176" s="19" t="str">
        <f aca="false">IFERROR(INDEX(Exercícios!$C$7:$C$206,MATCH($G176,Exercícios!$B$7:$B$206,0)),"")</f>
        <v/>
      </c>
      <c r="I176" s="19" t="str">
        <f aca="false">IFERROR(INDEX(Exercícios!$D$7:$D$206,MATCH($G176,Exercícios!$B$7:$B$206,0)),"")</f>
        <v/>
      </c>
      <c r="J176" s="19" t="str">
        <f aca="false">IFERROR(INDEX(Exercícios!$E$7:$E$206,MATCH($G176,Exercícios!$B$7:$B$206,0)),"")</f>
        <v/>
      </c>
      <c r="K176" s="22"/>
      <c r="L176" s="22"/>
      <c r="M176" s="20"/>
      <c r="N176" s="22"/>
      <c r="O176" s="22"/>
      <c r="P176" s="22"/>
      <c r="Q176" s="19" t="n">
        <f aca="false">IFERROR($K176*$L176,"")</f>
        <v>0</v>
      </c>
      <c r="R176" s="48" t="n">
        <f aca="false">IF(OR($O176="",$P176=""),0,$O176*$P176)</f>
        <v>0</v>
      </c>
      <c r="S176" s="20"/>
      <c r="T176" s="20"/>
      <c r="U176" s="33" t="n">
        <f aca="false">IF($A176="",0,IF(AND(OR($E176=Atleta!$C$4,$E176="Equipe (todos)"),$A176&gt;=Atleta!$C$5),MAX($U$7:U175)+1,0))</f>
        <v>0</v>
      </c>
    </row>
    <row r="177" customFormat="false" ht="15" hidden="false" customHeight="false" outlineLevel="0" collapsed="false">
      <c r="A177" s="21"/>
      <c r="B177" s="33" t="n">
        <f aca="false">IF($A177="",0,INT(($A177-Macrociclo!$C$11)/7)+1)</f>
        <v>0</v>
      </c>
      <c r="C177" s="22"/>
      <c r="D177" s="22"/>
      <c r="E177" s="20"/>
      <c r="F177" s="22"/>
      <c r="G177" s="20"/>
      <c r="H177" s="19" t="str">
        <f aca="false">IFERROR(INDEX(Exercícios!$C$7:$C$206,MATCH($G177,Exercícios!$B$7:$B$206,0)),"")</f>
        <v/>
      </c>
      <c r="I177" s="19" t="str">
        <f aca="false">IFERROR(INDEX(Exercícios!$D$7:$D$206,MATCH($G177,Exercícios!$B$7:$B$206,0)),"")</f>
        <v/>
      </c>
      <c r="J177" s="19" t="str">
        <f aca="false">IFERROR(INDEX(Exercícios!$E$7:$E$206,MATCH($G177,Exercícios!$B$7:$B$206,0)),"")</f>
        <v/>
      </c>
      <c r="K177" s="22"/>
      <c r="L177" s="22"/>
      <c r="M177" s="20"/>
      <c r="N177" s="22"/>
      <c r="O177" s="22"/>
      <c r="P177" s="22"/>
      <c r="Q177" s="19" t="n">
        <f aca="false">IFERROR($K177*$L177,"")</f>
        <v>0</v>
      </c>
      <c r="R177" s="48" t="n">
        <f aca="false">IF(OR($O177="",$P177=""),0,$O177*$P177)</f>
        <v>0</v>
      </c>
      <c r="S177" s="20"/>
      <c r="T177" s="20"/>
      <c r="U177" s="33" t="n">
        <f aca="false">IF($A177="",0,IF(AND(OR($E177=Atleta!$C$4,$E177="Equipe (todos)"),$A177&gt;=Atleta!$C$5),MAX($U$7:U176)+1,0))</f>
        <v>0</v>
      </c>
    </row>
    <row r="178" customFormat="false" ht="15" hidden="false" customHeight="false" outlineLevel="0" collapsed="false">
      <c r="A178" s="21"/>
      <c r="B178" s="33" t="n">
        <f aca="false">IF($A178="",0,INT(($A178-Macrociclo!$C$11)/7)+1)</f>
        <v>0</v>
      </c>
      <c r="C178" s="22"/>
      <c r="D178" s="22"/>
      <c r="E178" s="20"/>
      <c r="F178" s="22"/>
      <c r="G178" s="20"/>
      <c r="H178" s="19" t="str">
        <f aca="false">IFERROR(INDEX(Exercícios!$C$7:$C$206,MATCH($G178,Exercícios!$B$7:$B$206,0)),"")</f>
        <v/>
      </c>
      <c r="I178" s="19" t="str">
        <f aca="false">IFERROR(INDEX(Exercícios!$D$7:$D$206,MATCH($G178,Exercícios!$B$7:$B$206,0)),"")</f>
        <v/>
      </c>
      <c r="J178" s="19" t="str">
        <f aca="false">IFERROR(INDEX(Exercícios!$E$7:$E$206,MATCH($G178,Exercícios!$B$7:$B$206,0)),"")</f>
        <v/>
      </c>
      <c r="K178" s="22"/>
      <c r="L178" s="22"/>
      <c r="M178" s="20"/>
      <c r="N178" s="22"/>
      <c r="O178" s="22"/>
      <c r="P178" s="22"/>
      <c r="Q178" s="19" t="n">
        <f aca="false">IFERROR($K178*$L178,"")</f>
        <v>0</v>
      </c>
      <c r="R178" s="48" t="n">
        <f aca="false">IF(OR($O178="",$P178=""),0,$O178*$P178)</f>
        <v>0</v>
      </c>
      <c r="S178" s="20"/>
      <c r="T178" s="20"/>
      <c r="U178" s="33" t="n">
        <f aca="false">IF($A178="",0,IF(AND(OR($E178=Atleta!$C$4,$E178="Equipe (todos)"),$A178&gt;=Atleta!$C$5),MAX($U$7:U177)+1,0))</f>
        <v>0</v>
      </c>
    </row>
    <row r="179" customFormat="false" ht="15" hidden="false" customHeight="false" outlineLevel="0" collapsed="false">
      <c r="A179" s="21"/>
      <c r="B179" s="33" t="n">
        <f aca="false">IF($A179="",0,INT(($A179-Macrociclo!$C$11)/7)+1)</f>
        <v>0</v>
      </c>
      <c r="C179" s="22"/>
      <c r="D179" s="22"/>
      <c r="E179" s="20"/>
      <c r="F179" s="22"/>
      <c r="G179" s="20"/>
      <c r="H179" s="19" t="str">
        <f aca="false">IFERROR(INDEX(Exercícios!$C$7:$C$206,MATCH($G179,Exercícios!$B$7:$B$206,0)),"")</f>
        <v/>
      </c>
      <c r="I179" s="19" t="str">
        <f aca="false">IFERROR(INDEX(Exercícios!$D$7:$D$206,MATCH($G179,Exercícios!$B$7:$B$206,0)),"")</f>
        <v/>
      </c>
      <c r="J179" s="19" t="str">
        <f aca="false">IFERROR(INDEX(Exercícios!$E$7:$E$206,MATCH($G179,Exercícios!$B$7:$B$206,0)),"")</f>
        <v/>
      </c>
      <c r="K179" s="22"/>
      <c r="L179" s="22"/>
      <c r="M179" s="20"/>
      <c r="N179" s="22"/>
      <c r="O179" s="22"/>
      <c r="P179" s="22"/>
      <c r="Q179" s="19" t="n">
        <f aca="false">IFERROR($K179*$L179,"")</f>
        <v>0</v>
      </c>
      <c r="R179" s="48" t="n">
        <f aca="false">IF(OR($O179="",$P179=""),0,$O179*$P179)</f>
        <v>0</v>
      </c>
      <c r="S179" s="20"/>
      <c r="T179" s="20"/>
      <c r="U179" s="33" t="n">
        <f aca="false">IF($A179="",0,IF(AND(OR($E179=Atleta!$C$4,$E179="Equipe (todos)"),$A179&gt;=Atleta!$C$5),MAX($U$7:U178)+1,0))</f>
        <v>0</v>
      </c>
    </row>
    <row r="180" customFormat="false" ht="15" hidden="false" customHeight="false" outlineLevel="0" collapsed="false">
      <c r="A180" s="21"/>
      <c r="B180" s="33" t="n">
        <f aca="false">IF($A180="",0,INT(($A180-Macrociclo!$C$11)/7)+1)</f>
        <v>0</v>
      </c>
      <c r="C180" s="22"/>
      <c r="D180" s="22"/>
      <c r="E180" s="20"/>
      <c r="F180" s="22"/>
      <c r="G180" s="20"/>
      <c r="H180" s="19" t="str">
        <f aca="false">IFERROR(INDEX(Exercícios!$C$7:$C$206,MATCH($G180,Exercícios!$B$7:$B$206,0)),"")</f>
        <v/>
      </c>
      <c r="I180" s="19" t="str">
        <f aca="false">IFERROR(INDEX(Exercícios!$D$7:$D$206,MATCH($G180,Exercícios!$B$7:$B$206,0)),"")</f>
        <v/>
      </c>
      <c r="J180" s="19" t="str">
        <f aca="false">IFERROR(INDEX(Exercícios!$E$7:$E$206,MATCH($G180,Exercícios!$B$7:$B$206,0)),"")</f>
        <v/>
      </c>
      <c r="K180" s="22"/>
      <c r="L180" s="22"/>
      <c r="M180" s="20"/>
      <c r="N180" s="22"/>
      <c r="O180" s="22"/>
      <c r="P180" s="22"/>
      <c r="Q180" s="19" t="n">
        <f aca="false">IFERROR($K180*$L180,"")</f>
        <v>0</v>
      </c>
      <c r="R180" s="48" t="n">
        <f aca="false">IF(OR($O180="",$P180=""),0,$O180*$P180)</f>
        <v>0</v>
      </c>
      <c r="S180" s="20"/>
      <c r="T180" s="20"/>
      <c r="U180" s="33" t="n">
        <f aca="false">IF($A180="",0,IF(AND(OR($E180=Atleta!$C$4,$E180="Equipe (todos)"),$A180&gt;=Atleta!$C$5),MAX($U$7:U179)+1,0))</f>
        <v>0</v>
      </c>
    </row>
    <row r="181" customFormat="false" ht="15" hidden="false" customHeight="false" outlineLevel="0" collapsed="false">
      <c r="A181" s="21"/>
      <c r="B181" s="33" t="n">
        <f aca="false">IF($A181="",0,INT(($A181-Macrociclo!$C$11)/7)+1)</f>
        <v>0</v>
      </c>
      <c r="C181" s="22"/>
      <c r="D181" s="22"/>
      <c r="E181" s="20"/>
      <c r="F181" s="22"/>
      <c r="G181" s="20"/>
      <c r="H181" s="19" t="str">
        <f aca="false">IFERROR(INDEX(Exercícios!$C$7:$C$206,MATCH($G181,Exercícios!$B$7:$B$206,0)),"")</f>
        <v/>
      </c>
      <c r="I181" s="19" t="str">
        <f aca="false">IFERROR(INDEX(Exercícios!$D$7:$D$206,MATCH($G181,Exercícios!$B$7:$B$206,0)),"")</f>
        <v/>
      </c>
      <c r="J181" s="19" t="str">
        <f aca="false">IFERROR(INDEX(Exercícios!$E$7:$E$206,MATCH($G181,Exercícios!$B$7:$B$206,0)),"")</f>
        <v/>
      </c>
      <c r="K181" s="22"/>
      <c r="L181" s="22"/>
      <c r="M181" s="20"/>
      <c r="N181" s="22"/>
      <c r="O181" s="22"/>
      <c r="P181" s="22"/>
      <c r="Q181" s="19" t="n">
        <f aca="false">IFERROR($K181*$L181,"")</f>
        <v>0</v>
      </c>
      <c r="R181" s="48" t="n">
        <f aca="false">IF(OR($O181="",$P181=""),0,$O181*$P181)</f>
        <v>0</v>
      </c>
      <c r="S181" s="20"/>
      <c r="T181" s="20"/>
      <c r="U181" s="33" t="n">
        <f aca="false">IF($A181="",0,IF(AND(OR($E181=Atleta!$C$4,$E181="Equipe (todos)"),$A181&gt;=Atleta!$C$5),MAX($U$7:U180)+1,0))</f>
        <v>0</v>
      </c>
    </row>
    <row r="182" customFormat="false" ht="15" hidden="false" customHeight="false" outlineLevel="0" collapsed="false">
      <c r="A182" s="21"/>
      <c r="B182" s="33" t="n">
        <f aca="false">IF($A182="",0,INT(($A182-Macrociclo!$C$11)/7)+1)</f>
        <v>0</v>
      </c>
      <c r="C182" s="22"/>
      <c r="D182" s="22"/>
      <c r="E182" s="20"/>
      <c r="F182" s="22"/>
      <c r="G182" s="20"/>
      <c r="H182" s="19" t="str">
        <f aca="false">IFERROR(INDEX(Exercícios!$C$7:$C$206,MATCH($G182,Exercícios!$B$7:$B$206,0)),"")</f>
        <v/>
      </c>
      <c r="I182" s="19" t="str">
        <f aca="false">IFERROR(INDEX(Exercícios!$D$7:$D$206,MATCH($G182,Exercícios!$B$7:$B$206,0)),"")</f>
        <v/>
      </c>
      <c r="J182" s="19" t="str">
        <f aca="false">IFERROR(INDEX(Exercícios!$E$7:$E$206,MATCH($G182,Exercícios!$B$7:$B$206,0)),"")</f>
        <v/>
      </c>
      <c r="K182" s="22"/>
      <c r="L182" s="22"/>
      <c r="M182" s="20"/>
      <c r="N182" s="22"/>
      <c r="O182" s="22"/>
      <c r="P182" s="22"/>
      <c r="Q182" s="19" t="n">
        <f aca="false">IFERROR($K182*$L182,"")</f>
        <v>0</v>
      </c>
      <c r="R182" s="48" t="n">
        <f aca="false">IF(OR($O182="",$P182=""),0,$O182*$P182)</f>
        <v>0</v>
      </c>
      <c r="S182" s="20"/>
      <c r="T182" s="20"/>
      <c r="U182" s="33" t="n">
        <f aca="false">IF($A182="",0,IF(AND(OR($E182=Atleta!$C$4,$E182="Equipe (todos)"),$A182&gt;=Atleta!$C$5),MAX($U$7:U181)+1,0))</f>
        <v>0</v>
      </c>
    </row>
    <row r="183" customFormat="false" ht="15" hidden="false" customHeight="false" outlineLevel="0" collapsed="false">
      <c r="A183" s="21"/>
      <c r="B183" s="33" t="n">
        <f aca="false">IF($A183="",0,INT(($A183-Macrociclo!$C$11)/7)+1)</f>
        <v>0</v>
      </c>
      <c r="C183" s="22"/>
      <c r="D183" s="22"/>
      <c r="E183" s="20"/>
      <c r="F183" s="22"/>
      <c r="G183" s="20"/>
      <c r="H183" s="19" t="str">
        <f aca="false">IFERROR(INDEX(Exercícios!$C$7:$C$206,MATCH($G183,Exercícios!$B$7:$B$206,0)),"")</f>
        <v/>
      </c>
      <c r="I183" s="19" t="str">
        <f aca="false">IFERROR(INDEX(Exercícios!$D$7:$D$206,MATCH($G183,Exercícios!$B$7:$B$206,0)),"")</f>
        <v/>
      </c>
      <c r="J183" s="19" t="str">
        <f aca="false">IFERROR(INDEX(Exercícios!$E$7:$E$206,MATCH($G183,Exercícios!$B$7:$B$206,0)),"")</f>
        <v/>
      </c>
      <c r="K183" s="22"/>
      <c r="L183" s="22"/>
      <c r="M183" s="20"/>
      <c r="N183" s="22"/>
      <c r="O183" s="22"/>
      <c r="P183" s="22"/>
      <c r="Q183" s="19" t="n">
        <f aca="false">IFERROR($K183*$L183,"")</f>
        <v>0</v>
      </c>
      <c r="R183" s="48" t="n">
        <f aca="false">IF(OR($O183="",$P183=""),0,$O183*$P183)</f>
        <v>0</v>
      </c>
      <c r="S183" s="20"/>
      <c r="T183" s="20"/>
      <c r="U183" s="33" t="n">
        <f aca="false">IF($A183="",0,IF(AND(OR($E183=Atleta!$C$4,$E183="Equipe (todos)"),$A183&gt;=Atleta!$C$5),MAX($U$7:U182)+1,0))</f>
        <v>0</v>
      </c>
    </row>
    <row r="184" customFormat="false" ht="15" hidden="false" customHeight="false" outlineLevel="0" collapsed="false">
      <c r="A184" s="21"/>
      <c r="B184" s="33" t="n">
        <f aca="false">IF($A184="",0,INT(($A184-Macrociclo!$C$11)/7)+1)</f>
        <v>0</v>
      </c>
      <c r="C184" s="22"/>
      <c r="D184" s="22"/>
      <c r="E184" s="20"/>
      <c r="F184" s="22"/>
      <c r="G184" s="20"/>
      <c r="H184" s="19" t="str">
        <f aca="false">IFERROR(INDEX(Exercícios!$C$7:$C$206,MATCH($G184,Exercícios!$B$7:$B$206,0)),"")</f>
        <v/>
      </c>
      <c r="I184" s="19" t="str">
        <f aca="false">IFERROR(INDEX(Exercícios!$D$7:$D$206,MATCH($G184,Exercícios!$B$7:$B$206,0)),"")</f>
        <v/>
      </c>
      <c r="J184" s="19" t="str">
        <f aca="false">IFERROR(INDEX(Exercícios!$E$7:$E$206,MATCH($G184,Exercícios!$B$7:$B$206,0)),"")</f>
        <v/>
      </c>
      <c r="K184" s="22"/>
      <c r="L184" s="22"/>
      <c r="M184" s="20"/>
      <c r="N184" s="22"/>
      <c r="O184" s="22"/>
      <c r="P184" s="22"/>
      <c r="Q184" s="19" t="n">
        <f aca="false">IFERROR($K184*$L184,"")</f>
        <v>0</v>
      </c>
      <c r="R184" s="48" t="n">
        <f aca="false">IF(OR($O184="",$P184=""),0,$O184*$P184)</f>
        <v>0</v>
      </c>
      <c r="S184" s="20"/>
      <c r="T184" s="20"/>
      <c r="U184" s="33" t="n">
        <f aca="false">IF($A184="",0,IF(AND(OR($E184=Atleta!$C$4,$E184="Equipe (todos)"),$A184&gt;=Atleta!$C$5),MAX($U$7:U183)+1,0))</f>
        <v>0</v>
      </c>
    </row>
    <row r="185" customFormat="false" ht="15" hidden="false" customHeight="false" outlineLevel="0" collapsed="false">
      <c r="A185" s="21"/>
      <c r="B185" s="33" t="n">
        <f aca="false">IF($A185="",0,INT(($A185-Macrociclo!$C$11)/7)+1)</f>
        <v>0</v>
      </c>
      <c r="C185" s="22"/>
      <c r="D185" s="22"/>
      <c r="E185" s="20"/>
      <c r="F185" s="22"/>
      <c r="G185" s="20"/>
      <c r="H185" s="19" t="str">
        <f aca="false">IFERROR(INDEX(Exercícios!$C$7:$C$206,MATCH($G185,Exercícios!$B$7:$B$206,0)),"")</f>
        <v/>
      </c>
      <c r="I185" s="19" t="str">
        <f aca="false">IFERROR(INDEX(Exercícios!$D$7:$D$206,MATCH($G185,Exercícios!$B$7:$B$206,0)),"")</f>
        <v/>
      </c>
      <c r="J185" s="19" t="str">
        <f aca="false">IFERROR(INDEX(Exercícios!$E$7:$E$206,MATCH($G185,Exercícios!$B$7:$B$206,0)),"")</f>
        <v/>
      </c>
      <c r="K185" s="22"/>
      <c r="L185" s="22"/>
      <c r="M185" s="20"/>
      <c r="N185" s="22"/>
      <c r="O185" s="22"/>
      <c r="P185" s="22"/>
      <c r="Q185" s="19" t="n">
        <f aca="false">IFERROR($K185*$L185,"")</f>
        <v>0</v>
      </c>
      <c r="R185" s="48" t="n">
        <f aca="false">IF(OR($O185="",$P185=""),0,$O185*$P185)</f>
        <v>0</v>
      </c>
      <c r="S185" s="20"/>
      <c r="T185" s="20"/>
      <c r="U185" s="33" t="n">
        <f aca="false">IF($A185="",0,IF(AND(OR($E185=Atleta!$C$4,$E185="Equipe (todos)"),$A185&gt;=Atleta!$C$5),MAX($U$7:U184)+1,0))</f>
        <v>0</v>
      </c>
    </row>
    <row r="186" customFormat="false" ht="15" hidden="false" customHeight="false" outlineLevel="0" collapsed="false">
      <c r="A186" s="21"/>
      <c r="B186" s="33" t="n">
        <f aca="false">IF($A186="",0,INT(($A186-Macrociclo!$C$11)/7)+1)</f>
        <v>0</v>
      </c>
      <c r="C186" s="22"/>
      <c r="D186" s="22"/>
      <c r="E186" s="20"/>
      <c r="F186" s="22"/>
      <c r="G186" s="20"/>
      <c r="H186" s="19" t="str">
        <f aca="false">IFERROR(INDEX(Exercícios!$C$7:$C$206,MATCH($G186,Exercícios!$B$7:$B$206,0)),"")</f>
        <v/>
      </c>
      <c r="I186" s="19" t="str">
        <f aca="false">IFERROR(INDEX(Exercícios!$D$7:$D$206,MATCH($G186,Exercícios!$B$7:$B$206,0)),"")</f>
        <v/>
      </c>
      <c r="J186" s="19" t="str">
        <f aca="false">IFERROR(INDEX(Exercícios!$E$7:$E$206,MATCH($G186,Exercícios!$B$7:$B$206,0)),"")</f>
        <v/>
      </c>
      <c r="K186" s="22"/>
      <c r="L186" s="22"/>
      <c r="M186" s="20"/>
      <c r="N186" s="22"/>
      <c r="O186" s="22"/>
      <c r="P186" s="22"/>
      <c r="Q186" s="19" t="n">
        <f aca="false">IFERROR($K186*$L186,"")</f>
        <v>0</v>
      </c>
      <c r="R186" s="48" t="n">
        <f aca="false">IF(OR($O186="",$P186=""),0,$O186*$P186)</f>
        <v>0</v>
      </c>
      <c r="S186" s="20"/>
      <c r="T186" s="20"/>
      <c r="U186" s="33" t="n">
        <f aca="false">IF($A186="",0,IF(AND(OR($E186=Atleta!$C$4,$E186="Equipe (todos)"),$A186&gt;=Atleta!$C$5),MAX($U$7:U185)+1,0))</f>
        <v>0</v>
      </c>
    </row>
    <row r="187" customFormat="false" ht="15" hidden="false" customHeight="false" outlineLevel="0" collapsed="false">
      <c r="A187" s="21"/>
      <c r="B187" s="33" t="n">
        <f aca="false">IF($A187="",0,INT(($A187-Macrociclo!$C$11)/7)+1)</f>
        <v>0</v>
      </c>
      <c r="C187" s="22"/>
      <c r="D187" s="22"/>
      <c r="E187" s="20"/>
      <c r="F187" s="22"/>
      <c r="G187" s="20"/>
      <c r="H187" s="19" t="str">
        <f aca="false">IFERROR(INDEX(Exercícios!$C$7:$C$206,MATCH($G187,Exercícios!$B$7:$B$206,0)),"")</f>
        <v/>
      </c>
      <c r="I187" s="19" t="str">
        <f aca="false">IFERROR(INDEX(Exercícios!$D$7:$D$206,MATCH($G187,Exercícios!$B$7:$B$206,0)),"")</f>
        <v/>
      </c>
      <c r="J187" s="19" t="str">
        <f aca="false">IFERROR(INDEX(Exercícios!$E$7:$E$206,MATCH($G187,Exercícios!$B$7:$B$206,0)),"")</f>
        <v/>
      </c>
      <c r="K187" s="22"/>
      <c r="L187" s="22"/>
      <c r="M187" s="20"/>
      <c r="N187" s="22"/>
      <c r="O187" s="22"/>
      <c r="P187" s="22"/>
      <c r="Q187" s="19" t="n">
        <f aca="false">IFERROR($K187*$L187,"")</f>
        <v>0</v>
      </c>
      <c r="R187" s="48" t="n">
        <f aca="false">IF(OR($O187="",$P187=""),0,$O187*$P187)</f>
        <v>0</v>
      </c>
      <c r="S187" s="20"/>
      <c r="T187" s="20"/>
      <c r="U187" s="33" t="n">
        <f aca="false">IF($A187="",0,IF(AND(OR($E187=Atleta!$C$4,$E187="Equipe (todos)"),$A187&gt;=Atleta!$C$5),MAX($U$7:U186)+1,0))</f>
        <v>0</v>
      </c>
    </row>
    <row r="188" customFormat="false" ht="15" hidden="false" customHeight="false" outlineLevel="0" collapsed="false">
      <c r="A188" s="21"/>
      <c r="B188" s="33" t="n">
        <f aca="false">IF($A188="",0,INT(($A188-Macrociclo!$C$11)/7)+1)</f>
        <v>0</v>
      </c>
      <c r="C188" s="22"/>
      <c r="D188" s="22"/>
      <c r="E188" s="20"/>
      <c r="F188" s="22"/>
      <c r="G188" s="20"/>
      <c r="H188" s="19" t="str">
        <f aca="false">IFERROR(INDEX(Exercícios!$C$7:$C$206,MATCH($G188,Exercícios!$B$7:$B$206,0)),"")</f>
        <v/>
      </c>
      <c r="I188" s="19" t="str">
        <f aca="false">IFERROR(INDEX(Exercícios!$D$7:$D$206,MATCH($G188,Exercícios!$B$7:$B$206,0)),"")</f>
        <v/>
      </c>
      <c r="J188" s="19" t="str">
        <f aca="false">IFERROR(INDEX(Exercícios!$E$7:$E$206,MATCH($G188,Exercícios!$B$7:$B$206,0)),"")</f>
        <v/>
      </c>
      <c r="K188" s="22"/>
      <c r="L188" s="22"/>
      <c r="M188" s="20"/>
      <c r="N188" s="22"/>
      <c r="O188" s="22"/>
      <c r="P188" s="22"/>
      <c r="Q188" s="19" t="n">
        <f aca="false">IFERROR($K188*$L188,"")</f>
        <v>0</v>
      </c>
      <c r="R188" s="48" t="n">
        <f aca="false">IF(OR($O188="",$P188=""),0,$O188*$P188)</f>
        <v>0</v>
      </c>
      <c r="S188" s="20"/>
      <c r="T188" s="20"/>
      <c r="U188" s="33" t="n">
        <f aca="false">IF($A188="",0,IF(AND(OR($E188=Atleta!$C$4,$E188="Equipe (todos)"),$A188&gt;=Atleta!$C$5),MAX($U$7:U187)+1,0))</f>
        <v>0</v>
      </c>
    </row>
    <row r="189" customFormat="false" ht="15" hidden="false" customHeight="false" outlineLevel="0" collapsed="false">
      <c r="A189" s="21"/>
      <c r="B189" s="33" t="n">
        <f aca="false">IF($A189="",0,INT(($A189-Macrociclo!$C$11)/7)+1)</f>
        <v>0</v>
      </c>
      <c r="C189" s="22"/>
      <c r="D189" s="22"/>
      <c r="E189" s="20"/>
      <c r="F189" s="22"/>
      <c r="G189" s="20"/>
      <c r="H189" s="19" t="str">
        <f aca="false">IFERROR(INDEX(Exercícios!$C$7:$C$206,MATCH($G189,Exercícios!$B$7:$B$206,0)),"")</f>
        <v/>
      </c>
      <c r="I189" s="19" t="str">
        <f aca="false">IFERROR(INDEX(Exercícios!$D$7:$D$206,MATCH($G189,Exercícios!$B$7:$B$206,0)),"")</f>
        <v/>
      </c>
      <c r="J189" s="19" t="str">
        <f aca="false">IFERROR(INDEX(Exercícios!$E$7:$E$206,MATCH($G189,Exercícios!$B$7:$B$206,0)),"")</f>
        <v/>
      </c>
      <c r="K189" s="22"/>
      <c r="L189" s="22"/>
      <c r="M189" s="20"/>
      <c r="N189" s="22"/>
      <c r="O189" s="22"/>
      <c r="P189" s="22"/>
      <c r="Q189" s="19" t="n">
        <f aca="false">IFERROR($K189*$L189,"")</f>
        <v>0</v>
      </c>
      <c r="R189" s="48" t="n">
        <f aca="false">IF(OR($O189="",$P189=""),0,$O189*$P189)</f>
        <v>0</v>
      </c>
      <c r="S189" s="20"/>
      <c r="T189" s="20"/>
      <c r="U189" s="33" t="n">
        <f aca="false">IF($A189="",0,IF(AND(OR($E189=Atleta!$C$4,$E189="Equipe (todos)"),$A189&gt;=Atleta!$C$5),MAX($U$7:U188)+1,0))</f>
        <v>0</v>
      </c>
    </row>
    <row r="190" customFormat="false" ht="15" hidden="false" customHeight="false" outlineLevel="0" collapsed="false">
      <c r="A190" s="21"/>
      <c r="B190" s="33" t="n">
        <f aca="false">IF($A190="",0,INT(($A190-Macrociclo!$C$11)/7)+1)</f>
        <v>0</v>
      </c>
      <c r="C190" s="22"/>
      <c r="D190" s="22"/>
      <c r="E190" s="20"/>
      <c r="F190" s="22"/>
      <c r="G190" s="20"/>
      <c r="H190" s="19" t="str">
        <f aca="false">IFERROR(INDEX(Exercícios!$C$7:$C$206,MATCH($G190,Exercícios!$B$7:$B$206,0)),"")</f>
        <v/>
      </c>
      <c r="I190" s="19" t="str">
        <f aca="false">IFERROR(INDEX(Exercícios!$D$7:$D$206,MATCH($G190,Exercícios!$B$7:$B$206,0)),"")</f>
        <v/>
      </c>
      <c r="J190" s="19" t="str">
        <f aca="false">IFERROR(INDEX(Exercícios!$E$7:$E$206,MATCH($G190,Exercícios!$B$7:$B$206,0)),"")</f>
        <v/>
      </c>
      <c r="K190" s="22"/>
      <c r="L190" s="22"/>
      <c r="M190" s="20"/>
      <c r="N190" s="22"/>
      <c r="O190" s="22"/>
      <c r="P190" s="22"/>
      <c r="Q190" s="19" t="n">
        <f aca="false">IFERROR($K190*$L190,"")</f>
        <v>0</v>
      </c>
      <c r="R190" s="48" t="n">
        <f aca="false">IF(OR($O190="",$P190=""),0,$O190*$P190)</f>
        <v>0</v>
      </c>
      <c r="S190" s="20"/>
      <c r="T190" s="20"/>
      <c r="U190" s="33" t="n">
        <f aca="false">IF($A190="",0,IF(AND(OR($E190=Atleta!$C$4,$E190="Equipe (todos)"),$A190&gt;=Atleta!$C$5),MAX($U$7:U189)+1,0))</f>
        <v>0</v>
      </c>
    </row>
    <row r="191" customFormat="false" ht="15" hidden="false" customHeight="false" outlineLevel="0" collapsed="false">
      <c r="A191" s="21"/>
      <c r="B191" s="33" t="n">
        <f aca="false">IF($A191="",0,INT(($A191-Macrociclo!$C$11)/7)+1)</f>
        <v>0</v>
      </c>
      <c r="C191" s="22"/>
      <c r="D191" s="22"/>
      <c r="E191" s="20"/>
      <c r="F191" s="22"/>
      <c r="G191" s="20"/>
      <c r="H191" s="19" t="str">
        <f aca="false">IFERROR(INDEX(Exercícios!$C$7:$C$206,MATCH($G191,Exercícios!$B$7:$B$206,0)),"")</f>
        <v/>
      </c>
      <c r="I191" s="19" t="str">
        <f aca="false">IFERROR(INDEX(Exercícios!$D$7:$D$206,MATCH($G191,Exercícios!$B$7:$B$206,0)),"")</f>
        <v/>
      </c>
      <c r="J191" s="19" t="str">
        <f aca="false">IFERROR(INDEX(Exercícios!$E$7:$E$206,MATCH($G191,Exercícios!$B$7:$B$206,0)),"")</f>
        <v/>
      </c>
      <c r="K191" s="22"/>
      <c r="L191" s="22"/>
      <c r="M191" s="20"/>
      <c r="N191" s="22"/>
      <c r="O191" s="22"/>
      <c r="P191" s="22"/>
      <c r="Q191" s="19" t="n">
        <f aca="false">IFERROR($K191*$L191,"")</f>
        <v>0</v>
      </c>
      <c r="R191" s="48" t="n">
        <f aca="false">IF(OR($O191="",$P191=""),0,$O191*$P191)</f>
        <v>0</v>
      </c>
      <c r="S191" s="20"/>
      <c r="T191" s="20"/>
      <c r="U191" s="33" t="n">
        <f aca="false">IF($A191="",0,IF(AND(OR($E191=Atleta!$C$4,$E191="Equipe (todos)"),$A191&gt;=Atleta!$C$5),MAX($U$7:U190)+1,0))</f>
        <v>0</v>
      </c>
    </row>
    <row r="192" customFormat="false" ht="15" hidden="false" customHeight="false" outlineLevel="0" collapsed="false">
      <c r="A192" s="21"/>
      <c r="B192" s="33" t="n">
        <f aca="false">IF($A192="",0,INT(($A192-Macrociclo!$C$11)/7)+1)</f>
        <v>0</v>
      </c>
      <c r="C192" s="22"/>
      <c r="D192" s="22"/>
      <c r="E192" s="20"/>
      <c r="F192" s="22"/>
      <c r="G192" s="20"/>
      <c r="H192" s="19" t="str">
        <f aca="false">IFERROR(INDEX(Exercícios!$C$7:$C$206,MATCH($G192,Exercícios!$B$7:$B$206,0)),"")</f>
        <v/>
      </c>
      <c r="I192" s="19" t="str">
        <f aca="false">IFERROR(INDEX(Exercícios!$D$7:$D$206,MATCH($G192,Exercícios!$B$7:$B$206,0)),"")</f>
        <v/>
      </c>
      <c r="J192" s="19" t="str">
        <f aca="false">IFERROR(INDEX(Exercícios!$E$7:$E$206,MATCH($G192,Exercícios!$B$7:$B$206,0)),"")</f>
        <v/>
      </c>
      <c r="K192" s="22"/>
      <c r="L192" s="22"/>
      <c r="M192" s="20"/>
      <c r="N192" s="22"/>
      <c r="O192" s="22"/>
      <c r="P192" s="22"/>
      <c r="Q192" s="19" t="n">
        <f aca="false">IFERROR($K192*$L192,"")</f>
        <v>0</v>
      </c>
      <c r="R192" s="48" t="n">
        <f aca="false">IF(OR($O192="",$P192=""),0,$O192*$P192)</f>
        <v>0</v>
      </c>
      <c r="S192" s="20"/>
      <c r="T192" s="20"/>
      <c r="U192" s="33" t="n">
        <f aca="false">IF($A192="",0,IF(AND(OR($E192=Atleta!$C$4,$E192="Equipe (todos)"),$A192&gt;=Atleta!$C$5),MAX($U$7:U191)+1,0))</f>
        <v>0</v>
      </c>
    </row>
    <row r="193" customFormat="false" ht="15" hidden="false" customHeight="false" outlineLevel="0" collapsed="false">
      <c r="A193" s="21"/>
      <c r="B193" s="33" t="n">
        <f aca="false">IF($A193="",0,INT(($A193-Macrociclo!$C$11)/7)+1)</f>
        <v>0</v>
      </c>
      <c r="C193" s="22"/>
      <c r="D193" s="22"/>
      <c r="E193" s="20"/>
      <c r="F193" s="22"/>
      <c r="G193" s="20"/>
      <c r="H193" s="19" t="str">
        <f aca="false">IFERROR(INDEX(Exercícios!$C$7:$C$206,MATCH($G193,Exercícios!$B$7:$B$206,0)),"")</f>
        <v/>
      </c>
      <c r="I193" s="19" t="str">
        <f aca="false">IFERROR(INDEX(Exercícios!$D$7:$D$206,MATCH($G193,Exercícios!$B$7:$B$206,0)),"")</f>
        <v/>
      </c>
      <c r="J193" s="19" t="str">
        <f aca="false">IFERROR(INDEX(Exercícios!$E$7:$E$206,MATCH($G193,Exercícios!$B$7:$B$206,0)),"")</f>
        <v/>
      </c>
      <c r="K193" s="22"/>
      <c r="L193" s="22"/>
      <c r="M193" s="20"/>
      <c r="N193" s="22"/>
      <c r="O193" s="22"/>
      <c r="P193" s="22"/>
      <c r="Q193" s="19" t="n">
        <f aca="false">IFERROR($K193*$L193,"")</f>
        <v>0</v>
      </c>
      <c r="R193" s="48" t="n">
        <f aca="false">IF(OR($O193="",$P193=""),0,$O193*$P193)</f>
        <v>0</v>
      </c>
      <c r="S193" s="20"/>
      <c r="T193" s="20"/>
      <c r="U193" s="33" t="n">
        <f aca="false">IF($A193="",0,IF(AND(OR($E193=Atleta!$C$4,$E193="Equipe (todos)"),$A193&gt;=Atleta!$C$5),MAX($U$7:U192)+1,0))</f>
        <v>0</v>
      </c>
    </row>
    <row r="194" customFormat="false" ht="15" hidden="false" customHeight="false" outlineLevel="0" collapsed="false">
      <c r="A194" s="21"/>
      <c r="B194" s="33" t="n">
        <f aca="false">IF($A194="",0,INT(($A194-Macrociclo!$C$11)/7)+1)</f>
        <v>0</v>
      </c>
      <c r="C194" s="22"/>
      <c r="D194" s="22"/>
      <c r="E194" s="20"/>
      <c r="F194" s="22"/>
      <c r="G194" s="20"/>
      <c r="H194" s="19" t="str">
        <f aca="false">IFERROR(INDEX(Exercícios!$C$7:$C$206,MATCH($G194,Exercícios!$B$7:$B$206,0)),"")</f>
        <v/>
      </c>
      <c r="I194" s="19" t="str">
        <f aca="false">IFERROR(INDEX(Exercícios!$D$7:$D$206,MATCH($G194,Exercícios!$B$7:$B$206,0)),"")</f>
        <v/>
      </c>
      <c r="J194" s="19" t="str">
        <f aca="false">IFERROR(INDEX(Exercícios!$E$7:$E$206,MATCH($G194,Exercícios!$B$7:$B$206,0)),"")</f>
        <v/>
      </c>
      <c r="K194" s="22"/>
      <c r="L194" s="22"/>
      <c r="M194" s="20"/>
      <c r="N194" s="22"/>
      <c r="O194" s="22"/>
      <c r="P194" s="22"/>
      <c r="Q194" s="19" t="n">
        <f aca="false">IFERROR($K194*$L194,"")</f>
        <v>0</v>
      </c>
      <c r="R194" s="48" t="n">
        <f aca="false">IF(OR($O194="",$P194=""),0,$O194*$P194)</f>
        <v>0</v>
      </c>
      <c r="S194" s="20"/>
      <c r="T194" s="20"/>
      <c r="U194" s="33" t="n">
        <f aca="false">IF($A194="",0,IF(AND(OR($E194=Atleta!$C$4,$E194="Equipe (todos)"),$A194&gt;=Atleta!$C$5),MAX($U$7:U193)+1,0))</f>
        <v>0</v>
      </c>
    </row>
    <row r="195" customFormat="false" ht="15" hidden="false" customHeight="false" outlineLevel="0" collapsed="false">
      <c r="A195" s="21"/>
      <c r="B195" s="33" t="n">
        <f aca="false">IF($A195="",0,INT(($A195-Macrociclo!$C$11)/7)+1)</f>
        <v>0</v>
      </c>
      <c r="C195" s="22"/>
      <c r="D195" s="22"/>
      <c r="E195" s="20"/>
      <c r="F195" s="22"/>
      <c r="G195" s="20"/>
      <c r="H195" s="19" t="str">
        <f aca="false">IFERROR(INDEX(Exercícios!$C$7:$C$206,MATCH($G195,Exercícios!$B$7:$B$206,0)),"")</f>
        <v/>
      </c>
      <c r="I195" s="19" t="str">
        <f aca="false">IFERROR(INDEX(Exercícios!$D$7:$D$206,MATCH($G195,Exercícios!$B$7:$B$206,0)),"")</f>
        <v/>
      </c>
      <c r="J195" s="19" t="str">
        <f aca="false">IFERROR(INDEX(Exercícios!$E$7:$E$206,MATCH($G195,Exercícios!$B$7:$B$206,0)),"")</f>
        <v/>
      </c>
      <c r="K195" s="22"/>
      <c r="L195" s="22"/>
      <c r="M195" s="20"/>
      <c r="N195" s="22"/>
      <c r="O195" s="22"/>
      <c r="P195" s="22"/>
      <c r="Q195" s="19" t="n">
        <f aca="false">IFERROR($K195*$L195,"")</f>
        <v>0</v>
      </c>
      <c r="R195" s="48" t="n">
        <f aca="false">IF(OR($O195="",$P195=""),0,$O195*$P195)</f>
        <v>0</v>
      </c>
      <c r="S195" s="20"/>
      <c r="T195" s="20"/>
      <c r="U195" s="33" t="n">
        <f aca="false">IF($A195="",0,IF(AND(OR($E195=Atleta!$C$4,$E195="Equipe (todos)"),$A195&gt;=Atleta!$C$5),MAX($U$7:U194)+1,0))</f>
        <v>0</v>
      </c>
    </row>
    <row r="196" customFormat="false" ht="15" hidden="false" customHeight="false" outlineLevel="0" collapsed="false">
      <c r="A196" s="21"/>
      <c r="B196" s="33" t="n">
        <f aca="false">IF($A196="",0,INT(($A196-Macrociclo!$C$11)/7)+1)</f>
        <v>0</v>
      </c>
      <c r="C196" s="22"/>
      <c r="D196" s="22"/>
      <c r="E196" s="20"/>
      <c r="F196" s="22"/>
      <c r="G196" s="20"/>
      <c r="H196" s="19" t="str">
        <f aca="false">IFERROR(INDEX(Exercícios!$C$7:$C$206,MATCH($G196,Exercícios!$B$7:$B$206,0)),"")</f>
        <v/>
      </c>
      <c r="I196" s="19" t="str">
        <f aca="false">IFERROR(INDEX(Exercícios!$D$7:$D$206,MATCH($G196,Exercícios!$B$7:$B$206,0)),"")</f>
        <v/>
      </c>
      <c r="J196" s="19" t="str">
        <f aca="false">IFERROR(INDEX(Exercícios!$E$7:$E$206,MATCH($G196,Exercícios!$B$7:$B$206,0)),"")</f>
        <v/>
      </c>
      <c r="K196" s="22"/>
      <c r="L196" s="22"/>
      <c r="M196" s="20"/>
      <c r="N196" s="22"/>
      <c r="O196" s="22"/>
      <c r="P196" s="22"/>
      <c r="Q196" s="19" t="n">
        <f aca="false">IFERROR($K196*$L196,"")</f>
        <v>0</v>
      </c>
      <c r="R196" s="48" t="n">
        <f aca="false">IF(OR($O196="",$P196=""),0,$O196*$P196)</f>
        <v>0</v>
      </c>
      <c r="S196" s="20"/>
      <c r="T196" s="20"/>
      <c r="U196" s="33" t="n">
        <f aca="false">IF($A196="",0,IF(AND(OR($E196=Atleta!$C$4,$E196="Equipe (todos)"),$A196&gt;=Atleta!$C$5),MAX($U$7:U195)+1,0))</f>
        <v>0</v>
      </c>
    </row>
    <row r="197" customFormat="false" ht="15" hidden="false" customHeight="false" outlineLevel="0" collapsed="false">
      <c r="A197" s="21"/>
      <c r="B197" s="33" t="n">
        <f aca="false">IF($A197="",0,INT(($A197-Macrociclo!$C$11)/7)+1)</f>
        <v>0</v>
      </c>
      <c r="C197" s="22"/>
      <c r="D197" s="22"/>
      <c r="E197" s="20"/>
      <c r="F197" s="22"/>
      <c r="G197" s="20"/>
      <c r="H197" s="19" t="str">
        <f aca="false">IFERROR(INDEX(Exercícios!$C$7:$C$206,MATCH($G197,Exercícios!$B$7:$B$206,0)),"")</f>
        <v/>
      </c>
      <c r="I197" s="19" t="str">
        <f aca="false">IFERROR(INDEX(Exercícios!$D$7:$D$206,MATCH($G197,Exercícios!$B$7:$B$206,0)),"")</f>
        <v/>
      </c>
      <c r="J197" s="19" t="str">
        <f aca="false">IFERROR(INDEX(Exercícios!$E$7:$E$206,MATCH($G197,Exercícios!$B$7:$B$206,0)),"")</f>
        <v/>
      </c>
      <c r="K197" s="22"/>
      <c r="L197" s="22"/>
      <c r="M197" s="20"/>
      <c r="N197" s="22"/>
      <c r="O197" s="22"/>
      <c r="P197" s="22"/>
      <c r="Q197" s="19" t="n">
        <f aca="false">IFERROR($K197*$L197,"")</f>
        <v>0</v>
      </c>
      <c r="R197" s="48" t="n">
        <f aca="false">IF(OR($O197="",$P197=""),0,$O197*$P197)</f>
        <v>0</v>
      </c>
      <c r="S197" s="20"/>
      <c r="T197" s="20"/>
      <c r="U197" s="33" t="n">
        <f aca="false">IF($A197="",0,IF(AND(OR($E197=Atleta!$C$4,$E197="Equipe (todos)"),$A197&gt;=Atleta!$C$5),MAX($U$7:U196)+1,0))</f>
        <v>0</v>
      </c>
    </row>
    <row r="198" customFormat="false" ht="15" hidden="false" customHeight="false" outlineLevel="0" collapsed="false">
      <c r="A198" s="21"/>
      <c r="B198" s="33" t="n">
        <f aca="false">IF($A198="",0,INT(($A198-Macrociclo!$C$11)/7)+1)</f>
        <v>0</v>
      </c>
      <c r="C198" s="22"/>
      <c r="D198" s="22"/>
      <c r="E198" s="20"/>
      <c r="F198" s="22"/>
      <c r="G198" s="20"/>
      <c r="H198" s="19" t="str">
        <f aca="false">IFERROR(INDEX(Exercícios!$C$7:$C$206,MATCH($G198,Exercícios!$B$7:$B$206,0)),"")</f>
        <v/>
      </c>
      <c r="I198" s="19" t="str">
        <f aca="false">IFERROR(INDEX(Exercícios!$D$7:$D$206,MATCH($G198,Exercícios!$B$7:$B$206,0)),"")</f>
        <v/>
      </c>
      <c r="J198" s="19" t="str">
        <f aca="false">IFERROR(INDEX(Exercícios!$E$7:$E$206,MATCH($G198,Exercícios!$B$7:$B$206,0)),"")</f>
        <v/>
      </c>
      <c r="K198" s="22"/>
      <c r="L198" s="22"/>
      <c r="M198" s="20"/>
      <c r="N198" s="22"/>
      <c r="O198" s="22"/>
      <c r="P198" s="22"/>
      <c r="Q198" s="19" t="n">
        <f aca="false">IFERROR($K198*$L198,"")</f>
        <v>0</v>
      </c>
      <c r="R198" s="48" t="n">
        <f aca="false">IF(OR($O198="",$P198=""),0,$O198*$P198)</f>
        <v>0</v>
      </c>
      <c r="S198" s="20"/>
      <c r="T198" s="20"/>
      <c r="U198" s="33" t="n">
        <f aca="false">IF($A198="",0,IF(AND(OR($E198=Atleta!$C$4,$E198="Equipe (todos)"),$A198&gt;=Atleta!$C$5),MAX($U$7:U197)+1,0))</f>
        <v>0</v>
      </c>
    </row>
    <row r="199" customFormat="false" ht="15" hidden="false" customHeight="false" outlineLevel="0" collapsed="false">
      <c r="A199" s="21"/>
      <c r="B199" s="33" t="n">
        <f aca="false">IF($A199="",0,INT(($A199-Macrociclo!$C$11)/7)+1)</f>
        <v>0</v>
      </c>
      <c r="C199" s="22"/>
      <c r="D199" s="22"/>
      <c r="E199" s="20"/>
      <c r="F199" s="22"/>
      <c r="G199" s="20"/>
      <c r="H199" s="19" t="str">
        <f aca="false">IFERROR(INDEX(Exercícios!$C$7:$C$206,MATCH($G199,Exercícios!$B$7:$B$206,0)),"")</f>
        <v/>
      </c>
      <c r="I199" s="19" t="str">
        <f aca="false">IFERROR(INDEX(Exercícios!$D$7:$D$206,MATCH($G199,Exercícios!$B$7:$B$206,0)),"")</f>
        <v/>
      </c>
      <c r="J199" s="19" t="str">
        <f aca="false">IFERROR(INDEX(Exercícios!$E$7:$E$206,MATCH($G199,Exercícios!$B$7:$B$206,0)),"")</f>
        <v/>
      </c>
      <c r="K199" s="22"/>
      <c r="L199" s="22"/>
      <c r="M199" s="20"/>
      <c r="N199" s="22"/>
      <c r="O199" s="22"/>
      <c r="P199" s="22"/>
      <c r="Q199" s="19" t="n">
        <f aca="false">IFERROR($K199*$L199,"")</f>
        <v>0</v>
      </c>
      <c r="R199" s="48" t="n">
        <f aca="false">IF(OR($O199="",$P199=""),0,$O199*$P199)</f>
        <v>0</v>
      </c>
      <c r="S199" s="20"/>
      <c r="T199" s="20"/>
      <c r="U199" s="33" t="n">
        <f aca="false">IF($A199="",0,IF(AND(OR($E199=Atleta!$C$4,$E199="Equipe (todos)"),$A199&gt;=Atleta!$C$5),MAX($U$7:U198)+1,0))</f>
        <v>0</v>
      </c>
    </row>
    <row r="200" customFormat="false" ht="15" hidden="false" customHeight="false" outlineLevel="0" collapsed="false">
      <c r="A200" s="21"/>
      <c r="B200" s="33" t="n">
        <f aca="false">IF($A200="",0,INT(($A200-Macrociclo!$C$11)/7)+1)</f>
        <v>0</v>
      </c>
      <c r="C200" s="22"/>
      <c r="D200" s="22"/>
      <c r="E200" s="20"/>
      <c r="F200" s="22"/>
      <c r="G200" s="20"/>
      <c r="H200" s="19" t="str">
        <f aca="false">IFERROR(INDEX(Exercícios!$C$7:$C$206,MATCH($G200,Exercícios!$B$7:$B$206,0)),"")</f>
        <v/>
      </c>
      <c r="I200" s="19" t="str">
        <f aca="false">IFERROR(INDEX(Exercícios!$D$7:$D$206,MATCH($G200,Exercícios!$B$7:$B$206,0)),"")</f>
        <v/>
      </c>
      <c r="J200" s="19" t="str">
        <f aca="false">IFERROR(INDEX(Exercícios!$E$7:$E$206,MATCH($G200,Exercícios!$B$7:$B$206,0)),"")</f>
        <v/>
      </c>
      <c r="K200" s="22"/>
      <c r="L200" s="22"/>
      <c r="M200" s="20"/>
      <c r="N200" s="22"/>
      <c r="O200" s="22"/>
      <c r="P200" s="22"/>
      <c r="Q200" s="19" t="n">
        <f aca="false">IFERROR($K200*$L200,"")</f>
        <v>0</v>
      </c>
      <c r="R200" s="48" t="n">
        <f aca="false">IF(OR($O200="",$P200=""),0,$O200*$P200)</f>
        <v>0</v>
      </c>
      <c r="S200" s="20"/>
      <c r="T200" s="20"/>
      <c r="U200" s="33" t="n">
        <f aca="false">IF($A200="",0,IF(AND(OR($E200=Atleta!$C$4,$E200="Equipe (todos)"),$A200&gt;=Atleta!$C$5),MAX($U$7:U199)+1,0))</f>
        <v>0</v>
      </c>
    </row>
    <row r="201" customFormat="false" ht="15" hidden="false" customHeight="false" outlineLevel="0" collapsed="false">
      <c r="A201" s="21"/>
      <c r="B201" s="33" t="n">
        <f aca="false">IF($A201="",0,INT(($A201-Macrociclo!$C$11)/7)+1)</f>
        <v>0</v>
      </c>
      <c r="C201" s="22"/>
      <c r="D201" s="22"/>
      <c r="E201" s="20"/>
      <c r="F201" s="22"/>
      <c r="G201" s="20"/>
      <c r="H201" s="19" t="str">
        <f aca="false">IFERROR(INDEX(Exercícios!$C$7:$C$206,MATCH($G201,Exercícios!$B$7:$B$206,0)),"")</f>
        <v/>
      </c>
      <c r="I201" s="19" t="str">
        <f aca="false">IFERROR(INDEX(Exercícios!$D$7:$D$206,MATCH($G201,Exercícios!$B$7:$B$206,0)),"")</f>
        <v/>
      </c>
      <c r="J201" s="19" t="str">
        <f aca="false">IFERROR(INDEX(Exercícios!$E$7:$E$206,MATCH($G201,Exercícios!$B$7:$B$206,0)),"")</f>
        <v/>
      </c>
      <c r="K201" s="22"/>
      <c r="L201" s="22"/>
      <c r="M201" s="20"/>
      <c r="N201" s="22"/>
      <c r="O201" s="22"/>
      <c r="P201" s="22"/>
      <c r="Q201" s="19" t="n">
        <f aca="false">IFERROR($K201*$L201,"")</f>
        <v>0</v>
      </c>
      <c r="R201" s="48" t="n">
        <f aca="false">IF(OR($O201="",$P201=""),0,$O201*$P201)</f>
        <v>0</v>
      </c>
      <c r="S201" s="20"/>
      <c r="T201" s="20"/>
      <c r="U201" s="33" t="n">
        <f aca="false">IF($A201="",0,IF(AND(OR($E201=Atleta!$C$4,$E201="Equipe (todos)"),$A201&gt;=Atleta!$C$5),MAX($U$7:U200)+1,0))</f>
        <v>0</v>
      </c>
    </row>
    <row r="202" customFormat="false" ht="15" hidden="false" customHeight="false" outlineLevel="0" collapsed="false">
      <c r="A202" s="21"/>
      <c r="B202" s="33" t="n">
        <f aca="false">IF($A202="",0,INT(($A202-Macrociclo!$C$11)/7)+1)</f>
        <v>0</v>
      </c>
      <c r="C202" s="22"/>
      <c r="D202" s="22"/>
      <c r="E202" s="20"/>
      <c r="F202" s="22"/>
      <c r="G202" s="20"/>
      <c r="H202" s="19" t="str">
        <f aca="false">IFERROR(INDEX(Exercícios!$C$7:$C$206,MATCH($G202,Exercícios!$B$7:$B$206,0)),"")</f>
        <v/>
      </c>
      <c r="I202" s="19" t="str">
        <f aca="false">IFERROR(INDEX(Exercícios!$D$7:$D$206,MATCH($G202,Exercícios!$B$7:$B$206,0)),"")</f>
        <v/>
      </c>
      <c r="J202" s="19" t="str">
        <f aca="false">IFERROR(INDEX(Exercícios!$E$7:$E$206,MATCH($G202,Exercícios!$B$7:$B$206,0)),"")</f>
        <v/>
      </c>
      <c r="K202" s="22"/>
      <c r="L202" s="22"/>
      <c r="M202" s="20"/>
      <c r="N202" s="22"/>
      <c r="O202" s="22"/>
      <c r="P202" s="22"/>
      <c r="Q202" s="19" t="n">
        <f aca="false">IFERROR($K202*$L202,"")</f>
        <v>0</v>
      </c>
      <c r="R202" s="48" t="n">
        <f aca="false">IF(OR($O202="",$P202=""),0,$O202*$P202)</f>
        <v>0</v>
      </c>
      <c r="S202" s="20"/>
      <c r="T202" s="20"/>
      <c r="U202" s="33" t="n">
        <f aca="false">IF($A202="",0,IF(AND(OR($E202=Atleta!$C$4,$E202="Equipe (todos)"),$A202&gt;=Atleta!$C$5),MAX($U$7:U201)+1,0))</f>
        <v>0</v>
      </c>
    </row>
    <row r="203" customFormat="false" ht="15" hidden="false" customHeight="false" outlineLevel="0" collapsed="false">
      <c r="A203" s="21"/>
      <c r="B203" s="33" t="n">
        <f aca="false">IF($A203="",0,INT(($A203-Macrociclo!$C$11)/7)+1)</f>
        <v>0</v>
      </c>
      <c r="C203" s="22"/>
      <c r="D203" s="22"/>
      <c r="E203" s="20"/>
      <c r="F203" s="22"/>
      <c r="G203" s="20"/>
      <c r="H203" s="19" t="str">
        <f aca="false">IFERROR(INDEX(Exercícios!$C$7:$C$206,MATCH($G203,Exercícios!$B$7:$B$206,0)),"")</f>
        <v/>
      </c>
      <c r="I203" s="19" t="str">
        <f aca="false">IFERROR(INDEX(Exercícios!$D$7:$D$206,MATCH($G203,Exercícios!$B$7:$B$206,0)),"")</f>
        <v/>
      </c>
      <c r="J203" s="19" t="str">
        <f aca="false">IFERROR(INDEX(Exercícios!$E$7:$E$206,MATCH($G203,Exercícios!$B$7:$B$206,0)),"")</f>
        <v/>
      </c>
      <c r="K203" s="22"/>
      <c r="L203" s="22"/>
      <c r="M203" s="20"/>
      <c r="N203" s="22"/>
      <c r="O203" s="22"/>
      <c r="P203" s="22"/>
      <c r="Q203" s="19" t="n">
        <f aca="false">IFERROR($K203*$L203,"")</f>
        <v>0</v>
      </c>
      <c r="R203" s="48" t="n">
        <f aca="false">IF(OR($O203="",$P203=""),0,$O203*$P203)</f>
        <v>0</v>
      </c>
      <c r="S203" s="20"/>
      <c r="T203" s="20"/>
      <c r="U203" s="33" t="n">
        <f aca="false">IF($A203="",0,IF(AND(OR($E203=Atleta!$C$4,$E203="Equipe (todos)"),$A203&gt;=Atleta!$C$5),MAX($U$7:U202)+1,0))</f>
        <v>0</v>
      </c>
    </row>
    <row r="204" customFormat="false" ht="15" hidden="false" customHeight="false" outlineLevel="0" collapsed="false">
      <c r="A204" s="21"/>
      <c r="B204" s="33" t="n">
        <f aca="false">IF($A204="",0,INT(($A204-Macrociclo!$C$11)/7)+1)</f>
        <v>0</v>
      </c>
      <c r="C204" s="22"/>
      <c r="D204" s="22"/>
      <c r="E204" s="20"/>
      <c r="F204" s="22"/>
      <c r="G204" s="20"/>
      <c r="H204" s="19" t="str">
        <f aca="false">IFERROR(INDEX(Exercícios!$C$7:$C$206,MATCH($G204,Exercícios!$B$7:$B$206,0)),"")</f>
        <v/>
      </c>
      <c r="I204" s="19" t="str">
        <f aca="false">IFERROR(INDEX(Exercícios!$D$7:$D$206,MATCH($G204,Exercícios!$B$7:$B$206,0)),"")</f>
        <v/>
      </c>
      <c r="J204" s="19" t="str">
        <f aca="false">IFERROR(INDEX(Exercícios!$E$7:$E$206,MATCH($G204,Exercícios!$B$7:$B$206,0)),"")</f>
        <v/>
      </c>
      <c r="K204" s="22"/>
      <c r="L204" s="22"/>
      <c r="M204" s="20"/>
      <c r="N204" s="22"/>
      <c r="O204" s="22"/>
      <c r="P204" s="22"/>
      <c r="Q204" s="19" t="n">
        <f aca="false">IFERROR($K204*$L204,"")</f>
        <v>0</v>
      </c>
      <c r="R204" s="48" t="n">
        <f aca="false">IF(OR($O204="",$P204=""),0,$O204*$P204)</f>
        <v>0</v>
      </c>
      <c r="S204" s="20"/>
      <c r="T204" s="20"/>
      <c r="U204" s="33" t="n">
        <f aca="false">IF($A204="",0,IF(AND(OR($E204=Atleta!$C$4,$E204="Equipe (todos)"),$A204&gt;=Atleta!$C$5),MAX($U$7:U203)+1,0))</f>
        <v>0</v>
      </c>
    </row>
    <row r="205" customFormat="false" ht="15" hidden="false" customHeight="false" outlineLevel="0" collapsed="false">
      <c r="A205" s="21"/>
      <c r="B205" s="33" t="n">
        <f aca="false">IF($A205="",0,INT(($A205-Macrociclo!$C$11)/7)+1)</f>
        <v>0</v>
      </c>
      <c r="C205" s="22"/>
      <c r="D205" s="22"/>
      <c r="E205" s="20"/>
      <c r="F205" s="22"/>
      <c r="G205" s="20"/>
      <c r="H205" s="19" t="str">
        <f aca="false">IFERROR(INDEX(Exercícios!$C$7:$C$206,MATCH($G205,Exercícios!$B$7:$B$206,0)),"")</f>
        <v/>
      </c>
      <c r="I205" s="19" t="str">
        <f aca="false">IFERROR(INDEX(Exercícios!$D$7:$D$206,MATCH($G205,Exercícios!$B$7:$B$206,0)),"")</f>
        <v/>
      </c>
      <c r="J205" s="19" t="str">
        <f aca="false">IFERROR(INDEX(Exercícios!$E$7:$E$206,MATCH($G205,Exercícios!$B$7:$B$206,0)),"")</f>
        <v/>
      </c>
      <c r="K205" s="22"/>
      <c r="L205" s="22"/>
      <c r="M205" s="20"/>
      <c r="N205" s="22"/>
      <c r="O205" s="22"/>
      <c r="P205" s="22"/>
      <c r="Q205" s="19" t="n">
        <f aca="false">IFERROR($K205*$L205,"")</f>
        <v>0</v>
      </c>
      <c r="R205" s="48" t="n">
        <f aca="false">IF(OR($O205="",$P205=""),0,$O205*$P205)</f>
        <v>0</v>
      </c>
      <c r="S205" s="20"/>
      <c r="T205" s="20"/>
      <c r="U205" s="33" t="n">
        <f aca="false">IF($A205="",0,IF(AND(OR($E205=Atleta!$C$4,$E205="Equipe (todos)"),$A205&gt;=Atleta!$C$5),MAX($U$7:U204)+1,0))</f>
        <v>0</v>
      </c>
    </row>
    <row r="206" customFormat="false" ht="15" hidden="false" customHeight="false" outlineLevel="0" collapsed="false">
      <c r="A206" s="21"/>
      <c r="B206" s="33" t="n">
        <f aca="false">IF($A206="",0,INT(($A206-Macrociclo!$C$11)/7)+1)</f>
        <v>0</v>
      </c>
      <c r="C206" s="22"/>
      <c r="D206" s="22"/>
      <c r="E206" s="20"/>
      <c r="F206" s="22"/>
      <c r="G206" s="20"/>
      <c r="H206" s="19" t="str">
        <f aca="false">IFERROR(INDEX(Exercícios!$C$7:$C$206,MATCH($G206,Exercícios!$B$7:$B$206,0)),"")</f>
        <v/>
      </c>
      <c r="I206" s="19" t="str">
        <f aca="false">IFERROR(INDEX(Exercícios!$D$7:$D$206,MATCH($G206,Exercícios!$B$7:$B$206,0)),"")</f>
        <v/>
      </c>
      <c r="J206" s="19" t="str">
        <f aca="false">IFERROR(INDEX(Exercícios!$E$7:$E$206,MATCH($G206,Exercícios!$B$7:$B$206,0)),"")</f>
        <v/>
      </c>
      <c r="K206" s="22"/>
      <c r="L206" s="22"/>
      <c r="M206" s="20"/>
      <c r="N206" s="22"/>
      <c r="O206" s="22"/>
      <c r="P206" s="22"/>
      <c r="Q206" s="19" t="n">
        <f aca="false">IFERROR($K206*$L206,"")</f>
        <v>0</v>
      </c>
      <c r="R206" s="48" t="n">
        <f aca="false">IF(OR($O206="",$P206=""),0,$O206*$P206)</f>
        <v>0</v>
      </c>
      <c r="S206" s="20"/>
      <c r="T206" s="20"/>
      <c r="U206" s="33" t="n">
        <f aca="false">IF($A206="",0,IF(AND(OR($E206=Atleta!$C$4,$E206="Equipe (todos)"),$A206&gt;=Atleta!$C$5),MAX($U$7:U205)+1,0))</f>
        <v>0</v>
      </c>
    </row>
    <row r="207" customFormat="false" ht="15" hidden="false" customHeight="false" outlineLevel="0" collapsed="false">
      <c r="A207" s="21"/>
      <c r="B207" s="33" t="n">
        <f aca="false">IF($A207="",0,INT(($A207-Macrociclo!$C$11)/7)+1)</f>
        <v>0</v>
      </c>
      <c r="C207" s="22"/>
      <c r="D207" s="22"/>
      <c r="E207" s="20"/>
      <c r="F207" s="22"/>
      <c r="G207" s="20"/>
      <c r="H207" s="19" t="str">
        <f aca="false">IFERROR(INDEX(Exercícios!$C$7:$C$206,MATCH($G207,Exercícios!$B$7:$B$206,0)),"")</f>
        <v/>
      </c>
      <c r="I207" s="19" t="str">
        <f aca="false">IFERROR(INDEX(Exercícios!$D$7:$D$206,MATCH($G207,Exercícios!$B$7:$B$206,0)),"")</f>
        <v/>
      </c>
      <c r="J207" s="19" t="str">
        <f aca="false">IFERROR(INDEX(Exercícios!$E$7:$E$206,MATCH($G207,Exercícios!$B$7:$B$206,0)),"")</f>
        <v/>
      </c>
      <c r="K207" s="22"/>
      <c r="L207" s="22"/>
      <c r="M207" s="20"/>
      <c r="N207" s="22"/>
      <c r="O207" s="22"/>
      <c r="P207" s="22"/>
      <c r="Q207" s="19" t="n">
        <f aca="false">IFERROR($K207*$L207,"")</f>
        <v>0</v>
      </c>
      <c r="R207" s="48" t="n">
        <f aca="false">IF(OR($O207="",$P207=""),0,$O207*$P207)</f>
        <v>0</v>
      </c>
      <c r="S207" s="20"/>
      <c r="T207" s="20"/>
      <c r="U207" s="33" t="n">
        <f aca="false">IF($A207="",0,IF(AND(OR($E207=Atleta!$C$4,$E207="Equipe (todos)"),$A207&gt;=Atleta!$C$5),MAX($U$7:U206)+1,0))</f>
        <v>0</v>
      </c>
    </row>
    <row r="208" customFormat="false" ht="15" hidden="false" customHeight="false" outlineLevel="0" collapsed="false">
      <c r="A208" s="21"/>
      <c r="B208" s="33" t="n">
        <f aca="false">IF($A208="",0,INT(($A208-Macrociclo!$C$11)/7)+1)</f>
        <v>0</v>
      </c>
      <c r="C208" s="22"/>
      <c r="D208" s="22"/>
      <c r="E208" s="20"/>
      <c r="F208" s="22"/>
      <c r="G208" s="20"/>
      <c r="H208" s="19" t="str">
        <f aca="false">IFERROR(INDEX(Exercícios!$C$7:$C$206,MATCH($G208,Exercícios!$B$7:$B$206,0)),"")</f>
        <v/>
      </c>
      <c r="I208" s="19" t="str">
        <f aca="false">IFERROR(INDEX(Exercícios!$D$7:$D$206,MATCH($G208,Exercícios!$B$7:$B$206,0)),"")</f>
        <v/>
      </c>
      <c r="J208" s="19" t="str">
        <f aca="false">IFERROR(INDEX(Exercícios!$E$7:$E$206,MATCH($G208,Exercícios!$B$7:$B$206,0)),"")</f>
        <v/>
      </c>
      <c r="K208" s="22"/>
      <c r="L208" s="22"/>
      <c r="M208" s="20"/>
      <c r="N208" s="22"/>
      <c r="O208" s="22"/>
      <c r="P208" s="22"/>
      <c r="Q208" s="19" t="n">
        <f aca="false">IFERROR($K208*$L208,"")</f>
        <v>0</v>
      </c>
      <c r="R208" s="48" t="n">
        <f aca="false">IF(OR($O208="",$P208=""),0,$O208*$P208)</f>
        <v>0</v>
      </c>
      <c r="S208" s="20"/>
      <c r="T208" s="20"/>
      <c r="U208" s="33" t="n">
        <f aca="false">IF($A208="",0,IF(AND(OR($E208=Atleta!$C$4,$E208="Equipe (todos)"),$A208&gt;=Atleta!$C$5),MAX($U$7:U207)+1,0))</f>
        <v>0</v>
      </c>
    </row>
    <row r="209" customFormat="false" ht="15" hidden="false" customHeight="false" outlineLevel="0" collapsed="false">
      <c r="A209" s="21"/>
      <c r="B209" s="33" t="n">
        <f aca="false">IF($A209="",0,INT(($A209-Macrociclo!$C$11)/7)+1)</f>
        <v>0</v>
      </c>
      <c r="C209" s="22"/>
      <c r="D209" s="22"/>
      <c r="E209" s="20"/>
      <c r="F209" s="22"/>
      <c r="G209" s="20"/>
      <c r="H209" s="19" t="str">
        <f aca="false">IFERROR(INDEX(Exercícios!$C$7:$C$206,MATCH($G209,Exercícios!$B$7:$B$206,0)),"")</f>
        <v/>
      </c>
      <c r="I209" s="19" t="str">
        <f aca="false">IFERROR(INDEX(Exercícios!$D$7:$D$206,MATCH($G209,Exercícios!$B$7:$B$206,0)),"")</f>
        <v/>
      </c>
      <c r="J209" s="19" t="str">
        <f aca="false">IFERROR(INDEX(Exercícios!$E$7:$E$206,MATCH($G209,Exercícios!$B$7:$B$206,0)),"")</f>
        <v/>
      </c>
      <c r="K209" s="22"/>
      <c r="L209" s="22"/>
      <c r="M209" s="20"/>
      <c r="N209" s="22"/>
      <c r="O209" s="22"/>
      <c r="P209" s="22"/>
      <c r="Q209" s="19" t="n">
        <f aca="false">IFERROR($K209*$L209,"")</f>
        <v>0</v>
      </c>
      <c r="R209" s="48" t="n">
        <f aca="false">IF(OR($O209="",$P209=""),0,$O209*$P209)</f>
        <v>0</v>
      </c>
      <c r="S209" s="20"/>
      <c r="T209" s="20"/>
      <c r="U209" s="33" t="n">
        <f aca="false">IF($A209="",0,IF(AND(OR($E209=Atleta!$C$4,$E209="Equipe (todos)"),$A209&gt;=Atleta!$C$5),MAX($U$7:U208)+1,0))</f>
        <v>0</v>
      </c>
    </row>
    <row r="210" customFormat="false" ht="15" hidden="false" customHeight="false" outlineLevel="0" collapsed="false">
      <c r="A210" s="21"/>
      <c r="B210" s="33" t="n">
        <f aca="false">IF($A210="",0,INT(($A210-Macrociclo!$C$11)/7)+1)</f>
        <v>0</v>
      </c>
      <c r="C210" s="22"/>
      <c r="D210" s="22"/>
      <c r="E210" s="20"/>
      <c r="F210" s="22"/>
      <c r="G210" s="20"/>
      <c r="H210" s="19" t="str">
        <f aca="false">IFERROR(INDEX(Exercícios!$C$7:$C$206,MATCH($G210,Exercícios!$B$7:$B$206,0)),"")</f>
        <v/>
      </c>
      <c r="I210" s="19" t="str">
        <f aca="false">IFERROR(INDEX(Exercícios!$D$7:$D$206,MATCH($G210,Exercícios!$B$7:$B$206,0)),"")</f>
        <v/>
      </c>
      <c r="J210" s="19" t="str">
        <f aca="false">IFERROR(INDEX(Exercícios!$E$7:$E$206,MATCH($G210,Exercícios!$B$7:$B$206,0)),"")</f>
        <v/>
      </c>
      <c r="K210" s="22"/>
      <c r="L210" s="22"/>
      <c r="M210" s="20"/>
      <c r="N210" s="22"/>
      <c r="O210" s="22"/>
      <c r="P210" s="22"/>
      <c r="Q210" s="19" t="n">
        <f aca="false">IFERROR($K210*$L210,"")</f>
        <v>0</v>
      </c>
      <c r="R210" s="48" t="n">
        <f aca="false">IF(OR($O210="",$P210=""),0,$O210*$P210)</f>
        <v>0</v>
      </c>
      <c r="S210" s="20"/>
      <c r="T210" s="20"/>
      <c r="U210" s="33" t="n">
        <f aca="false">IF($A210="",0,IF(AND(OR($E210=Atleta!$C$4,$E210="Equipe (todos)"),$A210&gt;=Atleta!$C$5),MAX($U$7:U209)+1,0))</f>
        <v>0</v>
      </c>
    </row>
    <row r="211" customFormat="false" ht="15" hidden="false" customHeight="false" outlineLevel="0" collapsed="false">
      <c r="A211" s="21"/>
      <c r="B211" s="33" t="n">
        <f aca="false">IF($A211="",0,INT(($A211-Macrociclo!$C$11)/7)+1)</f>
        <v>0</v>
      </c>
      <c r="C211" s="22"/>
      <c r="D211" s="22"/>
      <c r="E211" s="20"/>
      <c r="F211" s="22"/>
      <c r="G211" s="20"/>
      <c r="H211" s="19" t="str">
        <f aca="false">IFERROR(INDEX(Exercícios!$C$7:$C$206,MATCH($G211,Exercícios!$B$7:$B$206,0)),"")</f>
        <v/>
      </c>
      <c r="I211" s="19" t="str">
        <f aca="false">IFERROR(INDEX(Exercícios!$D$7:$D$206,MATCH($G211,Exercícios!$B$7:$B$206,0)),"")</f>
        <v/>
      </c>
      <c r="J211" s="19" t="str">
        <f aca="false">IFERROR(INDEX(Exercícios!$E$7:$E$206,MATCH($G211,Exercícios!$B$7:$B$206,0)),"")</f>
        <v/>
      </c>
      <c r="K211" s="22"/>
      <c r="L211" s="22"/>
      <c r="M211" s="20"/>
      <c r="N211" s="22"/>
      <c r="O211" s="22"/>
      <c r="P211" s="22"/>
      <c r="Q211" s="19" t="n">
        <f aca="false">IFERROR($K211*$L211,"")</f>
        <v>0</v>
      </c>
      <c r="R211" s="48" t="n">
        <f aca="false">IF(OR($O211="",$P211=""),0,$O211*$P211)</f>
        <v>0</v>
      </c>
      <c r="S211" s="20"/>
      <c r="T211" s="20"/>
      <c r="U211" s="33" t="n">
        <f aca="false">IF($A211="",0,IF(AND(OR($E211=Atleta!$C$4,$E211="Equipe (todos)"),$A211&gt;=Atleta!$C$5),MAX($U$7:U210)+1,0))</f>
        <v>0</v>
      </c>
    </row>
    <row r="212" customFormat="false" ht="15" hidden="false" customHeight="false" outlineLevel="0" collapsed="false">
      <c r="A212" s="21"/>
      <c r="B212" s="33" t="n">
        <f aca="false">IF($A212="",0,INT(($A212-Macrociclo!$C$11)/7)+1)</f>
        <v>0</v>
      </c>
      <c r="C212" s="22"/>
      <c r="D212" s="22"/>
      <c r="E212" s="20"/>
      <c r="F212" s="22"/>
      <c r="G212" s="20"/>
      <c r="H212" s="19" t="str">
        <f aca="false">IFERROR(INDEX(Exercícios!$C$7:$C$206,MATCH($G212,Exercícios!$B$7:$B$206,0)),"")</f>
        <v/>
      </c>
      <c r="I212" s="19" t="str">
        <f aca="false">IFERROR(INDEX(Exercícios!$D$7:$D$206,MATCH($G212,Exercícios!$B$7:$B$206,0)),"")</f>
        <v/>
      </c>
      <c r="J212" s="19" t="str">
        <f aca="false">IFERROR(INDEX(Exercícios!$E$7:$E$206,MATCH($G212,Exercícios!$B$7:$B$206,0)),"")</f>
        <v/>
      </c>
      <c r="K212" s="22"/>
      <c r="L212" s="22"/>
      <c r="M212" s="20"/>
      <c r="N212" s="22"/>
      <c r="O212" s="22"/>
      <c r="P212" s="22"/>
      <c r="Q212" s="19" t="n">
        <f aca="false">IFERROR($K212*$L212,"")</f>
        <v>0</v>
      </c>
      <c r="R212" s="48" t="n">
        <f aca="false">IF(OR($O212="",$P212=""),0,$O212*$P212)</f>
        <v>0</v>
      </c>
      <c r="S212" s="20"/>
      <c r="T212" s="20"/>
      <c r="U212" s="33" t="n">
        <f aca="false">IF($A212="",0,IF(AND(OR($E212=Atleta!$C$4,$E212="Equipe (todos)"),$A212&gt;=Atleta!$C$5),MAX($U$7:U211)+1,0))</f>
        <v>0</v>
      </c>
    </row>
    <row r="213" customFormat="false" ht="15" hidden="false" customHeight="false" outlineLevel="0" collapsed="false">
      <c r="A213" s="21"/>
      <c r="B213" s="33" t="n">
        <f aca="false">IF($A213="",0,INT(($A213-Macrociclo!$C$11)/7)+1)</f>
        <v>0</v>
      </c>
      <c r="C213" s="22"/>
      <c r="D213" s="22"/>
      <c r="E213" s="20"/>
      <c r="F213" s="22"/>
      <c r="G213" s="20"/>
      <c r="H213" s="19" t="str">
        <f aca="false">IFERROR(INDEX(Exercícios!$C$7:$C$206,MATCH($G213,Exercícios!$B$7:$B$206,0)),"")</f>
        <v/>
      </c>
      <c r="I213" s="19" t="str">
        <f aca="false">IFERROR(INDEX(Exercícios!$D$7:$D$206,MATCH($G213,Exercícios!$B$7:$B$206,0)),"")</f>
        <v/>
      </c>
      <c r="J213" s="19" t="str">
        <f aca="false">IFERROR(INDEX(Exercícios!$E$7:$E$206,MATCH($G213,Exercícios!$B$7:$B$206,0)),"")</f>
        <v/>
      </c>
      <c r="K213" s="22"/>
      <c r="L213" s="22"/>
      <c r="M213" s="20"/>
      <c r="N213" s="22"/>
      <c r="O213" s="22"/>
      <c r="P213" s="22"/>
      <c r="Q213" s="19" t="n">
        <f aca="false">IFERROR($K213*$L213,"")</f>
        <v>0</v>
      </c>
      <c r="R213" s="48" t="n">
        <f aca="false">IF(OR($O213="",$P213=""),0,$O213*$P213)</f>
        <v>0</v>
      </c>
      <c r="S213" s="20"/>
      <c r="T213" s="20"/>
      <c r="U213" s="33" t="n">
        <f aca="false">IF($A213="",0,IF(AND(OR($E213=Atleta!$C$4,$E213="Equipe (todos)"),$A213&gt;=Atleta!$C$5),MAX($U$7:U212)+1,0))</f>
        <v>0</v>
      </c>
    </row>
    <row r="214" customFormat="false" ht="15" hidden="false" customHeight="false" outlineLevel="0" collapsed="false">
      <c r="A214" s="21"/>
      <c r="B214" s="33" t="n">
        <f aca="false">IF($A214="",0,INT(($A214-Macrociclo!$C$11)/7)+1)</f>
        <v>0</v>
      </c>
      <c r="C214" s="22"/>
      <c r="D214" s="22"/>
      <c r="E214" s="20"/>
      <c r="F214" s="22"/>
      <c r="G214" s="20"/>
      <c r="H214" s="19" t="str">
        <f aca="false">IFERROR(INDEX(Exercícios!$C$7:$C$206,MATCH($G214,Exercícios!$B$7:$B$206,0)),"")</f>
        <v/>
      </c>
      <c r="I214" s="19" t="str">
        <f aca="false">IFERROR(INDEX(Exercícios!$D$7:$D$206,MATCH($G214,Exercícios!$B$7:$B$206,0)),"")</f>
        <v/>
      </c>
      <c r="J214" s="19" t="str">
        <f aca="false">IFERROR(INDEX(Exercícios!$E$7:$E$206,MATCH($G214,Exercícios!$B$7:$B$206,0)),"")</f>
        <v/>
      </c>
      <c r="K214" s="22"/>
      <c r="L214" s="22"/>
      <c r="M214" s="20"/>
      <c r="N214" s="22"/>
      <c r="O214" s="22"/>
      <c r="P214" s="22"/>
      <c r="Q214" s="19" t="n">
        <f aca="false">IFERROR($K214*$L214,"")</f>
        <v>0</v>
      </c>
      <c r="R214" s="48" t="n">
        <f aca="false">IF(OR($O214="",$P214=""),0,$O214*$P214)</f>
        <v>0</v>
      </c>
      <c r="S214" s="20"/>
      <c r="T214" s="20"/>
      <c r="U214" s="33" t="n">
        <f aca="false">IF($A214="",0,IF(AND(OR($E214=Atleta!$C$4,$E214="Equipe (todos)"),$A214&gt;=Atleta!$C$5),MAX($U$7:U213)+1,0))</f>
        <v>0</v>
      </c>
    </row>
    <row r="215" customFormat="false" ht="15" hidden="false" customHeight="false" outlineLevel="0" collapsed="false">
      <c r="A215" s="21"/>
      <c r="B215" s="33" t="n">
        <f aca="false">IF($A215="",0,INT(($A215-Macrociclo!$C$11)/7)+1)</f>
        <v>0</v>
      </c>
      <c r="C215" s="22"/>
      <c r="D215" s="22"/>
      <c r="E215" s="20"/>
      <c r="F215" s="22"/>
      <c r="G215" s="20"/>
      <c r="H215" s="19" t="str">
        <f aca="false">IFERROR(INDEX(Exercícios!$C$7:$C$206,MATCH($G215,Exercícios!$B$7:$B$206,0)),"")</f>
        <v/>
      </c>
      <c r="I215" s="19" t="str">
        <f aca="false">IFERROR(INDEX(Exercícios!$D$7:$D$206,MATCH($G215,Exercícios!$B$7:$B$206,0)),"")</f>
        <v/>
      </c>
      <c r="J215" s="19" t="str">
        <f aca="false">IFERROR(INDEX(Exercícios!$E$7:$E$206,MATCH($G215,Exercícios!$B$7:$B$206,0)),"")</f>
        <v/>
      </c>
      <c r="K215" s="22"/>
      <c r="L215" s="22"/>
      <c r="M215" s="20"/>
      <c r="N215" s="22"/>
      <c r="O215" s="22"/>
      <c r="P215" s="22"/>
      <c r="Q215" s="19" t="n">
        <f aca="false">IFERROR($K215*$L215,"")</f>
        <v>0</v>
      </c>
      <c r="R215" s="48" t="n">
        <f aca="false">IF(OR($O215="",$P215=""),0,$O215*$P215)</f>
        <v>0</v>
      </c>
      <c r="S215" s="20"/>
      <c r="T215" s="20"/>
      <c r="U215" s="33" t="n">
        <f aca="false">IF($A215="",0,IF(AND(OR($E215=Atleta!$C$4,$E215="Equipe (todos)"),$A215&gt;=Atleta!$C$5),MAX($U$7:U214)+1,0))</f>
        <v>0</v>
      </c>
    </row>
    <row r="216" customFormat="false" ht="15" hidden="false" customHeight="false" outlineLevel="0" collapsed="false">
      <c r="A216" s="21"/>
      <c r="B216" s="33" t="n">
        <f aca="false">IF($A216="",0,INT(($A216-Macrociclo!$C$11)/7)+1)</f>
        <v>0</v>
      </c>
      <c r="C216" s="22"/>
      <c r="D216" s="22"/>
      <c r="E216" s="20"/>
      <c r="F216" s="22"/>
      <c r="G216" s="20"/>
      <c r="H216" s="19" t="str">
        <f aca="false">IFERROR(INDEX(Exercícios!$C$7:$C$206,MATCH($G216,Exercícios!$B$7:$B$206,0)),"")</f>
        <v/>
      </c>
      <c r="I216" s="19" t="str">
        <f aca="false">IFERROR(INDEX(Exercícios!$D$7:$D$206,MATCH($G216,Exercícios!$B$7:$B$206,0)),"")</f>
        <v/>
      </c>
      <c r="J216" s="19" t="str">
        <f aca="false">IFERROR(INDEX(Exercícios!$E$7:$E$206,MATCH($G216,Exercícios!$B$7:$B$206,0)),"")</f>
        <v/>
      </c>
      <c r="K216" s="22"/>
      <c r="L216" s="22"/>
      <c r="M216" s="20"/>
      <c r="N216" s="22"/>
      <c r="O216" s="22"/>
      <c r="P216" s="22"/>
      <c r="Q216" s="19" t="n">
        <f aca="false">IFERROR($K216*$L216,"")</f>
        <v>0</v>
      </c>
      <c r="R216" s="48" t="n">
        <f aca="false">IF(OR($O216="",$P216=""),0,$O216*$P216)</f>
        <v>0</v>
      </c>
      <c r="S216" s="20"/>
      <c r="T216" s="20"/>
      <c r="U216" s="33" t="n">
        <f aca="false">IF($A216="",0,IF(AND(OR($E216=Atleta!$C$4,$E216="Equipe (todos)"),$A216&gt;=Atleta!$C$5),MAX($U$7:U215)+1,0))</f>
        <v>0</v>
      </c>
    </row>
    <row r="217" customFormat="false" ht="15" hidden="false" customHeight="false" outlineLevel="0" collapsed="false">
      <c r="A217" s="21"/>
      <c r="B217" s="33" t="n">
        <f aca="false">IF($A217="",0,INT(($A217-Macrociclo!$C$11)/7)+1)</f>
        <v>0</v>
      </c>
      <c r="C217" s="22"/>
      <c r="D217" s="22"/>
      <c r="E217" s="20"/>
      <c r="F217" s="22"/>
      <c r="G217" s="20"/>
      <c r="H217" s="19" t="str">
        <f aca="false">IFERROR(INDEX(Exercícios!$C$7:$C$206,MATCH($G217,Exercícios!$B$7:$B$206,0)),"")</f>
        <v/>
      </c>
      <c r="I217" s="19" t="str">
        <f aca="false">IFERROR(INDEX(Exercícios!$D$7:$D$206,MATCH($G217,Exercícios!$B$7:$B$206,0)),"")</f>
        <v/>
      </c>
      <c r="J217" s="19" t="str">
        <f aca="false">IFERROR(INDEX(Exercícios!$E$7:$E$206,MATCH($G217,Exercícios!$B$7:$B$206,0)),"")</f>
        <v/>
      </c>
      <c r="K217" s="22"/>
      <c r="L217" s="22"/>
      <c r="M217" s="20"/>
      <c r="N217" s="22"/>
      <c r="O217" s="22"/>
      <c r="P217" s="22"/>
      <c r="Q217" s="19" t="n">
        <f aca="false">IFERROR($K217*$L217,"")</f>
        <v>0</v>
      </c>
      <c r="R217" s="48" t="n">
        <f aca="false">IF(OR($O217="",$P217=""),0,$O217*$P217)</f>
        <v>0</v>
      </c>
      <c r="S217" s="20"/>
      <c r="T217" s="20"/>
      <c r="U217" s="33" t="n">
        <f aca="false">IF($A217="",0,IF(AND(OR($E217=Atleta!$C$4,$E217="Equipe (todos)"),$A217&gt;=Atleta!$C$5),MAX($U$7:U216)+1,0))</f>
        <v>0</v>
      </c>
    </row>
    <row r="218" customFormat="false" ht="15" hidden="false" customHeight="false" outlineLevel="0" collapsed="false">
      <c r="A218" s="21"/>
      <c r="B218" s="33" t="n">
        <f aca="false">IF($A218="",0,INT(($A218-Macrociclo!$C$11)/7)+1)</f>
        <v>0</v>
      </c>
      <c r="C218" s="22"/>
      <c r="D218" s="22"/>
      <c r="E218" s="20"/>
      <c r="F218" s="22"/>
      <c r="G218" s="20"/>
      <c r="H218" s="19" t="str">
        <f aca="false">IFERROR(INDEX(Exercícios!$C$7:$C$206,MATCH($G218,Exercícios!$B$7:$B$206,0)),"")</f>
        <v/>
      </c>
      <c r="I218" s="19" t="str">
        <f aca="false">IFERROR(INDEX(Exercícios!$D$7:$D$206,MATCH($G218,Exercícios!$B$7:$B$206,0)),"")</f>
        <v/>
      </c>
      <c r="J218" s="19" t="str">
        <f aca="false">IFERROR(INDEX(Exercícios!$E$7:$E$206,MATCH($G218,Exercícios!$B$7:$B$206,0)),"")</f>
        <v/>
      </c>
      <c r="K218" s="22"/>
      <c r="L218" s="22"/>
      <c r="M218" s="20"/>
      <c r="N218" s="22"/>
      <c r="O218" s="22"/>
      <c r="P218" s="22"/>
      <c r="Q218" s="19" t="n">
        <f aca="false">IFERROR($K218*$L218,"")</f>
        <v>0</v>
      </c>
      <c r="R218" s="48" t="n">
        <f aca="false">IF(OR($O218="",$P218=""),0,$O218*$P218)</f>
        <v>0</v>
      </c>
      <c r="S218" s="20"/>
      <c r="T218" s="20"/>
      <c r="U218" s="33" t="n">
        <f aca="false">IF($A218="",0,IF(AND(OR($E218=Atleta!$C$4,$E218="Equipe (todos)"),$A218&gt;=Atleta!$C$5),MAX($U$7:U217)+1,0))</f>
        <v>0</v>
      </c>
    </row>
    <row r="219" customFormat="false" ht="15" hidden="false" customHeight="false" outlineLevel="0" collapsed="false">
      <c r="A219" s="21"/>
      <c r="B219" s="33" t="n">
        <f aca="false">IF($A219="",0,INT(($A219-Macrociclo!$C$11)/7)+1)</f>
        <v>0</v>
      </c>
      <c r="C219" s="22"/>
      <c r="D219" s="22"/>
      <c r="E219" s="20"/>
      <c r="F219" s="22"/>
      <c r="G219" s="20"/>
      <c r="H219" s="19" t="str">
        <f aca="false">IFERROR(INDEX(Exercícios!$C$7:$C$206,MATCH($G219,Exercícios!$B$7:$B$206,0)),"")</f>
        <v/>
      </c>
      <c r="I219" s="19" t="str">
        <f aca="false">IFERROR(INDEX(Exercícios!$D$7:$D$206,MATCH($G219,Exercícios!$B$7:$B$206,0)),"")</f>
        <v/>
      </c>
      <c r="J219" s="19" t="str">
        <f aca="false">IFERROR(INDEX(Exercícios!$E$7:$E$206,MATCH($G219,Exercícios!$B$7:$B$206,0)),"")</f>
        <v/>
      </c>
      <c r="K219" s="22"/>
      <c r="L219" s="22"/>
      <c r="M219" s="20"/>
      <c r="N219" s="22"/>
      <c r="O219" s="22"/>
      <c r="P219" s="22"/>
      <c r="Q219" s="19" t="n">
        <f aca="false">IFERROR($K219*$L219,"")</f>
        <v>0</v>
      </c>
      <c r="R219" s="48" t="n">
        <f aca="false">IF(OR($O219="",$P219=""),0,$O219*$P219)</f>
        <v>0</v>
      </c>
      <c r="S219" s="20"/>
      <c r="T219" s="20"/>
      <c r="U219" s="33" t="n">
        <f aca="false">IF($A219="",0,IF(AND(OR($E219=Atleta!$C$4,$E219="Equipe (todos)"),$A219&gt;=Atleta!$C$5),MAX($U$7:U218)+1,0))</f>
        <v>0</v>
      </c>
    </row>
    <row r="220" customFormat="false" ht="15" hidden="false" customHeight="false" outlineLevel="0" collapsed="false">
      <c r="A220" s="21"/>
      <c r="B220" s="33" t="n">
        <f aca="false">IF($A220="",0,INT(($A220-Macrociclo!$C$11)/7)+1)</f>
        <v>0</v>
      </c>
      <c r="C220" s="22"/>
      <c r="D220" s="22"/>
      <c r="E220" s="20"/>
      <c r="F220" s="22"/>
      <c r="G220" s="20"/>
      <c r="H220" s="19" t="str">
        <f aca="false">IFERROR(INDEX(Exercícios!$C$7:$C$206,MATCH($G220,Exercícios!$B$7:$B$206,0)),"")</f>
        <v/>
      </c>
      <c r="I220" s="19" t="str">
        <f aca="false">IFERROR(INDEX(Exercícios!$D$7:$D$206,MATCH($G220,Exercícios!$B$7:$B$206,0)),"")</f>
        <v/>
      </c>
      <c r="J220" s="19" t="str">
        <f aca="false">IFERROR(INDEX(Exercícios!$E$7:$E$206,MATCH($G220,Exercícios!$B$7:$B$206,0)),"")</f>
        <v/>
      </c>
      <c r="K220" s="22"/>
      <c r="L220" s="22"/>
      <c r="M220" s="20"/>
      <c r="N220" s="22"/>
      <c r="O220" s="22"/>
      <c r="P220" s="22"/>
      <c r="Q220" s="19" t="n">
        <f aca="false">IFERROR($K220*$L220,"")</f>
        <v>0</v>
      </c>
      <c r="R220" s="48" t="n">
        <f aca="false">IF(OR($O220="",$P220=""),0,$O220*$P220)</f>
        <v>0</v>
      </c>
      <c r="S220" s="20"/>
      <c r="T220" s="20"/>
      <c r="U220" s="33" t="n">
        <f aca="false">IF($A220="",0,IF(AND(OR($E220=Atleta!$C$4,$E220="Equipe (todos)"),$A220&gt;=Atleta!$C$5),MAX($U$7:U219)+1,0))</f>
        <v>0</v>
      </c>
    </row>
    <row r="221" customFormat="false" ht="15" hidden="false" customHeight="false" outlineLevel="0" collapsed="false">
      <c r="A221" s="21"/>
      <c r="B221" s="33" t="n">
        <f aca="false">IF($A221="",0,INT(($A221-Macrociclo!$C$11)/7)+1)</f>
        <v>0</v>
      </c>
      <c r="C221" s="22"/>
      <c r="D221" s="22"/>
      <c r="E221" s="20"/>
      <c r="F221" s="22"/>
      <c r="G221" s="20"/>
      <c r="H221" s="19" t="str">
        <f aca="false">IFERROR(INDEX(Exercícios!$C$7:$C$206,MATCH($G221,Exercícios!$B$7:$B$206,0)),"")</f>
        <v/>
      </c>
      <c r="I221" s="19" t="str">
        <f aca="false">IFERROR(INDEX(Exercícios!$D$7:$D$206,MATCH($G221,Exercícios!$B$7:$B$206,0)),"")</f>
        <v/>
      </c>
      <c r="J221" s="19" t="str">
        <f aca="false">IFERROR(INDEX(Exercícios!$E$7:$E$206,MATCH($G221,Exercícios!$B$7:$B$206,0)),"")</f>
        <v/>
      </c>
      <c r="K221" s="22"/>
      <c r="L221" s="22"/>
      <c r="M221" s="20"/>
      <c r="N221" s="22"/>
      <c r="O221" s="22"/>
      <c r="P221" s="22"/>
      <c r="Q221" s="19" t="n">
        <f aca="false">IFERROR($K221*$L221,"")</f>
        <v>0</v>
      </c>
      <c r="R221" s="48" t="n">
        <f aca="false">IF(OR($O221="",$P221=""),0,$O221*$P221)</f>
        <v>0</v>
      </c>
      <c r="S221" s="20"/>
      <c r="T221" s="20"/>
      <c r="U221" s="33" t="n">
        <f aca="false">IF($A221="",0,IF(AND(OR($E221=Atleta!$C$4,$E221="Equipe (todos)"),$A221&gt;=Atleta!$C$5),MAX($U$7:U220)+1,0))</f>
        <v>0</v>
      </c>
    </row>
    <row r="222" customFormat="false" ht="15" hidden="false" customHeight="false" outlineLevel="0" collapsed="false">
      <c r="A222" s="21"/>
      <c r="B222" s="33" t="n">
        <f aca="false">IF($A222="",0,INT(($A222-Macrociclo!$C$11)/7)+1)</f>
        <v>0</v>
      </c>
      <c r="C222" s="22"/>
      <c r="D222" s="22"/>
      <c r="E222" s="20"/>
      <c r="F222" s="22"/>
      <c r="G222" s="20"/>
      <c r="H222" s="19" t="str">
        <f aca="false">IFERROR(INDEX(Exercícios!$C$7:$C$206,MATCH($G222,Exercícios!$B$7:$B$206,0)),"")</f>
        <v/>
      </c>
      <c r="I222" s="19" t="str">
        <f aca="false">IFERROR(INDEX(Exercícios!$D$7:$D$206,MATCH($G222,Exercícios!$B$7:$B$206,0)),"")</f>
        <v/>
      </c>
      <c r="J222" s="19" t="str">
        <f aca="false">IFERROR(INDEX(Exercícios!$E$7:$E$206,MATCH($G222,Exercícios!$B$7:$B$206,0)),"")</f>
        <v/>
      </c>
      <c r="K222" s="22"/>
      <c r="L222" s="22"/>
      <c r="M222" s="20"/>
      <c r="N222" s="22"/>
      <c r="O222" s="22"/>
      <c r="P222" s="22"/>
      <c r="Q222" s="19" t="n">
        <f aca="false">IFERROR($K222*$L222,"")</f>
        <v>0</v>
      </c>
      <c r="R222" s="48" t="n">
        <f aca="false">IF(OR($O222="",$P222=""),0,$O222*$P222)</f>
        <v>0</v>
      </c>
      <c r="S222" s="20"/>
      <c r="T222" s="20"/>
      <c r="U222" s="33" t="n">
        <f aca="false">IF($A222="",0,IF(AND(OR($E222=Atleta!$C$4,$E222="Equipe (todos)"),$A222&gt;=Atleta!$C$5),MAX($U$7:U221)+1,0))</f>
        <v>0</v>
      </c>
    </row>
    <row r="223" customFormat="false" ht="15" hidden="false" customHeight="false" outlineLevel="0" collapsed="false">
      <c r="A223" s="21"/>
      <c r="B223" s="33" t="n">
        <f aca="false">IF($A223="",0,INT(($A223-Macrociclo!$C$11)/7)+1)</f>
        <v>0</v>
      </c>
      <c r="C223" s="22"/>
      <c r="D223" s="22"/>
      <c r="E223" s="20"/>
      <c r="F223" s="22"/>
      <c r="G223" s="20"/>
      <c r="H223" s="19" t="str">
        <f aca="false">IFERROR(INDEX(Exercícios!$C$7:$C$206,MATCH($G223,Exercícios!$B$7:$B$206,0)),"")</f>
        <v/>
      </c>
      <c r="I223" s="19" t="str">
        <f aca="false">IFERROR(INDEX(Exercícios!$D$7:$D$206,MATCH($G223,Exercícios!$B$7:$B$206,0)),"")</f>
        <v/>
      </c>
      <c r="J223" s="19" t="str">
        <f aca="false">IFERROR(INDEX(Exercícios!$E$7:$E$206,MATCH($G223,Exercícios!$B$7:$B$206,0)),"")</f>
        <v/>
      </c>
      <c r="K223" s="22"/>
      <c r="L223" s="22"/>
      <c r="M223" s="20"/>
      <c r="N223" s="22"/>
      <c r="O223" s="22"/>
      <c r="P223" s="22"/>
      <c r="Q223" s="19" t="n">
        <f aca="false">IFERROR($K223*$L223,"")</f>
        <v>0</v>
      </c>
      <c r="R223" s="48" t="n">
        <f aca="false">IF(OR($O223="",$P223=""),0,$O223*$P223)</f>
        <v>0</v>
      </c>
      <c r="S223" s="20"/>
      <c r="T223" s="20"/>
      <c r="U223" s="33" t="n">
        <f aca="false">IF($A223="",0,IF(AND(OR($E223=Atleta!$C$4,$E223="Equipe (todos)"),$A223&gt;=Atleta!$C$5),MAX($U$7:U222)+1,0))</f>
        <v>0</v>
      </c>
    </row>
    <row r="224" customFormat="false" ht="15" hidden="false" customHeight="false" outlineLevel="0" collapsed="false">
      <c r="A224" s="21"/>
      <c r="B224" s="33" t="n">
        <f aca="false">IF($A224="",0,INT(($A224-Macrociclo!$C$11)/7)+1)</f>
        <v>0</v>
      </c>
      <c r="C224" s="22"/>
      <c r="D224" s="22"/>
      <c r="E224" s="20"/>
      <c r="F224" s="22"/>
      <c r="G224" s="20"/>
      <c r="H224" s="19" t="str">
        <f aca="false">IFERROR(INDEX(Exercícios!$C$7:$C$206,MATCH($G224,Exercícios!$B$7:$B$206,0)),"")</f>
        <v/>
      </c>
      <c r="I224" s="19" t="str">
        <f aca="false">IFERROR(INDEX(Exercícios!$D$7:$D$206,MATCH($G224,Exercícios!$B$7:$B$206,0)),"")</f>
        <v/>
      </c>
      <c r="J224" s="19" t="str">
        <f aca="false">IFERROR(INDEX(Exercícios!$E$7:$E$206,MATCH($G224,Exercícios!$B$7:$B$206,0)),"")</f>
        <v/>
      </c>
      <c r="K224" s="22"/>
      <c r="L224" s="22"/>
      <c r="M224" s="20"/>
      <c r="N224" s="22"/>
      <c r="O224" s="22"/>
      <c r="P224" s="22"/>
      <c r="Q224" s="19" t="n">
        <f aca="false">IFERROR($K224*$L224,"")</f>
        <v>0</v>
      </c>
      <c r="R224" s="48" t="n">
        <f aca="false">IF(OR($O224="",$P224=""),0,$O224*$P224)</f>
        <v>0</v>
      </c>
      <c r="S224" s="20"/>
      <c r="T224" s="20"/>
      <c r="U224" s="33" t="n">
        <f aca="false">IF($A224="",0,IF(AND(OR($E224=Atleta!$C$4,$E224="Equipe (todos)"),$A224&gt;=Atleta!$C$5),MAX($U$7:U223)+1,0))</f>
        <v>0</v>
      </c>
    </row>
    <row r="225" customFormat="false" ht="15" hidden="false" customHeight="false" outlineLevel="0" collapsed="false">
      <c r="A225" s="21"/>
      <c r="B225" s="33" t="n">
        <f aca="false">IF($A225="",0,INT(($A225-Macrociclo!$C$11)/7)+1)</f>
        <v>0</v>
      </c>
      <c r="C225" s="22"/>
      <c r="D225" s="22"/>
      <c r="E225" s="20"/>
      <c r="F225" s="22"/>
      <c r="G225" s="20"/>
      <c r="H225" s="19" t="str">
        <f aca="false">IFERROR(INDEX(Exercícios!$C$7:$C$206,MATCH($G225,Exercícios!$B$7:$B$206,0)),"")</f>
        <v/>
      </c>
      <c r="I225" s="19" t="str">
        <f aca="false">IFERROR(INDEX(Exercícios!$D$7:$D$206,MATCH($G225,Exercícios!$B$7:$B$206,0)),"")</f>
        <v/>
      </c>
      <c r="J225" s="19" t="str">
        <f aca="false">IFERROR(INDEX(Exercícios!$E$7:$E$206,MATCH($G225,Exercícios!$B$7:$B$206,0)),"")</f>
        <v/>
      </c>
      <c r="K225" s="22"/>
      <c r="L225" s="22"/>
      <c r="M225" s="20"/>
      <c r="N225" s="22"/>
      <c r="O225" s="22"/>
      <c r="P225" s="22"/>
      <c r="Q225" s="19" t="n">
        <f aca="false">IFERROR($K225*$L225,"")</f>
        <v>0</v>
      </c>
      <c r="R225" s="48" t="n">
        <f aca="false">IF(OR($O225="",$P225=""),0,$O225*$P225)</f>
        <v>0</v>
      </c>
      <c r="S225" s="20"/>
      <c r="T225" s="20"/>
      <c r="U225" s="33" t="n">
        <f aca="false">IF($A225="",0,IF(AND(OR($E225=Atleta!$C$4,$E225="Equipe (todos)"),$A225&gt;=Atleta!$C$5),MAX($U$7:U224)+1,0))</f>
        <v>0</v>
      </c>
    </row>
    <row r="226" customFormat="false" ht="15" hidden="false" customHeight="false" outlineLevel="0" collapsed="false">
      <c r="A226" s="21"/>
      <c r="B226" s="33" t="n">
        <f aca="false">IF($A226="",0,INT(($A226-Macrociclo!$C$11)/7)+1)</f>
        <v>0</v>
      </c>
      <c r="C226" s="22"/>
      <c r="D226" s="22"/>
      <c r="E226" s="20"/>
      <c r="F226" s="22"/>
      <c r="G226" s="20"/>
      <c r="H226" s="19" t="str">
        <f aca="false">IFERROR(INDEX(Exercícios!$C$7:$C$206,MATCH($G226,Exercícios!$B$7:$B$206,0)),"")</f>
        <v/>
      </c>
      <c r="I226" s="19" t="str">
        <f aca="false">IFERROR(INDEX(Exercícios!$D$7:$D$206,MATCH($G226,Exercícios!$B$7:$B$206,0)),"")</f>
        <v/>
      </c>
      <c r="J226" s="19" t="str">
        <f aca="false">IFERROR(INDEX(Exercícios!$E$7:$E$206,MATCH($G226,Exercícios!$B$7:$B$206,0)),"")</f>
        <v/>
      </c>
      <c r="K226" s="22"/>
      <c r="L226" s="22"/>
      <c r="M226" s="20"/>
      <c r="N226" s="22"/>
      <c r="O226" s="22"/>
      <c r="P226" s="22"/>
      <c r="Q226" s="19" t="n">
        <f aca="false">IFERROR($K226*$L226,"")</f>
        <v>0</v>
      </c>
      <c r="R226" s="48" t="n">
        <f aca="false">IF(OR($O226="",$P226=""),0,$O226*$P226)</f>
        <v>0</v>
      </c>
      <c r="S226" s="20"/>
      <c r="T226" s="20"/>
      <c r="U226" s="33" t="n">
        <f aca="false">IF($A226="",0,IF(AND(OR($E226=Atleta!$C$4,$E226="Equipe (todos)"),$A226&gt;=Atleta!$C$5),MAX($U$7:U225)+1,0))</f>
        <v>0</v>
      </c>
    </row>
    <row r="227" customFormat="false" ht="15" hidden="false" customHeight="false" outlineLevel="0" collapsed="false">
      <c r="A227" s="21"/>
      <c r="B227" s="33" t="n">
        <f aca="false">IF($A227="",0,INT(($A227-Macrociclo!$C$11)/7)+1)</f>
        <v>0</v>
      </c>
      <c r="C227" s="22"/>
      <c r="D227" s="22"/>
      <c r="E227" s="20"/>
      <c r="F227" s="22"/>
      <c r="G227" s="20"/>
      <c r="H227" s="19" t="str">
        <f aca="false">IFERROR(INDEX(Exercícios!$C$7:$C$206,MATCH($G227,Exercícios!$B$7:$B$206,0)),"")</f>
        <v/>
      </c>
      <c r="I227" s="19" t="str">
        <f aca="false">IFERROR(INDEX(Exercícios!$D$7:$D$206,MATCH($G227,Exercícios!$B$7:$B$206,0)),"")</f>
        <v/>
      </c>
      <c r="J227" s="19" t="str">
        <f aca="false">IFERROR(INDEX(Exercícios!$E$7:$E$206,MATCH($G227,Exercícios!$B$7:$B$206,0)),"")</f>
        <v/>
      </c>
      <c r="K227" s="22"/>
      <c r="L227" s="22"/>
      <c r="M227" s="20"/>
      <c r="N227" s="22"/>
      <c r="O227" s="22"/>
      <c r="P227" s="22"/>
      <c r="Q227" s="19" t="n">
        <f aca="false">IFERROR($K227*$L227,"")</f>
        <v>0</v>
      </c>
      <c r="R227" s="48" t="n">
        <f aca="false">IF(OR($O227="",$P227=""),0,$O227*$P227)</f>
        <v>0</v>
      </c>
      <c r="S227" s="20"/>
      <c r="T227" s="20"/>
      <c r="U227" s="33" t="n">
        <f aca="false">IF($A227="",0,IF(AND(OR($E227=Atleta!$C$4,$E227="Equipe (todos)"),$A227&gt;=Atleta!$C$5),MAX($U$7:U226)+1,0))</f>
        <v>0</v>
      </c>
    </row>
    <row r="228" customFormat="false" ht="15" hidden="false" customHeight="false" outlineLevel="0" collapsed="false">
      <c r="A228" s="21"/>
      <c r="B228" s="33" t="n">
        <f aca="false">IF($A228="",0,INT(($A228-Macrociclo!$C$11)/7)+1)</f>
        <v>0</v>
      </c>
      <c r="C228" s="22"/>
      <c r="D228" s="22"/>
      <c r="E228" s="20"/>
      <c r="F228" s="22"/>
      <c r="G228" s="20"/>
      <c r="H228" s="19" t="str">
        <f aca="false">IFERROR(INDEX(Exercícios!$C$7:$C$206,MATCH($G228,Exercícios!$B$7:$B$206,0)),"")</f>
        <v/>
      </c>
      <c r="I228" s="19" t="str">
        <f aca="false">IFERROR(INDEX(Exercícios!$D$7:$D$206,MATCH($G228,Exercícios!$B$7:$B$206,0)),"")</f>
        <v/>
      </c>
      <c r="J228" s="19" t="str">
        <f aca="false">IFERROR(INDEX(Exercícios!$E$7:$E$206,MATCH($G228,Exercícios!$B$7:$B$206,0)),"")</f>
        <v/>
      </c>
      <c r="K228" s="22"/>
      <c r="L228" s="22"/>
      <c r="M228" s="20"/>
      <c r="N228" s="22"/>
      <c r="O228" s="22"/>
      <c r="P228" s="22"/>
      <c r="Q228" s="19" t="n">
        <f aca="false">IFERROR($K228*$L228,"")</f>
        <v>0</v>
      </c>
      <c r="R228" s="48" t="n">
        <f aca="false">IF(OR($O228="",$P228=""),0,$O228*$P228)</f>
        <v>0</v>
      </c>
      <c r="S228" s="20"/>
      <c r="T228" s="20"/>
      <c r="U228" s="33" t="n">
        <f aca="false">IF($A228="",0,IF(AND(OR($E228=Atleta!$C$4,$E228="Equipe (todos)"),$A228&gt;=Atleta!$C$5),MAX($U$7:U227)+1,0))</f>
        <v>0</v>
      </c>
    </row>
    <row r="229" customFormat="false" ht="15" hidden="false" customHeight="false" outlineLevel="0" collapsed="false">
      <c r="A229" s="21"/>
      <c r="B229" s="33" t="n">
        <f aca="false">IF($A229="",0,INT(($A229-Macrociclo!$C$11)/7)+1)</f>
        <v>0</v>
      </c>
      <c r="C229" s="22"/>
      <c r="D229" s="22"/>
      <c r="E229" s="20"/>
      <c r="F229" s="22"/>
      <c r="G229" s="20"/>
      <c r="H229" s="19" t="str">
        <f aca="false">IFERROR(INDEX(Exercícios!$C$7:$C$206,MATCH($G229,Exercícios!$B$7:$B$206,0)),"")</f>
        <v/>
      </c>
      <c r="I229" s="19" t="str">
        <f aca="false">IFERROR(INDEX(Exercícios!$D$7:$D$206,MATCH($G229,Exercícios!$B$7:$B$206,0)),"")</f>
        <v/>
      </c>
      <c r="J229" s="19" t="str">
        <f aca="false">IFERROR(INDEX(Exercícios!$E$7:$E$206,MATCH($G229,Exercícios!$B$7:$B$206,0)),"")</f>
        <v/>
      </c>
      <c r="K229" s="22"/>
      <c r="L229" s="22"/>
      <c r="M229" s="20"/>
      <c r="N229" s="22"/>
      <c r="O229" s="22"/>
      <c r="P229" s="22"/>
      <c r="Q229" s="19" t="n">
        <f aca="false">IFERROR($K229*$L229,"")</f>
        <v>0</v>
      </c>
      <c r="R229" s="48" t="n">
        <f aca="false">IF(OR($O229="",$P229=""),0,$O229*$P229)</f>
        <v>0</v>
      </c>
      <c r="S229" s="20"/>
      <c r="T229" s="20"/>
      <c r="U229" s="33" t="n">
        <f aca="false">IF($A229="",0,IF(AND(OR($E229=Atleta!$C$4,$E229="Equipe (todos)"),$A229&gt;=Atleta!$C$5),MAX($U$7:U228)+1,0))</f>
        <v>0</v>
      </c>
    </row>
    <row r="230" customFormat="false" ht="15" hidden="false" customHeight="false" outlineLevel="0" collapsed="false">
      <c r="A230" s="21"/>
      <c r="B230" s="33" t="n">
        <f aca="false">IF($A230="",0,INT(($A230-Macrociclo!$C$11)/7)+1)</f>
        <v>0</v>
      </c>
      <c r="C230" s="22"/>
      <c r="D230" s="22"/>
      <c r="E230" s="20"/>
      <c r="F230" s="22"/>
      <c r="G230" s="20"/>
      <c r="H230" s="19" t="str">
        <f aca="false">IFERROR(INDEX(Exercícios!$C$7:$C$206,MATCH($G230,Exercícios!$B$7:$B$206,0)),"")</f>
        <v/>
      </c>
      <c r="I230" s="19" t="str">
        <f aca="false">IFERROR(INDEX(Exercícios!$D$7:$D$206,MATCH($G230,Exercícios!$B$7:$B$206,0)),"")</f>
        <v/>
      </c>
      <c r="J230" s="19" t="str">
        <f aca="false">IFERROR(INDEX(Exercícios!$E$7:$E$206,MATCH($G230,Exercícios!$B$7:$B$206,0)),"")</f>
        <v/>
      </c>
      <c r="K230" s="22"/>
      <c r="L230" s="22"/>
      <c r="M230" s="20"/>
      <c r="N230" s="22"/>
      <c r="O230" s="22"/>
      <c r="P230" s="22"/>
      <c r="Q230" s="19" t="n">
        <f aca="false">IFERROR($K230*$L230,"")</f>
        <v>0</v>
      </c>
      <c r="R230" s="48" t="n">
        <f aca="false">IF(OR($O230="",$P230=""),0,$O230*$P230)</f>
        <v>0</v>
      </c>
      <c r="S230" s="20"/>
      <c r="T230" s="20"/>
      <c r="U230" s="33" t="n">
        <f aca="false">IF($A230="",0,IF(AND(OR($E230=Atleta!$C$4,$E230="Equipe (todos)"),$A230&gt;=Atleta!$C$5),MAX($U$7:U229)+1,0))</f>
        <v>0</v>
      </c>
    </row>
    <row r="231" customFormat="false" ht="15" hidden="false" customHeight="false" outlineLevel="0" collapsed="false">
      <c r="A231" s="21"/>
      <c r="B231" s="33" t="n">
        <f aca="false">IF($A231="",0,INT(($A231-Macrociclo!$C$11)/7)+1)</f>
        <v>0</v>
      </c>
      <c r="C231" s="22"/>
      <c r="D231" s="22"/>
      <c r="E231" s="20"/>
      <c r="F231" s="22"/>
      <c r="G231" s="20"/>
      <c r="H231" s="19" t="str">
        <f aca="false">IFERROR(INDEX(Exercícios!$C$7:$C$206,MATCH($G231,Exercícios!$B$7:$B$206,0)),"")</f>
        <v/>
      </c>
      <c r="I231" s="19" t="str">
        <f aca="false">IFERROR(INDEX(Exercícios!$D$7:$D$206,MATCH($G231,Exercícios!$B$7:$B$206,0)),"")</f>
        <v/>
      </c>
      <c r="J231" s="19" t="str">
        <f aca="false">IFERROR(INDEX(Exercícios!$E$7:$E$206,MATCH($G231,Exercícios!$B$7:$B$206,0)),"")</f>
        <v/>
      </c>
      <c r="K231" s="22"/>
      <c r="L231" s="22"/>
      <c r="M231" s="20"/>
      <c r="N231" s="22"/>
      <c r="O231" s="22"/>
      <c r="P231" s="22"/>
      <c r="Q231" s="19" t="n">
        <f aca="false">IFERROR($K231*$L231,"")</f>
        <v>0</v>
      </c>
      <c r="R231" s="48" t="n">
        <f aca="false">IF(OR($O231="",$P231=""),0,$O231*$P231)</f>
        <v>0</v>
      </c>
      <c r="S231" s="20"/>
      <c r="T231" s="20"/>
      <c r="U231" s="33" t="n">
        <f aca="false">IF($A231="",0,IF(AND(OR($E231=Atleta!$C$4,$E231="Equipe (todos)"),$A231&gt;=Atleta!$C$5),MAX($U$7:U230)+1,0))</f>
        <v>0</v>
      </c>
    </row>
    <row r="232" customFormat="false" ht="15" hidden="false" customHeight="false" outlineLevel="0" collapsed="false">
      <c r="A232" s="21"/>
      <c r="B232" s="33" t="n">
        <f aca="false">IF($A232="",0,INT(($A232-Macrociclo!$C$11)/7)+1)</f>
        <v>0</v>
      </c>
      <c r="C232" s="22"/>
      <c r="D232" s="22"/>
      <c r="E232" s="20"/>
      <c r="F232" s="22"/>
      <c r="G232" s="20"/>
      <c r="H232" s="19" t="str">
        <f aca="false">IFERROR(INDEX(Exercícios!$C$7:$C$206,MATCH($G232,Exercícios!$B$7:$B$206,0)),"")</f>
        <v/>
      </c>
      <c r="I232" s="19" t="str">
        <f aca="false">IFERROR(INDEX(Exercícios!$D$7:$D$206,MATCH($G232,Exercícios!$B$7:$B$206,0)),"")</f>
        <v/>
      </c>
      <c r="J232" s="19" t="str">
        <f aca="false">IFERROR(INDEX(Exercícios!$E$7:$E$206,MATCH($G232,Exercícios!$B$7:$B$206,0)),"")</f>
        <v/>
      </c>
      <c r="K232" s="22"/>
      <c r="L232" s="22"/>
      <c r="M232" s="20"/>
      <c r="N232" s="22"/>
      <c r="O232" s="22"/>
      <c r="P232" s="22"/>
      <c r="Q232" s="19" t="n">
        <f aca="false">IFERROR($K232*$L232,"")</f>
        <v>0</v>
      </c>
      <c r="R232" s="48" t="n">
        <f aca="false">IF(OR($O232="",$P232=""),0,$O232*$P232)</f>
        <v>0</v>
      </c>
      <c r="S232" s="20"/>
      <c r="T232" s="20"/>
      <c r="U232" s="33" t="n">
        <f aca="false">IF($A232="",0,IF(AND(OR($E232=Atleta!$C$4,$E232="Equipe (todos)"),$A232&gt;=Atleta!$C$5),MAX($U$7:U231)+1,0))</f>
        <v>0</v>
      </c>
    </row>
    <row r="233" customFormat="false" ht="15" hidden="false" customHeight="false" outlineLevel="0" collapsed="false">
      <c r="A233" s="21"/>
      <c r="B233" s="33" t="n">
        <f aca="false">IF($A233="",0,INT(($A233-Macrociclo!$C$11)/7)+1)</f>
        <v>0</v>
      </c>
      <c r="C233" s="22"/>
      <c r="D233" s="22"/>
      <c r="E233" s="20"/>
      <c r="F233" s="22"/>
      <c r="G233" s="20"/>
      <c r="H233" s="19" t="str">
        <f aca="false">IFERROR(INDEX(Exercícios!$C$7:$C$206,MATCH($G233,Exercícios!$B$7:$B$206,0)),"")</f>
        <v/>
      </c>
      <c r="I233" s="19" t="str">
        <f aca="false">IFERROR(INDEX(Exercícios!$D$7:$D$206,MATCH($G233,Exercícios!$B$7:$B$206,0)),"")</f>
        <v/>
      </c>
      <c r="J233" s="19" t="str">
        <f aca="false">IFERROR(INDEX(Exercícios!$E$7:$E$206,MATCH($G233,Exercícios!$B$7:$B$206,0)),"")</f>
        <v/>
      </c>
      <c r="K233" s="22"/>
      <c r="L233" s="22"/>
      <c r="M233" s="20"/>
      <c r="N233" s="22"/>
      <c r="O233" s="22"/>
      <c r="P233" s="22"/>
      <c r="Q233" s="19" t="n">
        <f aca="false">IFERROR($K233*$L233,"")</f>
        <v>0</v>
      </c>
      <c r="R233" s="48" t="n">
        <f aca="false">IF(OR($O233="",$P233=""),0,$O233*$P233)</f>
        <v>0</v>
      </c>
      <c r="S233" s="20"/>
      <c r="T233" s="20"/>
      <c r="U233" s="33" t="n">
        <f aca="false">IF($A233="",0,IF(AND(OR($E233=Atleta!$C$4,$E233="Equipe (todos)"),$A233&gt;=Atleta!$C$5),MAX($U$7:U232)+1,0))</f>
        <v>0</v>
      </c>
    </row>
    <row r="234" customFormat="false" ht="15" hidden="false" customHeight="false" outlineLevel="0" collapsed="false">
      <c r="A234" s="21"/>
      <c r="B234" s="33" t="n">
        <f aca="false">IF($A234="",0,INT(($A234-Macrociclo!$C$11)/7)+1)</f>
        <v>0</v>
      </c>
      <c r="C234" s="22"/>
      <c r="D234" s="22"/>
      <c r="E234" s="20"/>
      <c r="F234" s="22"/>
      <c r="G234" s="20"/>
      <c r="H234" s="19" t="str">
        <f aca="false">IFERROR(INDEX(Exercícios!$C$7:$C$206,MATCH($G234,Exercícios!$B$7:$B$206,0)),"")</f>
        <v/>
      </c>
      <c r="I234" s="19" t="str">
        <f aca="false">IFERROR(INDEX(Exercícios!$D$7:$D$206,MATCH($G234,Exercícios!$B$7:$B$206,0)),"")</f>
        <v/>
      </c>
      <c r="J234" s="19" t="str">
        <f aca="false">IFERROR(INDEX(Exercícios!$E$7:$E$206,MATCH($G234,Exercícios!$B$7:$B$206,0)),"")</f>
        <v/>
      </c>
      <c r="K234" s="22"/>
      <c r="L234" s="22"/>
      <c r="M234" s="20"/>
      <c r="N234" s="22"/>
      <c r="O234" s="22"/>
      <c r="P234" s="22"/>
      <c r="Q234" s="19" t="n">
        <f aca="false">IFERROR($K234*$L234,"")</f>
        <v>0</v>
      </c>
      <c r="R234" s="48" t="n">
        <f aca="false">IF(OR($O234="",$P234=""),0,$O234*$P234)</f>
        <v>0</v>
      </c>
      <c r="S234" s="20"/>
      <c r="T234" s="20"/>
      <c r="U234" s="33" t="n">
        <f aca="false">IF($A234="",0,IF(AND(OR($E234=Atleta!$C$4,$E234="Equipe (todos)"),$A234&gt;=Atleta!$C$5),MAX($U$7:U233)+1,0))</f>
        <v>0</v>
      </c>
    </row>
    <row r="235" customFormat="false" ht="15" hidden="false" customHeight="false" outlineLevel="0" collapsed="false">
      <c r="A235" s="21"/>
      <c r="B235" s="33" t="n">
        <f aca="false">IF($A235="",0,INT(($A235-Macrociclo!$C$11)/7)+1)</f>
        <v>0</v>
      </c>
      <c r="C235" s="22"/>
      <c r="D235" s="22"/>
      <c r="E235" s="20"/>
      <c r="F235" s="22"/>
      <c r="G235" s="20"/>
      <c r="H235" s="19" t="str">
        <f aca="false">IFERROR(INDEX(Exercícios!$C$7:$C$206,MATCH($G235,Exercícios!$B$7:$B$206,0)),"")</f>
        <v/>
      </c>
      <c r="I235" s="19" t="str">
        <f aca="false">IFERROR(INDEX(Exercícios!$D$7:$D$206,MATCH($G235,Exercícios!$B$7:$B$206,0)),"")</f>
        <v/>
      </c>
      <c r="J235" s="19" t="str">
        <f aca="false">IFERROR(INDEX(Exercícios!$E$7:$E$206,MATCH($G235,Exercícios!$B$7:$B$206,0)),"")</f>
        <v/>
      </c>
      <c r="K235" s="22"/>
      <c r="L235" s="22"/>
      <c r="M235" s="20"/>
      <c r="N235" s="22"/>
      <c r="O235" s="22"/>
      <c r="P235" s="22"/>
      <c r="Q235" s="19" t="n">
        <f aca="false">IFERROR($K235*$L235,"")</f>
        <v>0</v>
      </c>
      <c r="R235" s="48" t="n">
        <f aca="false">IF(OR($O235="",$P235=""),0,$O235*$P235)</f>
        <v>0</v>
      </c>
      <c r="S235" s="20"/>
      <c r="T235" s="20"/>
      <c r="U235" s="33" t="n">
        <f aca="false">IF($A235="",0,IF(AND(OR($E235=Atleta!$C$4,$E235="Equipe (todos)"),$A235&gt;=Atleta!$C$5),MAX($U$7:U234)+1,0))</f>
        <v>0</v>
      </c>
    </row>
    <row r="236" customFormat="false" ht="15" hidden="false" customHeight="false" outlineLevel="0" collapsed="false">
      <c r="A236" s="21"/>
      <c r="B236" s="33" t="n">
        <f aca="false">IF($A236="",0,INT(($A236-Macrociclo!$C$11)/7)+1)</f>
        <v>0</v>
      </c>
      <c r="C236" s="22"/>
      <c r="D236" s="22"/>
      <c r="E236" s="20"/>
      <c r="F236" s="22"/>
      <c r="G236" s="20"/>
      <c r="H236" s="19" t="str">
        <f aca="false">IFERROR(INDEX(Exercícios!$C$7:$C$206,MATCH($G236,Exercícios!$B$7:$B$206,0)),"")</f>
        <v/>
      </c>
      <c r="I236" s="19" t="str">
        <f aca="false">IFERROR(INDEX(Exercícios!$D$7:$D$206,MATCH($G236,Exercícios!$B$7:$B$206,0)),"")</f>
        <v/>
      </c>
      <c r="J236" s="19" t="str">
        <f aca="false">IFERROR(INDEX(Exercícios!$E$7:$E$206,MATCH($G236,Exercícios!$B$7:$B$206,0)),"")</f>
        <v/>
      </c>
      <c r="K236" s="22"/>
      <c r="L236" s="22"/>
      <c r="M236" s="20"/>
      <c r="N236" s="22"/>
      <c r="O236" s="22"/>
      <c r="P236" s="22"/>
      <c r="Q236" s="19" t="n">
        <f aca="false">IFERROR($K236*$L236,"")</f>
        <v>0</v>
      </c>
      <c r="R236" s="48" t="n">
        <f aca="false">IF(OR($O236="",$P236=""),0,$O236*$P236)</f>
        <v>0</v>
      </c>
      <c r="S236" s="20"/>
      <c r="T236" s="20"/>
      <c r="U236" s="33" t="n">
        <f aca="false">IF($A236="",0,IF(AND(OR($E236=Atleta!$C$4,$E236="Equipe (todos)"),$A236&gt;=Atleta!$C$5),MAX($U$7:U235)+1,0))</f>
        <v>0</v>
      </c>
    </row>
    <row r="237" customFormat="false" ht="15" hidden="false" customHeight="false" outlineLevel="0" collapsed="false">
      <c r="A237" s="21"/>
      <c r="B237" s="33" t="n">
        <f aca="false">IF($A237="",0,INT(($A237-Macrociclo!$C$11)/7)+1)</f>
        <v>0</v>
      </c>
      <c r="C237" s="22"/>
      <c r="D237" s="22"/>
      <c r="E237" s="20"/>
      <c r="F237" s="22"/>
      <c r="G237" s="20"/>
      <c r="H237" s="19" t="str">
        <f aca="false">IFERROR(INDEX(Exercícios!$C$7:$C$206,MATCH($G237,Exercícios!$B$7:$B$206,0)),"")</f>
        <v/>
      </c>
      <c r="I237" s="19" t="str">
        <f aca="false">IFERROR(INDEX(Exercícios!$D$7:$D$206,MATCH($G237,Exercícios!$B$7:$B$206,0)),"")</f>
        <v/>
      </c>
      <c r="J237" s="19" t="str">
        <f aca="false">IFERROR(INDEX(Exercícios!$E$7:$E$206,MATCH($G237,Exercícios!$B$7:$B$206,0)),"")</f>
        <v/>
      </c>
      <c r="K237" s="22"/>
      <c r="L237" s="22"/>
      <c r="M237" s="20"/>
      <c r="N237" s="22"/>
      <c r="O237" s="22"/>
      <c r="P237" s="22"/>
      <c r="Q237" s="19" t="n">
        <f aca="false">IFERROR($K237*$L237,"")</f>
        <v>0</v>
      </c>
      <c r="R237" s="48" t="n">
        <f aca="false">IF(OR($O237="",$P237=""),0,$O237*$P237)</f>
        <v>0</v>
      </c>
      <c r="S237" s="20"/>
      <c r="T237" s="20"/>
      <c r="U237" s="33" t="n">
        <f aca="false">IF($A237="",0,IF(AND(OR($E237=Atleta!$C$4,$E237="Equipe (todos)"),$A237&gt;=Atleta!$C$5),MAX($U$7:U236)+1,0))</f>
        <v>0</v>
      </c>
    </row>
    <row r="238" customFormat="false" ht="15" hidden="false" customHeight="false" outlineLevel="0" collapsed="false">
      <c r="A238" s="21"/>
      <c r="B238" s="33" t="n">
        <f aca="false">IF($A238="",0,INT(($A238-Macrociclo!$C$11)/7)+1)</f>
        <v>0</v>
      </c>
      <c r="C238" s="22"/>
      <c r="D238" s="22"/>
      <c r="E238" s="20"/>
      <c r="F238" s="22"/>
      <c r="G238" s="20"/>
      <c r="H238" s="19" t="str">
        <f aca="false">IFERROR(INDEX(Exercícios!$C$7:$C$206,MATCH($G238,Exercícios!$B$7:$B$206,0)),"")</f>
        <v/>
      </c>
      <c r="I238" s="19" t="str">
        <f aca="false">IFERROR(INDEX(Exercícios!$D$7:$D$206,MATCH($G238,Exercícios!$B$7:$B$206,0)),"")</f>
        <v/>
      </c>
      <c r="J238" s="19" t="str">
        <f aca="false">IFERROR(INDEX(Exercícios!$E$7:$E$206,MATCH($G238,Exercícios!$B$7:$B$206,0)),"")</f>
        <v/>
      </c>
      <c r="K238" s="22"/>
      <c r="L238" s="22"/>
      <c r="M238" s="20"/>
      <c r="N238" s="22"/>
      <c r="O238" s="22"/>
      <c r="P238" s="22"/>
      <c r="Q238" s="19" t="n">
        <f aca="false">IFERROR($K238*$L238,"")</f>
        <v>0</v>
      </c>
      <c r="R238" s="48" t="n">
        <f aca="false">IF(OR($O238="",$P238=""),0,$O238*$P238)</f>
        <v>0</v>
      </c>
      <c r="S238" s="20"/>
      <c r="T238" s="20"/>
      <c r="U238" s="33" t="n">
        <f aca="false">IF($A238="",0,IF(AND(OR($E238=Atleta!$C$4,$E238="Equipe (todos)"),$A238&gt;=Atleta!$C$5),MAX($U$7:U237)+1,0))</f>
        <v>0</v>
      </c>
    </row>
    <row r="239" customFormat="false" ht="15" hidden="false" customHeight="false" outlineLevel="0" collapsed="false">
      <c r="A239" s="21"/>
      <c r="B239" s="33" t="n">
        <f aca="false">IF($A239="",0,INT(($A239-Macrociclo!$C$11)/7)+1)</f>
        <v>0</v>
      </c>
      <c r="C239" s="22"/>
      <c r="D239" s="22"/>
      <c r="E239" s="20"/>
      <c r="F239" s="22"/>
      <c r="G239" s="20"/>
      <c r="H239" s="19" t="str">
        <f aca="false">IFERROR(INDEX(Exercícios!$C$7:$C$206,MATCH($G239,Exercícios!$B$7:$B$206,0)),"")</f>
        <v/>
      </c>
      <c r="I239" s="19" t="str">
        <f aca="false">IFERROR(INDEX(Exercícios!$D$7:$D$206,MATCH($G239,Exercícios!$B$7:$B$206,0)),"")</f>
        <v/>
      </c>
      <c r="J239" s="19" t="str">
        <f aca="false">IFERROR(INDEX(Exercícios!$E$7:$E$206,MATCH($G239,Exercícios!$B$7:$B$206,0)),"")</f>
        <v/>
      </c>
      <c r="K239" s="22"/>
      <c r="L239" s="22"/>
      <c r="M239" s="20"/>
      <c r="N239" s="22"/>
      <c r="O239" s="22"/>
      <c r="P239" s="22"/>
      <c r="Q239" s="19" t="n">
        <f aca="false">IFERROR($K239*$L239,"")</f>
        <v>0</v>
      </c>
      <c r="R239" s="48" t="n">
        <f aca="false">IF(OR($O239="",$P239=""),0,$O239*$P239)</f>
        <v>0</v>
      </c>
      <c r="S239" s="20"/>
      <c r="T239" s="20"/>
      <c r="U239" s="33" t="n">
        <f aca="false">IF($A239="",0,IF(AND(OR($E239=Atleta!$C$4,$E239="Equipe (todos)"),$A239&gt;=Atleta!$C$5),MAX($U$7:U238)+1,0))</f>
        <v>0</v>
      </c>
    </row>
    <row r="240" customFormat="false" ht="15" hidden="false" customHeight="false" outlineLevel="0" collapsed="false">
      <c r="A240" s="21"/>
      <c r="B240" s="33" t="n">
        <f aca="false">IF($A240="",0,INT(($A240-Macrociclo!$C$11)/7)+1)</f>
        <v>0</v>
      </c>
      <c r="C240" s="22"/>
      <c r="D240" s="22"/>
      <c r="E240" s="20"/>
      <c r="F240" s="22"/>
      <c r="G240" s="20"/>
      <c r="H240" s="19" t="str">
        <f aca="false">IFERROR(INDEX(Exercícios!$C$7:$C$206,MATCH($G240,Exercícios!$B$7:$B$206,0)),"")</f>
        <v/>
      </c>
      <c r="I240" s="19" t="str">
        <f aca="false">IFERROR(INDEX(Exercícios!$D$7:$D$206,MATCH($G240,Exercícios!$B$7:$B$206,0)),"")</f>
        <v/>
      </c>
      <c r="J240" s="19" t="str">
        <f aca="false">IFERROR(INDEX(Exercícios!$E$7:$E$206,MATCH($G240,Exercícios!$B$7:$B$206,0)),"")</f>
        <v/>
      </c>
      <c r="K240" s="22"/>
      <c r="L240" s="22"/>
      <c r="M240" s="20"/>
      <c r="N240" s="22"/>
      <c r="O240" s="22"/>
      <c r="P240" s="22"/>
      <c r="Q240" s="19" t="n">
        <f aca="false">IFERROR($K240*$L240,"")</f>
        <v>0</v>
      </c>
      <c r="R240" s="48" t="n">
        <f aca="false">IF(OR($O240="",$P240=""),0,$O240*$P240)</f>
        <v>0</v>
      </c>
      <c r="S240" s="20"/>
      <c r="T240" s="20"/>
      <c r="U240" s="33" t="n">
        <f aca="false">IF($A240="",0,IF(AND(OR($E240=Atleta!$C$4,$E240="Equipe (todos)"),$A240&gt;=Atleta!$C$5),MAX($U$7:U239)+1,0))</f>
        <v>0</v>
      </c>
    </row>
    <row r="241" customFormat="false" ht="15" hidden="false" customHeight="false" outlineLevel="0" collapsed="false">
      <c r="A241" s="21"/>
      <c r="B241" s="33" t="n">
        <f aca="false">IF($A241="",0,INT(($A241-Macrociclo!$C$11)/7)+1)</f>
        <v>0</v>
      </c>
      <c r="C241" s="22"/>
      <c r="D241" s="22"/>
      <c r="E241" s="20"/>
      <c r="F241" s="22"/>
      <c r="G241" s="20"/>
      <c r="H241" s="19" t="str">
        <f aca="false">IFERROR(INDEX(Exercícios!$C$7:$C$206,MATCH($G241,Exercícios!$B$7:$B$206,0)),"")</f>
        <v/>
      </c>
      <c r="I241" s="19" t="str">
        <f aca="false">IFERROR(INDEX(Exercícios!$D$7:$D$206,MATCH($G241,Exercícios!$B$7:$B$206,0)),"")</f>
        <v/>
      </c>
      <c r="J241" s="19" t="str">
        <f aca="false">IFERROR(INDEX(Exercícios!$E$7:$E$206,MATCH($G241,Exercícios!$B$7:$B$206,0)),"")</f>
        <v/>
      </c>
      <c r="K241" s="22"/>
      <c r="L241" s="22"/>
      <c r="M241" s="20"/>
      <c r="N241" s="22"/>
      <c r="O241" s="22"/>
      <c r="P241" s="22"/>
      <c r="Q241" s="19" t="n">
        <f aca="false">IFERROR($K241*$L241,"")</f>
        <v>0</v>
      </c>
      <c r="R241" s="48" t="n">
        <f aca="false">IF(OR($O241="",$P241=""),0,$O241*$P241)</f>
        <v>0</v>
      </c>
      <c r="S241" s="20"/>
      <c r="T241" s="20"/>
      <c r="U241" s="33" t="n">
        <f aca="false">IF($A241="",0,IF(AND(OR($E241=Atleta!$C$4,$E241="Equipe (todos)"),$A241&gt;=Atleta!$C$5),MAX($U$7:U240)+1,0))</f>
        <v>0</v>
      </c>
    </row>
    <row r="242" customFormat="false" ht="15" hidden="false" customHeight="false" outlineLevel="0" collapsed="false">
      <c r="A242" s="21"/>
      <c r="B242" s="33" t="n">
        <f aca="false">IF($A242="",0,INT(($A242-Macrociclo!$C$11)/7)+1)</f>
        <v>0</v>
      </c>
      <c r="C242" s="22"/>
      <c r="D242" s="22"/>
      <c r="E242" s="20"/>
      <c r="F242" s="22"/>
      <c r="G242" s="20"/>
      <c r="H242" s="19" t="str">
        <f aca="false">IFERROR(INDEX(Exercícios!$C$7:$C$206,MATCH($G242,Exercícios!$B$7:$B$206,0)),"")</f>
        <v/>
      </c>
      <c r="I242" s="19" t="str">
        <f aca="false">IFERROR(INDEX(Exercícios!$D$7:$D$206,MATCH($G242,Exercícios!$B$7:$B$206,0)),"")</f>
        <v/>
      </c>
      <c r="J242" s="19" t="str">
        <f aca="false">IFERROR(INDEX(Exercícios!$E$7:$E$206,MATCH($G242,Exercícios!$B$7:$B$206,0)),"")</f>
        <v/>
      </c>
      <c r="K242" s="22"/>
      <c r="L242" s="22"/>
      <c r="M242" s="20"/>
      <c r="N242" s="22"/>
      <c r="O242" s="22"/>
      <c r="P242" s="22"/>
      <c r="Q242" s="19" t="n">
        <f aca="false">IFERROR($K242*$L242,"")</f>
        <v>0</v>
      </c>
      <c r="R242" s="48" t="n">
        <f aca="false">IF(OR($O242="",$P242=""),0,$O242*$P242)</f>
        <v>0</v>
      </c>
      <c r="S242" s="20"/>
      <c r="T242" s="20"/>
      <c r="U242" s="33" t="n">
        <f aca="false">IF($A242="",0,IF(AND(OR($E242=Atleta!$C$4,$E242="Equipe (todos)"),$A242&gt;=Atleta!$C$5),MAX($U$7:U241)+1,0))</f>
        <v>0</v>
      </c>
    </row>
    <row r="243" customFormat="false" ht="15" hidden="false" customHeight="false" outlineLevel="0" collapsed="false">
      <c r="A243" s="21"/>
      <c r="B243" s="33" t="n">
        <f aca="false">IF($A243="",0,INT(($A243-Macrociclo!$C$11)/7)+1)</f>
        <v>0</v>
      </c>
      <c r="C243" s="22"/>
      <c r="D243" s="22"/>
      <c r="E243" s="20"/>
      <c r="F243" s="22"/>
      <c r="G243" s="20"/>
      <c r="H243" s="19" t="str">
        <f aca="false">IFERROR(INDEX(Exercícios!$C$7:$C$206,MATCH($G243,Exercícios!$B$7:$B$206,0)),"")</f>
        <v/>
      </c>
      <c r="I243" s="19" t="str">
        <f aca="false">IFERROR(INDEX(Exercícios!$D$7:$D$206,MATCH($G243,Exercícios!$B$7:$B$206,0)),"")</f>
        <v/>
      </c>
      <c r="J243" s="19" t="str">
        <f aca="false">IFERROR(INDEX(Exercícios!$E$7:$E$206,MATCH($G243,Exercícios!$B$7:$B$206,0)),"")</f>
        <v/>
      </c>
      <c r="K243" s="22"/>
      <c r="L243" s="22"/>
      <c r="M243" s="20"/>
      <c r="N243" s="22"/>
      <c r="O243" s="22"/>
      <c r="P243" s="22"/>
      <c r="Q243" s="19" t="n">
        <f aca="false">IFERROR($K243*$L243,"")</f>
        <v>0</v>
      </c>
      <c r="R243" s="48" t="n">
        <f aca="false">IF(OR($O243="",$P243=""),0,$O243*$P243)</f>
        <v>0</v>
      </c>
      <c r="S243" s="20"/>
      <c r="T243" s="20"/>
      <c r="U243" s="33" t="n">
        <f aca="false">IF($A243="",0,IF(AND(OR($E243=Atleta!$C$4,$E243="Equipe (todos)"),$A243&gt;=Atleta!$C$5),MAX($U$7:U242)+1,0))</f>
        <v>0</v>
      </c>
    </row>
    <row r="244" customFormat="false" ht="15" hidden="false" customHeight="false" outlineLevel="0" collapsed="false">
      <c r="A244" s="21"/>
      <c r="B244" s="33" t="n">
        <f aca="false">IF($A244="",0,INT(($A244-Macrociclo!$C$11)/7)+1)</f>
        <v>0</v>
      </c>
      <c r="C244" s="22"/>
      <c r="D244" s="22"/>
      <c r="E244" s="20"/>
      <c r="F244" s="22"/>
      <c r="G244" s="20"/>
      <c r="H244" s="19" t="str">
        <f aca="false">IFERROR(INDEX(Exercícios!$C$7:$C$206,MATCH($G244,Exercícios!$B$7:$B$206,0)),"")</f>
        <v/>
      </c>
      <c r="I244" s="19" t="str">
        <f aca="false">IFERROR(INDEX(Exercícios!$D$7:$D$206,MATCH($G244,Exercícios!$B$7:$B$206,0)),"")</f>
        <v/>
      </c>
      <c r="J244" s="19" t="str">
        <f aca="false">IFERROR(INDEX(Exercícios!$E$7:$E$206,MATCH($G244,Exercícios!$B$7:$B$206,0)),"")</f>
        <v/>
      </c>
      <c r="K244" s="22"/>
      <c r="L244" s="22"/>
      <c r="M244" s="20"/>
      <c r="N244" s="22"/>
      <c r="O244" s="22"/>
      <c r="P244" s="22"/>
      <c r="Q244" s="19" t="n">
        <f aca="false">IFERROR($K244*$L244,"")</f>
        <v>0</v>
      </c>
      <c r="R244" s="48" t="n">
        <f aca="false">IF(OR($O244="",$P244=""),0,$O244*$P244)</f>
        <v>0</v>
      </c>
      <c r="S244" s="20"/>
      <c r="T244" s="20"/>
      <c r="U244" s="33" t="n">
        <f aca="false">IF($A244="",0,IF(AND(OR($E244=Atleta!$C$4,$E244="Equipe (todos)"),$A244&gt;=Atleta!$C$5),MAX($U$7:U243)+1,0))</f>
        <v>0</v>
      </c>
    </row>
    <row r="245" customFormat="false" ht="15" hidden="false" customHeight="false" outlineLevel="0" collapsed="false">
      <c r="A245" s="21"/>
      <c r="B245" s="33" t="n">
        <f aca="false">IF($A245="",0,INT(($A245-Macrociclo!$C$11)/7)+1)</f>
        <v>0</v>
      </c>
      <c r="C245" s="22"/>
      <c r="D245" s="22"/>
      <c r="E245" s="20"/>
      <c r="F245" s="22"/>
      <c r="G245" s="20"/>
      <c r="H245" s="19" t="str">
        <f aca="false">IFERROR(INDEX(Exercícios!$C$7:$C$206,MATCH($G245,Exercícios!$B$7:$B$206,0)),"")</f>
        <v/>
      </c>
      <c r="I245" s="19" t="str">
        <f aca="false">IFERROR(INDEX(Exercícios!$D$7:$D$206,MATCH($G245,Exercícios!$B$7:$B$206,0)),"")</f>
        <v/>
      </c>
      <c r="J245" s="19" t="str">
        <f aca="false">IFERROR(INDEX(Exercícios!$E$7:$E$206,MATCH($G245,Exercícios!$B$7:$B$206,0)),"")</f>
        <v/>
      </c>
      <c r="K245" s="22"/>
      <c r="L245" s="22"/>
      <c r="M245" s="20"/>
      <c r="N245" s="22"/>
      <c r="O245" s="22"/>
      <c r="P245" s="22"/>
      <c r="Q245" s="19" t="n">
        <f aca="false">IFERROR($K245*$L245,"")</f>
        <v>0</v>
      </c>
      <c r="R245" s="48" t="n">
        <f aca="false">IF(OR($O245="",$P245=""),0,$O245*$P245)</f>
        <v>0</v>
      </c>
      <c r="S245" s="20"/>
      <c r="T245" s="20"/>
      <c r="U245" s="33" t="n">
        <f aca="false">IF($A245="",0,IF(AND(OR($E245=Atleta!$C$4,$E245="Equipe (todos)"),$A245&gt;=Atleta!$C$5),MAX($U$7:U244)+1,0))</f>
        <v>0</v>
      </c>
    </row>
    <row r="246" customFormat="false" ht="15" hidden="false" customHeight="false" outlineLevel="0" collapsed="false">
      <c r="A246" s="21"/>
      <c r="B246" s="33" t="n">
        <f aca="false">IF($A246="",0,INT(($A246-Macrociclo!$C$11)/7)+1)</f>
        <v>0</v>
      </c>
      <c r="C246" s="22"/>
      <c r="D246" s="22"/>
      <c r="E246" s="20"/>
      <c r="F246" s="22"/>
      <c r="G246" s="20"/>
      <c r="H246" s="19" t="str">
        <f aca="false">IFERROR(INDEX(Exercícios!$C$7:$C$206,MATCH($G246,Exercícios!$B$7:$B$206,0)),"")</f>
        <v/>
      </c>
      <c r="I246" s="19" t="str">
        <f aca="false">IFERROR(INDEX(Exercícios!$D$7:$D$206,MATCH($G246,Exercícios!$B$7:$B$206,0)),"")</f>
        <v/>
      </c>
      <c r="J246" s="19" t="str">
        <f aca="false">IFERROR(INDEX(Exercícios!$E$7:$E$206,MATCH($G246,Exercícios!$B$7:$B$206,0)),"")</f>
        <v/>
      </c>
      <c r="K246" s="22"/>
      <c r="L246" s="22"/>
      <c r="M246" s="20"/>
      <c r="N246" s="22"/>
      <c r="O246" s="22"/>
      <c r="P246" s="22"/>
      <c r="Q246" s="19" t="n">
        <f aca="false">IFERROR($K246*$L246,"")</f>
        <v>0</v>
      </c>
      <c r="R246" s="48" t="n">
        <f aca="false">IF(OR($O246="",$P246=""),0,$O246*$P246)</f>
        <v>0</v>
      </c>
      <c r="S246" s="20"/>
      <c r="T246" s="20"/>
      <c r="U246" s="33" t="n">
        <f aca="false">IF($A246="",0,IF(AND(OR($E246=Atleta!$C$4,$E246="Equipe (todos)"),$A246&gt;=Atleta!$C$5),MAX($U$7:U245)+1,0))</f>
        <v>0</v>
      </c>
    </row>
    <row r="247" customFormat="false" ht="15" hidden="false" customHeight="false" outlineLevel="0" collapsed="false">
      <c r="A247" s="21"/>
      <c r="B247" s="33" t="n">
        <f aca="false">IF($A247="",0,INT(($A247-Macrociclo!$C$11)/7)+1)</f>
        <v>0</v>
      </c>
      <c r="C247" s="22"/>
      <c r="D247" s="22"/>
      <c r="E247" s="20"/>
      <c r="F247" s="22"/>
      <c r="G247" s="20"/>
      <c r="H247" s="19" t="str">
        <f aca="false">IFERROR(INDEX(Exercícios!$C$7:$C$206,MATCH($G247,Exercícios!$B$7:$B$206,0)),"")</f>
        <v/>
      </c>
      <c r="I247" s="19" t="str">
        <f aca="false">IFERROR(INDEX(Exercícios!$D$7:$D$206,MATCH($G247,Exercícios!$B$7:$B$206,0)),"")</f>
        <v/>
      </c>
      <c r="J247" s="19" t="str">
        <f aca="false">IFERROR(INDEX(Exercícios!$E$7:$E$206,MATCH($G247,Exercícios!$B$7:$B$206,0)),"")</f>
        <v/>
      </c>
      <c r="K247" s="22"/>
      <c r="L247" s="22"/>
      <c r="M247" s="20"/>
      <c r="N247" s="22"/>
      <c r="O247" s="22"/>
      <c r="P247" s="22"/>
      <c r="Q247" s="19" t="n">
        <f aca="false">IFERROR($K247*$L247,"")</f>
        <v>0</v>
      </c>
      <c r="R247" s="48" t="n">
        <f aca="false">IF(OR($O247="",$P247=""),0,$O247*$P247)</f>
        <v>0</v>
      </c>
      <c r="S247" s="20"/>
      <c r="T247" s="20"/>
      <c r="U247" s="33" t="n">
        <f aca="false">IF($A247="",0,IF(AND(OR($E247=Atleta!$C$4,$E247="Equipe (todos)"),$A247&gt;=Atleta!$C$5),MAX($U$7:U246)+1,0))</f>
        <v>0</v>
      </c>
    </row>
    <row r="248" customFormat="false" ht="15" hidden="false" customHeight="false" outlineLevel="0" collapsed="false">
      <c r="A248" s="21"/>
      <c r="B248" s="33" t="n">
        <f aca="false">IF($A248="",0,INT(($A248-Macrociclo!$C$11)/7)+1)</f>
        <v>0</v>
      </c>
      <c r="C248" s="22"/>
      <c r="D248" s="22"/>
      <c r="E248" s="20"/>
      <c r="F248" s="22"/>
      <c r="G248" s="20"/>
      <c r="H248" s="19" t="str">
        <f aca="false">IFERROR(INDEX(Exercícios!$C$7:$C$206,MATCH($G248,Exercícios!$B$7:$B$206,0)),"")</f>
        <v/>
      </c>
      <c r="I248" s="19" t="str">
        <f aca="false">IFERROR(INDEX(Exercícios!$D$7:$D$206,MATCH($G248,Exercícios!$B$7:$B$206,0)),"")</f>
        <v/>
      </c>
      <c r="J248" s="19" t="str">
        <f aca="false">IFERROR(INDEX(Exercícios!$E$7:$E$206,MATCH($G248,Exercícios!$B$7:$B$206,0)),"")</f>
        <v/>
      </c>
      <c r="K248" s="22"/>
      <c r="L248" s="22"/>
      <c r="M248" s="20"/>
      <c r="N248" s="22"/>
      <c r="O248" s="22"/>
      <c r="P248" s="22"/>
      <c r="Q248" s="19" t="n">
        <f aca="false">IFERROR($K248*$L248,"")</f>
        <v>0</v>
      </c>
      <c r="R248" s="48" t="n">
        <f aca="false">IF(OR($O248="",$P248=""),0,$O248*$P248)</f>
        <v>0</v>
      </c>
      <c r="S248" s="20"/>
      <c r="T248" s="20"/>
      <c r="U248" s="33" t="n">
        <f aca="false">IF($A248="",0,IF(AND(OR($E248=Atleta!$C$4,$E248="Equipe (todos)"),$A248&gt;=Atleta!$C$5),MAX($U$7:U247)+1,0))</f>
        <v>0</v>
      </c>
    </row>
    <row r="249" customFormat="false" ht="15" hidden="false" customHeight="false" outlineLevel="0" collapsed="false">
      <c r="A249" s="21"/>
      <c r="B249" s="33" t="n">
        <f aca="false">IF($A249="",0,INT(($A249-Macrociclo!$C$11)/7)+1)</f>
        <v>0</v>
      </c>
      <c r="C249" s="22"/>
      <c r="D249" s="22"/>
      <c r="E249" s="20"/>
      <c r="F249" s="22"/>
      <c r="G249" s="20"/>
      <c r="H249" s="19" t="str">
        <f aca="false">IFERROR(INDEX(Exercícios!$C$7:$C$206,MATCH($G249,Exercícios!$B$7:$B$206,0)),"")</f>
        <v/>
      </c>
      <c r="I249" s="19" t="str">
        <f aca="false">IFERROR(INDEX(Exercícios!$D$7:$D$206,MATCH($G249,Exercícios!$B$7:$B$206,0)),"")</f>
        <v/>
      </c>
      <c r="J249" s="19" t="str">
        <f aca="false">IFERROR(INDEX(Exercícios!$E$7:$E$206,MATCH($G249,Exercícios!$B$7:$B$206,0)),"")</f>
        <v/>
      </c>
      <c r="K249" s="22"/>
      <c r="L249" s="22"/>
      <c r="M249" s="20"/>
      <c r="N249" s="22"/>
      <c r="O249" s="22"/>
      <c r="P249" s="22"/>
      <c r="Q249" s="19" t="n">
        <f aca="false">IFERROR($K249*$L249,"")</f>
        <v>0</v>
      </c>
      <c r="R249" s="48" t="n">
        <f aca="false">IF(OR($O249="",$P249=""),0,$O249*$P249)</f>
        <v>0</v>
      </c>
      <c r="S249" s="20"/>
      <c r="T249" s="20"/>
      <c r="U249" s="33" t="n">
        <f aca="false">IF($A249="",0,IF(AND(OR($E249=Atleta!$C$4,$E249="Equipe (todos)"),$A249&gt;=Atleta!$C$5),MAX($U$7:U248)+1,0))</f>
        <v>0</v>
      </c>
    </row>
    <row r="250" customFormat="false" ht="15" hidden="false" customHeight="false" outlineLevel="0" collapsed="false">
      <c r="A250" s="21"/>
      <c r="B250" s="33" t="n">
        <f aca="false">IF($A250="",0,INT(($A250-Macrociclo!$C$11)/7)+1)</f>
        <v>0</v>
      </c>
      <c r="C250" s="22"/>
      <c r="D250" s="22"/>
      <c r="E250" s="20"/>
      <c r="F250" s="22"/>
      <c r="G250" s="20"/>
      <c r="H250" s="19" t="str">
        <f aca="false">IFERROR(INDEX(Exercícios!$C$7:$C$206,MATCH($G250,Exercícios!$B$7:$B$206,0)),"")</f>
        <v/>
      </c>
      <c r="I250" s="19" t="str">
        <f aca="false">IFERROR(INDEX(Exercícios!$D$7:$D$206,MATCH($G250,Exercícios!$B$7:$B$206,0)),"")</f>
        <v/>
      </c>
      <c r="J250" s="19" t="str">
        <f aca="false">IFERROR(INDEX(Exercícios!$E$7:$E$206,MATCH($G250,Exercícios!$B$7:$B$206,0)),"")</f>
        <v/>
      </c>
      <c r="K250" s="22"/>
      <c r="L250" s="22"/>
      <c r="M250" s="20"/>
      <c r="N250" s="22"/>
      <c r="O250" s="22"/>
      <c r="P250" s="22"/>
      <c r="Q250" s="19" t="n">
        <f aca="false">IFERROR($K250*$L250,"")</f>
        <v>0</v>
      </c>
      <c r="R250" s="48" t="n">
        <f aca="false">IF(OR($O250="",$P250=""),0,$O250*$P250)</f>
        <v>0</v>
      </c>
      <c r="S250" s="20"/>
      <c r="T250" s="20"/>
      <c r="U250" s="33" t="n">
        <f aca="false">IF($A250="",0,IF(AND(OR($E250=Atleta!$C$4,$E250="Equipe (todos)"),$A250&gt;=Atleta!$C$5),MAX($U$7:U249)+1,0))</f>
        <v>0</v>
      </c>
    </row>
    <row r="251" customFormat="false" ht="15" hidden="false" customHeight="false" outlineLevel="0" collapsed="false">
      <c r="A251" s="21"/>
      <c r="B251" s="33" t="n">
        <f aca="false">IF($A251="",0,INT(($A251-Macrociclo!$C$11)/7)+1)</f>
        <v>0</v>
      </c>
      <c r="C251" s="22"/>
      <c r="D251" s="22"/>
      <c r="E251" s="20"/>
      <c r="F251" s="22"/>
      <c r="G251" s="20"/>
      <c r="H251" s="19" t="str">
        <f aca="false">IFERROR(INDEX(Exercícios!$C$7:$C$206,MATCH($G251,Exercícios!$B$7:$B$206,0)),"")</f>
        <v/>
      </c>
      <c r="I251" s="19" t="str">
        <f aca="false">IFERROR(INDEX(Exercícios!$D$7:$D$206,MATCH($G251,Exercícios!$B$7:$B$206,0)),"")</f>
        <v/>
      </c>
      <c r="J251" s="19" t="str">
        <f aca="false">IFERROR(INDEX(Exercícios!$E$7:$E$206,MATCH($G251,Exercícios!$B$7:$B$206,0)),"")</f>
        <v/>
      </c>
      <c r="K251" s="22"/>
      <c r="L251" s="22"/>
      <c r="M251" s="20"/>
      <c r="N251" s="22"/>
      <c r="O251" s="22"/>
      <c r="P251" s="22"/>
      <c r="Q251" s="19" t="n">
        <f aca="false">IFERROR($K251*$L251,"")</f>
        <v>0</v>
      </c>
      <c r="R251" s="48" t="n">
        <f aca="false">IF(OR($O251="",$P251=""),0,$O251*$P251)</f>
        <v>0</v>
      </c>
      <c r="S251" s="20"/>
      <c r="T251" s="20"/>
      <c r="U251" s="33" t="n">
        <f aca="false">IF($A251="",0,IF(AND(OR($E251=Atleta!$C$4,$E251="Equipe (todos)"),$A251&gt;=Atleta!$C$5),MAX($U$7:U250)+1,0))</f>
        <v>0</v>
      </c>
    </row>
    <row r="252" customFormat="false" ht="15" hidden="false" customHeight="false" outlineLevel="0" collapsed="false">
      <c r="A252" s="21"/>
      <c r="B252" s="33" t="n">
        <f aca="false">IF($A252="",0,INT(($A252-Macrociclo!$C$11)/7)+1)</f>
        <v>0</v>
      </c>
      <c r="C252" s="22"/>
      <c r="D252" s="22"/>
      <c r="E252" s="20"/>
      <c r="F252" s="22"/>
      <c r="G252" s="20"/>
      <c r="H252" s="19" t="str">
        <f aca="false">IFERROR(INDEX(Exercícios!$C$7:$C$206,MATCH($G252,Exercícios!$B$7:$B$206,0)),"")</f>
        <v/>
      </c>
      <c r="I252" s="19" t="str">
        <f aca="false">IFERROR(INDEX(Exercícios!$D$7:$D$206,MATCH($G252,Exercícios!$B$7:$B$206,0)),"")</f>
        <v/>
      </c>
      <c r="J252" s="19" t="str">
        <f aca="false">IFERROR(INDEX(Exercícios!$E$7:$E$206,MATCH($G252,Exercícios!$B$7:$B$206,0)),"")</f>
        <v/>
      </c>
      <c r="K252" s="22"/>
      <c r="L252" s="22"/>
      <c r="M252" s="20"/>
      <c r="N252" s="22"/>
      <c r="O252" s="22"/>
      <c r="P252" s="22"/>
      <c r="Q252" s="19" t="n">
        <f aca="false">IFERROR($K252*$L252,"")</f>
        <v>0</v>
      </c>
      <c r="R252" s="48" t="n">
        <f aca="false">IF(OR($O252="",$P252=""),0,$O252*$P252)</f>
        <v>0</v>
      </c>
      <c r="S252" s="20"/>
      <c r="T252" s="20"/>
      <c r="U252" s="33" t="n">
        <f aca="false">IF($A252="",0,IF(AND(OR($E252=Atleta!$C$4,$E252="Equipe (todos)"),$A252&gt;=Atleta!$C$5),MAX($U$7:U251)+1,0))</f>
        <v>0</v>
      </c>
    </row>
    <row r="253" customFormat="false" ht="15" hidden="false" customHeight="false" outlineLevel="0" collapsed="false">
      <c r="A253" s="21"/>
      <c r="B253" s="33" t="n">
        <f aca="false">IF($A253="",0,INT(($A253-Macrociclo!$C$11)/7)+1)</f>
        <v>0</v>
      </c>
      <c r="C253" s="22"/>
      <c r="D253" s="22"/>
      <c r="E253" s="20"/>
      <c r="F253" s="22"/>
      <c r="G253" s="20"/>
      <c r="H253" s="19" t="str">
        <f aca="false">IFERROR(INDEX(Exercícios!$C$7:$C$206,MATCH($G253,Exercícios!$B$7:$B$206,0)),"")</f>
        <v/>
      </c>
      <c r="I253" s="19" t="str">
        <f aca="false">IFERROR(INDEX(Exercícios!$D$7:$D$206,MATCH($G253,Exercícios!$B$7:$B$206,0)),"")</f>
        <v/>
      </c>
      <c r="J253" s="19" t="str">
        <f aca="false">IFERROR(INDEX(Exercícios!$E$7:$E$206,MATCH($G253,Exercícios!$B$7:$B$206,0)),"")</f>
        <v/>
      </c>
      <c r="K253" s="22"/>
      <c r="L253" s="22"/>
      <c r="M253" s="20"/>
      <c r="N253" s="22"/>
      <c r="O253" s="22"/>
      <c r="P253" s="22"/>
      <c r="Q253" s="19" t="n">
        <f aca="false">IFERROR($K253*$L253,"")</f>
        <v>0</v>
      </c>
      <c r="R253" s="48" t="n">
        <f aca="false">IF(OR($O253="",$P253=""),0,$O253*$P253)</f>
        <v>0</v>
      </c>
      <c r="S253" s="20"/>
      <c r="T253" s="20"/>
      <c r="U253" s="33" t="n">
        <f aca="false">IF($A253="",0,IF(AND(OR($E253=Atleta!$C$4,$E253="Equipe (todos)"),$A253&gt;=Atleta!$C$5),MAX($U$7:U252)+1,0))</f>
        <v>0</v>
      </c>
    </row>
    <row r="254" customFormat="false" ht="15" hidden="false" customHeight="false" outlineLevel="0" collapsed="false">
      <c r="A254" s="21"/>
      <c r="B254" s="33" t="n">
        <f aca="false">IF($A254="",0,INT(($A254-Macrociclo!$C$11)/7)+1)</f>
        <v>0</v>
      </c>
      <c r="C254" s="22"/>
      <c r="D254" s="22"/>
      <c r="E254" s="20"/>
      <c r="F254" s="22"/>
      <c r="G254" s="20"/>
      <c r="H254" s="19" t="str">
        <f aca="false">IFERROR(INDEX(Exercícios!$C$7:$C$206,MATCH($G254,Exercícios!$B$7:$B$206,0)),"")</f>
        <v/>
      </c>
      <c r="I254" s="19" t="str">
        <f aca="false">IFERROR(INDEX(Exercícios!$D$7:$D$206,MATCH($G254,Exercícios!$B$7:$B$206,0)),"")</f>
        <v/>
      </c>
      <c r="J254" s="19" t="str">
        <f aca="false">IFERROR(INDEX(Exercícios!$E$7:$E$206,MATCH($G254,Exercícios!$B$7:$B$206,0)),"")</f>
        <v/>
      </c>
      <c r="K254" s="22"/>
      <c r="L254" s="22"/>
      <c r="M254" s="20"/>
      <c r="N254" s="22"/>
      <c r="O254" s="22"/>
      <c r="P254" s="22"/>
      <c r="Q254" s="19" t="n">
        <f aca="false">IFERROR($K254*$L254,"")</f>
        <v>0</v>
      </c>
      <c r="R254" s="48" t="n">
        <f aca="false">IF(OR($O254="",$P254=""),0,$O254*$P254)</f>
        <v>0</v>
      </c>
      <c r="S254" s="20"/>
      <c r="T254" s="20"/>
      <c r="U254" s="33" t="n">
        <f aca="false">IF($A254="",0,IF(AND(OR($E254=Atleta!$C$4,$E254="Equipe (todos)"),$A254&gt;=Atleta!$C$5),MAX($U$7:U253)+1,0))</f>
        <v>0</v>
      </c>
    </row>
    <row r="255" customFormat="false" ht="15" hidden="false" customHeight="false" outlineLevel="0" collapsed="false">
      <c r="A255" s="21"/>
      <c r="B255" s="33" t="n">
        <f aca="false">IF($A255="",0,INT(($A255-Macrociclo!$C$11)/7)+1)</f>
        <v>0</v>
      </c>
      <c r="C255" s="22"/>
      <c r="D255" s="22"/>
      <c r="E255" s="20"/>
      <c r="F255" s="22"/>
      <c r="G255" s="20"/>
      <c r="H255" s="19" t="str">
        <f aca="false">IFERROR(INDEX(Exercícios!$C$7:$C$206,MATCH($G255,Exercícios!$B$7:$B$206,0)),"")</f>
        <v/>
      </c>
      <c r="I255" s="19" t="str">
        <f aca="false">IFERROR(INDEX(Exercícios!$D$7:$D$206,MATCH($G255,Exercícios!$B$7:$B$206,0)),"")</f>
        <v/>
      </c>
      <c r="J255" s="19" t="str">
        <f aca="false">IFERROR(INDEX(Exercícios!$E$7:$E$206,MATCH($G255,Exercícios!$B$7:$B$206,0)),"")</f>
        <v/>
      </c>
      <c r="K255" s="22"/>
      <c r="L255" s="22"/>
      <c r="M255" s="20"/>
      <c r="N255" s="22"/>
      <c r="O255" s="22"/>
      <c r="P255" s="22"/>
      <c r="Q255" s="19" t="n">
        <f aca="false">IFERROR($K255*$L255,"")</f>
        <v>0</v>
      </c>
      <c r="R255" s="48" t="n">
        <f aca="false">IF(OR($O255="",$P255=""),0,$O255*$P255)</f>
        <v>0</v>
      </c>
      <c r="S255" s="20"/>
      <c r="T255" s="20"/>
      <c r="U255" s="33" t="n">
        <f aca="false">IF($A255="",0,IF(AND(OR($E255=Atleta!$C$4,$E255="Equipe (todos)"),$A255&gt;=Atleta!$C$5),MAX($U$7:U254)+1,0))</f>
        <v>0</v>
      </c>
    </row>
    <row r="256" customFormat="false" ht="15" hidden="false" customHeight="false" outlineLevel="0" collapsed="false">
      <c r="A256" s="21"/>
      <c r="B256" s="33" t="n">
        <f aca="false">IF($A256="",0,INT(($A256-Macrociclo!$C$11)/7)+1)</f>
        <v>0</v>
      </c>
      <c r="C256" s="22"/>
      <c r="D256" s="22"/>
      <c r="E256" s="20"/>
      <c r="F256" s="22"/>
      <c r="G256" s="20"/>
      <c r="H256" s="19" t="str">
        <f aca="false">IFERROR(INDEX(Exercícios!$C$7:$C$206,MATCH($G256,Exercícios!$B$7:$B$206,0)),"")</f>
        <v/>
      </c>
      <c r="I256" s="19" t="str">
        <f aca="false">IFERROR(INDEX(Exercícios!$D$7:$D$206,MATCH($G256,Exercícios!$B$7:$B$206,0)),"")</f>
        <v/>
      </c>
      <c r="J256" s="19" t="str">
        <f aca="false">IFERROR(INDEX(Exercícios!$E$7:$E$206,MATCH($G256,Exercícios!$B$7:$B$206,0)),"")</f>
        <v/>
      </c>
      <c r="K256" s="22"/>
      <c r="L256" s="22"/>
      <c r="M256" s="20"/>
      <c r="N256" s="22"/>
      <c r="O256" s="22"/>
      <c r="P256" s="22"/>
      <c r="Q256" s="19" t="n">
        <f aca="false">IFERROR($K256*$L256,"")</f>
        <v>0</v>
      </c>
      <c r="R256" s="48" t="n">
        <f aca="false">IF(OR($O256="",$P256=""),0,$O256*$P256)</f>
        <v>0</v>
      </c>
      <c r="S256" s="20"/>
      <c r="T256" s="20"/>
      <c r="U256" s="33" t="n">
        <f aca="false">IF($A256="",0,IF(AND(OR($E256=Atleta!$C$4,$E256="Equipe (todos)"),$A256&gt;=Atleta!$C$5),MAX($U$7:U255)+1,0))</f>
        <v>0</v>
      </c>
    </row>
    <row r="257" customFormat="false" ht="15" hidden="false" customHeight="false" outlineLevel="0" collapsed="false">
      <c r="A257" s="21"/>
      <c r="B257" s="33" t="n">
        <f aca="false">IF($A257="",0,INT(($A257-Macrociclo!$C$11)/7)+1)</f>
        <v>0</v>
      </c>
      <c r="C257" s="22"/>
      <c r="D257" s="22"/>
      <c r="E257" s="20"/>
      <c r="F257" s="22"/>
      <c r="G257" s="20"/>
      <c r="H257" s="19" t="str">
        <f aca="false">IFERROR(INDEX(Exercícios!$C$7:$C$206,MATCH($G257,Exercícios!$B$7:$B$206,0)),"")</f>
        <v/>
      </c>
      <c r="I257" s="19" t="str">
        <f aca="false">IFERROR(INDEX(Exercícios!$D$7:$D$206,MATCH($G257,Exercícios!$B$7:$B$206,0)),"")</f>
        <v/>
      </c>
      <c r="J257" s="19" t="str">
        <f aca="false">IFERROR(INDEX(Exercícios!$E$7:$E$206,MATCH($G257,Exercícios!$B$7:$B$206,0)),"")</f>
        <v/>
      </c>
      <c r="K257" s="22"/>
      <c r="L257" s="22"/>
      <c r="M257" s="20"/>
      <c r="N257" s="22"/>
      <c r="O257" s="22"/>
      <c r="P257" s="22"/>
      <c r="Q257" s="19" t="n">
        <f aca="false">IFERROR($K257*$L257,"")</f>
        <v>0</v>
      </c>
      <c r="R257" s="48" t="n">
        <f aca="false">IF(OR($O257="",$P257=""),0,$O257*$P257)</f>
        <v>0</v>
      </c>
      <c r="S257" s="20"/>
      <c r="T257" s="20"/>
      <c r="U257" s="33" t="n">
        <f aca="false">IF($A257="",0,IF(AND(OR($E257=Atleta!$C$4,$E257="Equipe (todos)"),$A257&gt;=Atleta!$C$5),MAX($U$7:U256)+1,0))</f>
        <v>0</v>
      </c>
    </row>
    <row r="258" customFormat="false" ht="15" hidden="false" customHeight="false" outlineLevel="0" collapsed="false">
      <c r="A258" s="21"/>
      <c r="B258" s="33" t="n">
        <f aca="false">IF($A258="",0,INT(($A258-Macrociclo!$C$11)/7)+1)</f>
        <v>0</v>
      </c>
      <c r="C258" s="22"/>
      <c r="D258" s="22"/>
      <c r="E258" s="20"/>
      <c r="F258" s="22"/>
      <c r="G258" s="20"/>
      <c r="H258" s="19" t="str">
        <f aca="false">IFERROR(INDEX(Exercícios!$C$7:$C$206,MATCH($G258,Exercícios!$B$7:$B$206,0)),"")</f>
        <v/>
      </c>
      <c r="I258" s="19" t="str">
        <f aca="false">IFERROR(INDEX(Exercícios!$D$7:$D$206,MATCH($G258,Exercícios!$B$7:$B$206,0)),"")</f>
        <v/>
      </c>
      <c r="J258" s="19" t="str">
        <f aca="false">IFERROR(INDEX(Exercícios!$E$7:$E$206,MATCH($G258,Exercícios!$B$7:$B$206,0)),"")</f>
        <v/>
      </c>
      <c r="K258" s="22"/>
      <c r="L258" s="22"/>
      <c r="M258" s="20"/>
      <c r="N258" s="22"/>
      <c r="O258" s="22"/>
      <c r="P258" s="22"/>
      <c r="Q258" s="19" t="n">
        <f aca="false">IFERROR($K258*$L258,"")</f>
        <v>0</v>
      </c>
      <c r="R258" s="48" t="n">
        <f aca="false">IF(OR($O258="",$P258=""),0,$O258*$P258)</f>
        <v>0</v>
      </c>
      <c r="S258" s="20"/>
      <c r="T258" s="20"/>
      <c r="U258" s="33" t="n">
        <f aca="false">IF($A258="",0,IF(AND(OR($E258=Atleta!$C$4,$E258="Equipe (todos)"),$A258&gt;=Atleta!$C$5),MAX($U$7:U257)+1,0))</f>
        <v>0</v>
      </c>
    </row>
    <row r="259" customFormat="false" ht="15" hidden="false" customHeight="false" outlineLevel="0" collapsed="false">
      <c r="A259" s="21"/>
      <c r="B259" s="33" t="n">
        <f aca="false">IF($A259="",0,INT(($A259-Macrociclo!$C$11)/7)+1)</f>
        <v>0</v>
      </c>
      <c r="C259" s="22"/>
      <c r="D259" s="22"/>
      <c r="E259" s="20"/>
      <c r="F259" s="22"/>
      <c r="G259" s="20"/>
      <c r="H259" s="19" t="str">
        <f aca="false">IFERROR(INDEX(Exercícios!$C$7:$C$206,MATCH($G259,Exercícios!$B$7:$B$206,0)),"")</f>
        <v/>
      </c>
      <c r="I259" s="19" t="str">
        <f aca="false">IFERROR(INDEX(Exercícios!$D$7:$D$206,MATCH($G259,Exercícios!$B$7:$B$206,0)),"")</f>
        <v/>
      </c>
      <c r="J259" s="19" t="str">
        <f aca="false">IFERROR(INDEX(Exercícios!$E$7:$E$206,MATCH($G259,Exercícios!$B$7:$B$206,0)),"")</f>
        <v/>
      </c>
      <c r="K259" s="22"/>
      <c r="L259" s="22"/>
      <c r="M259" s="20"/>
      <c r="N259" s="22"/>
      <c r="O259" s="22"/>
      <c r="P259" s="22"/>
      <c r="Q259" s="19" t="n">
        <f aca="false">IFERROR($K259*$L259,"")</f>
        <v>0</v>
      </c>
      <c r="R259" s="48" t="n">
        <f aca="false">IF(OR($O259="",$P259=""),0,$O259*$P259)</f>
        <v>0</v>
      </c>
      <c r="S259" s="20"/>
      <c r="T259" s="20"/>
      <c r="U259" s="33" t="n">
        <f aca="false">IF($A259="",0,IF(AND(OR($E259=Atleta!$C$4,$E259="Equipe (todos)"),$A259&gt;=Atleta!$C$5),MAX($U$7:U258)+1,0))</f>
        <v>0</v>
      </c>
    </row>
    <row r="260" customFormat="false" ht="15" hidden="false" customHeight="false" outlineLevel="0" collapsed="false">
      <c r="A260" s="21"/>
      <c r="B260" s="33" t="n">
        <f aca="false">IF($A260="",0,INT(($A260-Macrociclo!$C$11)/7)+1)</f>
        <v>0</v>
      </c>
      <c r="C260" s="22"/>
      <c r="D260" s="22"/>
      <c r="E260" s="20"/>
      <c r="F260" s="22"/>
      <c r="G260" s="20"/>
      <c r="H260" s="19" t="str">
        <f aca="false">IFERROR(INDEX(Exercícios!$C$7:$C$206,MATCH($G260,Exercícios!$B$7:$B$206,0)),"")</f>
        <v/>
      </c>
      <c r="I260" s="19" t="str">
        <f aca="false">IFERROR(INDEX(Exercícios!$D$7:$D$206,MATCH($G260,Exercícios!$B$7:$B$206,0)),"")</f>
        <v/>
      </c>
      <c r="J260" s="19" t="str">
        <f aca="false">IFERROR(INDEX(Exercícios!$E$7:$E$206,MATCH($G260,Exercícios!$B$7:$B$206,0)),"")</f>
        <v/>
      </c>
      <c r="K260" s="22"/>
      <c r="L260" s="22"/>
      <c r="M260" s="20"/>
      <c r="N260" s="22"/>
      <c r="O260" s="22"/>
      <c r="P260" s="22"/>
      <c r="Q260" s="19" t="n">
        <f aca="false">IFERROR($K260*$L260,"")</f>
        <v>0</v>
      </c>
      <c r="R260" s="48" t="n">
        <f aca="false">IF(OR($O260="",$P260=""),0,$O260*$P260)</f>
        <v>0</v>
      </c>
      <c r="S260" s="20"/>
      <c r="T260" s="20"/>
      <c r="U260" s="33" t="n">
        <f aca="false">IF($A260="",0,IF(AND(OR($E260=Atleta!$C$4,$E260="Equipe (todos)"),$A260&gt;=Atleta!$C$5),MAX($U$7:U259)+1,0))</f>
        <v>0</v>
      </c>
    </row>
    <row r="261" customFormat="false" ht="15" hidden="false" customHeight="false" outlineLevel="0" collapsed="false">
      <c r="A261" s="21"/>
      <c r="B261" s="33" t="n">
        <f aca="false">IF($A261="",0,INT(($A261-Macrociclo!$C$11)/7)+1)</f>
        <v>0</v>
      </c>
      <c r="C261" s="22"/>
      <c r="D261" s="22"/>
      <c r="E261" s="20"/>
      <c r="F261" s="22"/>
      <c r="G261" s="20"/>
      <c r="H261" s="19" t="str">
        <f aca="false">IFERROR(INDEX(Exercícios!$C$7:$C$206,MATCH($G261,Exercícios!$B$7:$B$206,0)),"")</f>
        <v/>
      </c>
      <c r="I261" s="19" t="str">
        <f aca="false">IFERROR(INDEX(Exercícios!$D$7:$D$206,MATCH($G261,Exercícios!$B$7:$B$206,0)),"")</f>
        <v/>
      </c>
      <c r="J261" s="19" t="str">
        <f aca="false">IFERROR(INDEX(Exercícios!$E$7:$E$206,MATCH($G261,Exercícios!$B$7:$B$206,0)),"")</f>
        <v/>
      </c>
      <c r="K261" s="22"/>
      <c r="L261" s="22"/>
      <c r="M261" s="20"/>
      <c r="N261" s="22"/>
      <c r="O261" s="22"/>
      <c r="P261" s="22"/>
      <c r="Q261" s="19" t="n">
        <f aca="false">IFERROR($K261*$L261,"")</f>
        <v>0</v>
      </c>
      <c r="R261" s="48" t="n">
        <f aca="false">IF(OR($O261="",$P261=""),0,$O261*$P261)</f>
        <v>0</v>
      </c>
      <c r="S261" s="20"/>
      <c r="T261" s="20"/>
      <c r="U261" s="33" t="n">
        <f aca="false">IF($A261="",0,IF(AND(OR($E261=Atleta!$C$4,$E261="Equipe (todos)"),$A261&gt;=Atleta!$C$5),MAX($U$7:U260)+1,0))</f>
        <v>0</v>
      </c>
    </row>
    <row r="262" customFormat="false" ht="15" hidden="false" customHeight="false" outlineLevel="0" collapsed="false">
      <c r="A262" s="21"/>
      <c r="B262" s="33" t="n">
        <f aca="false">IF($A262="",0,INT(($A262-Macrociclo!$C$11)/7)+1)</f>
        <v>0</v>
      </c>
      <c r="C262" s="22"/>
      <c r="D262" s="22"/>
      <c r="E262" s="20"/>
      <c r="F262" s="22"/>
      <c r="G262" s="20"/>
      <c r="H262" s="19" t="str">
        <f aca="false">IFERROR(INDEX(Exercícios!$C$7:$C$206,MATCH($G262,Exercícios!$B$7:$B$206,0)),"")</f>
        <v/>
      </c>
      <c r="I262" s="19" t="str">
        <f aca="false">IFERROR(INDEX(Exercícios!$D$7:$D$206,MATCH($G262,Exercícios!$B$7:$B$206,0)),"")</f>
        <v/>
      </c>
      <c r="J262" s="19" t="str">
        <f aca="false">IFERROR(INDEX(Exercícios!$E$7:$E$206,MATCH($G262,Exercícios!$B$7:$B$206,0)),"")</f>
        <v/>
      </c>
      <c r="K262" s="22"/>
      <c r="L262" s="22"/>
      <c r="M262" s="20"/>
      <c r="N262" s="22"/>
      <c r="O262" s="22"/>
      <c r="P262" s="22"/>
      <c r="Q262" s="19" t="n">
        <f aca="false">IFERROR($K262*$L262,"")</f>
        <v>0</v>
      </c>
      <c r="R262" s="48" t="n">
        <f aca="false">IF(OR($O262="",$P262=""),0,$O262*$P262)</f>
        <v>0</v>
      </c>
      <c r="S262" s="20"/>
      <c r="T262" s="20"/>
      <c r="U262" s="33" t="n">
        <f aca="false">IF($A262="",0,IF(AND(OR($E262=Atleta!$C$4,$E262="Equipe (todos)"),$A262&gt;=Atleta!$C$5),MAX($U$7:U261)+1,0))</f>
        <v>0</v>
      </c>
    </row>
    <row r="263" customFormat="false" ht="15" hidden="false" customHeight="false" outlineLevel="0" collapsed="false">
      <c r="A263" s="21"/>
      <c r="B263" s="33" t="n">
        <f aca="false">IF($A263="",0,INT(($A263-Macrociclo!$C$11)/7)+1)</f>
        <v>0</v>
      </c>
      <c r="C263" s="22"/>
      <c r="D263" s="22"/>
      <c r="E263" s="20"/>
      <c r="F263" s="22"/>
      <c r="G263" s="20"/>
      <c r="H263" s="19" t="str">
        <f aca="false">IFERROR(INDEX(Exercícios!$C$7:$C$206,MATCH($G263,Exercícios!$B$7:$B$206,0)),"")</f>
        <v/>
      </c>
      <c r="I263" s="19" t="str">
        <f aca="false">IFERROR(INDEX(Exercícios!$D$7:$D$206,MATCH($G263,Exercícios!$B$7:$B$206,0)),"")</f>
        <v/>
      </c>
      <c r="J263" s="19" t="str">
        <f aca="false">IFERROR(INDEX(Exercícios!$E$7:$E$206,MATCH($G263,Exercícios!$B$7:$B$206,0)),"")</f>
        <v/>
      </c>
      <c r="K263" s="22"/>
      <c r="L263" s="22"/>
      <c r="M263" s="20"/>
      <c r="N263" s="22"/>
      <c r="O263" s="22"/>
      <c r="P263" s="22"/>
      <c r="Q263" s="19" t="n">
        <f aca="false">IFERROR($K263*$L263,"")</f>
        <v>0</v>
      </c>
      <c r="R263" s="48" t="n">
        <f aca="false">IF(OR($O263="",$P263=""),0,$O263*$P263)</f>
        <v>0</v>
      </c>
      <c r="S263" s="20"/>
      <c r="T263" s="20"/>
      <c r="U263" s="33" t="n">
        <f aca="false">IF($A263="",0,IF(AND(OR($E263=Atleta!$C$4,$E263="Equipe (todos)"),$A263&gt;=Atleta!$C$5),MAX($U$7:U262)+1,0))</f>
        <v>0</v>
      </c>
    </row>
    <row r="264" customFormat="false" ht="15" hidden="false" customHeight="false" outlineLevel="0" collapsed="false">
      <c r="A264" s="21"/>
      <c r="B264" s="33" t="n">
        <f aca="false">IF($A264="",0,INT(($A264-Macrociclo!$C$11)/7)+1)</f>
        <v>0</v>
      </c>
      <c r="C264" s="22"/>
      <c r="D264" s="22"/>
      <c r="E264" s="20"/>
      <c r="F264" s="22"/>
      <c r="G264" s="20"/>
      <c r="H264" s="19" t="str">
        <f aca="false">IFERROR(INDEX(Exercícios!$C$7:$C$206,MATCH($G264,Exercícios!$B$7:$B$206,0)),"")</f>
        <v/>
      </c>
      <c r="I264" s="19" t="str">
        <f aca="false">IFERROR(INDEX(Exercícios!$D$7:$D$206,MATCH($G264,Exercícios!$B$7:$B$206,0)),"")</f>
        <v/>
      </c>
      <c r="J264" s="19" t="str">
        <f aca="false">IFERROR(INDEX(Exercícios!$E$7:$E$206,MATCH($G264,Exercícios!$B$7:$B$206,0)),"")</f>
        <v/>
      </c>
      <c r="K264" s="22"/>
      <c r="L264" s="22"/>
      <c r="M264" s="20"/>
      <c r="N264" s="22"/>
      <c r="O264" s="22"/>
      <c r="P264" s="22"/>
      <c r="Q264" s="19" t="n">
        <f aca="false">IFERROR($K264*$L264,"")</f>
        <v>0</v>
      </c>
      <c r="R264" s="48" t="n">
        <f aca="false">IF(OR($O264="",$P264=""),0,$O264*$P264)</f>
        <v>0</v>
      </c>
      <c r="S264" s="20"/>
      <c r="T264" s="20"/>
      <c r="U264" s="33" t="n">
        <f aca="false">IF($A264="",0,IF(AND(OR($E264=Atleta!$C$4,$E264="Equipe (todos)"),$A264&gt;=Atleta!$C$5),MAX($U$7:U263)+1,0))</f>
        <v>0</v>
      </c>
    </row>
    <row r="265" customFormat="false" ht="15" hidden="false" customHeight="false" outlineLevel="0" collapsed="false">
      <c r="A265" s="21"/>
      <c r="B265" s="33" t="n">
        <f aca="false">IF($A265="",0,INT(($A265-Macrociclo!$C$11)/7)+1)</f>
        <v>0</v>
      </c>
      <c r="C265" s="22"/>
      <c r="D265" s="22"/>
      <c r="E265" s="20"/>
      <c r="F265" s="22"/>
      <c r="G265" s="20"/>
      <c r="H265" s="19" t="str">
        <f aca="false">IFERROR(INDEX(Exercícios!$C$7:$C$206,MATCH($G265,Exercícios!$B$7:$B$206,0)),"")</f>
        <v/>
      </c>
      <c r="I265" s="19" t="str">
        <f aca="false">IFERROR(INDEX(Exercícios!$D$7:$D$206,MATCH($G265,Exercícios!$B$7:$B$206,0)),"")</f>
        <v/>
      </c>
      <c r="J265" s="19" t="str">
        <f aca="false">IFERROR(INDEX(Exercícios!$E$7:$E$206,MATCH($G265,Exercícios!$B$7:$B$206,0)),"")</f>
        <v/>
      </c>
      <c r="K265" s="22"/>
      <c r="L265" s="22"/>
      <c r="M265" s="20"/>
      <c r="N265" s="22"/>
      <c r="O265" s="22"/>
      <c r="P265" s="22"/>
      <c r="Q265" s="19" t="n">
        <f aca="false">IFERROR($K265*$L265,"")</f>
        <v>0</v>
      </c>
      <c r="R265" s="48" t="n">
        <f aca="false">IF(OR($O265="",$P265=""),0,$O265*$P265)</f>
        <v>0</v>
      </c>
      <c r="S265" s="20"/>
      <c r="T265" s="20"/>
      <c r="U265" s="33" t="n">
        <f aca="false">IF($A265="",0,IF(AND(OR($E265=Atleta!$C$4,$E265="Equipe (todos)"),$A265&gt;=Atleta!$C$5),MAX($U$7:U264)+1,0))</f>
        <v>0</v>
      </c>
    </row>
    <row r="266" customFormat="false" ht="15" hidden="false" customHeight="false" outlineLevel="0" collapsed="false">
      <c r="A266" s="21"/>
      <c r="B266" s="33" t="n">
        <f aca="false">IF($A266="",0,INT(($A266-Macrociclo!$C$11)/7)+1)</f>
        <v>0</v>
      </c>
      <c r="C266" s="22"/>
      <c r="D266" s="22"/>
      <c r="E266" s="20"/>
      <c r="F266" s="22"/>
      <c r="G266" s="20"/>
      <c r="H266" s="19" t="str">
        <f aca="false">IFERROR(INDEX(Exercícios!$C$7:$C$206,MATCH($G266,Exercícios!$B$7:$B$206,0)),"")</f>
        <v/>
      </c>
      <c r="I266" s="19" t="str">
        <f aca="false">IFERROR(INDEX(Exercícios!$D$7:$D$206,MATCH($G266,Exercícios!$B$7:$B$206,0)),"")</f>
        <v/>
      </c>
      <c r="J266" s="19" t="str">
        <f aca="false">IFERROR(INDEX(Exercícios!$E$7:$E$206,MATCH($G266,Exercícios!$B$7:$B$206,0)),"")</f>
        <v/>
      </c>
      <c r="K266" s="22"/>
      <c r="L266" s="22"/>
      <c r="M266" s="20"/>
      <c r="N266" s="22"/>
      <c r="O266" s="22"/>
      <c r="P266" s="22"/>
      <c r="Q266" s="19" t="n">
        <f aca="false">IFERROR($K266*$L266,"")</f>
        <v>0</v>
      </c>
      <c r="R266" s="48" t="n">
        <f aca="false">IF(OR($O266="",$P266=""),0,$O266*$P266)</f>
        <v>0</v>
      </c>
      <c r="S266" s="20"/>
      <c r="T266" s="20"/>
      <c r="U266" s="33" t="n">
        <f aca="false">IF($A266="",0,IF(AND(OR($E266=Atleta!$C$4,$E266="Equipe (todos)"),$A266&gt;=Atleta!$C$5),MAX($U$7:U265)+1,0))</f>
        <v>0</v>
      </c>
    </row>
    <row r="267" customFormat="false" ht="15" hidden="false" customHeight="false" outlineLevel="0" collapsed="false">
      <c r="A267" s="21"/>
      <c r="B267" s="33" t="n">
        <f aca="false">IF($A267="",0,INT(($A267-Macrociclo!$C$11)/7)+1)</f>
        <v>0</v>
      </c>
      <c r="C267" s="22"/>
      <c r="D267" s="22"/>
      <c r="E267" s="20"/>
      <c r="F267" s="22"/>
      <c r="G267" s="20"/>
      <c r="H267" s="19" t="str">
        <f aca="false">IFERROR(INDEX(Exercícios!$C$7:$C$206,MATCH($G267,Exercícios!$B$7:$B$206,0)),"")</f>
        <v/>
      </c>
      <c r="I267" s="19" t="str">
        <f aca="false">IFERROR(INDEX(Exercícios!$D$7:$D$206,MATCH($G267,Exercícios!$B$7:$B$206,0)),"")</f>
        <v/>
      </c>
      <c r="J267" s="19" t="str">
        <f aca="false">IFERROR(INDEX(Exercícios!$E$7:$E$206,MATCH($G267,Exercícios!$B$7:$B$206,0)),"")</f>
        <v/>
      </c>
      <c r="K267" s="22"/>
      <c r="L267" s="22"/>
      <c r="M267" s="20"/>
      <c r="N267" s="22"/>
      <c r="O267" s="22"/>
      <c r="P267" s="22"/>
      <c r="Q267" s="19" t="n">
        <f aca="false">IFERROR($K267*$L267,"")</f>
        <v>0</v>
      </c>
      <c r="R267" s="48" t="n">
        <f aca="false">IF(OR($O267="",$P267=""),0,$O267*$P267)</f>
        <v>0</v>
      </c>
      <c r="S267" s="20"/>
      <c r="T267" s="20"/>
      <c r="U267" s="33" t="n">
        <f aca="false">IF($A267="",0,IF(AND(OR($E267=Atleta!$C$4,$E267="Equipe (todos)"),$A267&gt;=Atleta!$C$5),MAX($U$7:U266)+1,0))</f>
        <v>0</v>
      </c>
    </row>
    <row r="268" customFormat="false" ht="15" hidden="false" customHeight="false" outlineLevel="0" collapsed="false">
      <c r="A268" s="21"/>
      <c r="B268" s="33" t="n">
        <f aca="false">IF($A268="",0,INT(($A268-Macrociclo!$C$11)/7)+1)</f>
        <v>0</v>
      </c>
      <c r="C268" s="22"/>
      <c r="D268" s="22"/>
      <c r="E268" s="20"/>
      <c r="F268" s="22"/>
      <c r="G268" s="20"/>
      <c r="H268" s="19" t="str">
        <f aca="false">IFERROR(INDEX(Exercícios!$C$7:$C$206,MATCH($G268,Exercícios!$B$7:$B$206,0)),"")</f>
        <v/>
      </c>
      <c r="I268" s="19" t="str">
        <f aca="false">IFERROR(INDEX(Exercícios!$D$7:$D$206,MATCH($G268,Exercícios!$B$7:$B$206,0)),"")</f>
        <v/>
      </c>
      <c r="J268" s="19" t="str">
        <f aca="false">IFERROR(INDEX(Exercícios!$E$7:$E$206,MATCH($G268,Exercícios!$B$7:$B$206,0)),"")</f>
        <v/>
      </c>
      <c r="K268" s="22"/>
      <c r="L268" s="22"/>
      <c r="M268" s="20"/>
      <c r="N268" s="22"/>
      <c r="O268" s="22"/>
      <c r="P268" s="22"/>
      <c r="Q268" s="19" t="n">
        <f aca="false">IFERROR($K268*$L268,"")</f>
        <v>0</v>
      </c>
      <c r="R268" s="48" t="n">
        <f aca="false">IF(OR($O268="",$P268=""),0,$O268*$P268)</f>
        <v>0</v>
      </c>
      <c r="S268" s="20"/>
      <c r="T268" s="20"/>
      <c r="U268" s="33" t="n">
        <f aca="false">IF($A268="",0,IF(AND(OR($E268=Atleta!$C$4,$E268="Equipe (todos)"),$A268&gt;=Atleta!$C$5),MAX($U$7:U267)+1,0))</f>
        <v>0</v>
      </c>
    </row>
    <row r="269" customFormat="false" ht="15" hidden="false" customHeight="false" outlineLevel="0" collapsed="false">
      <c r="A269" s="21"/>
      <c r="B269" s="33" t="n">
        <f aca="false">IF($A269="",0,INT(($A269-Macrociclo!$C$11)/7)+1)</f>
        <v>0</v>
      </c>
      <c r="C269" s="22"/>
      <c r="D269" s="22"/>
      <c r="E269" s="20"/>
      <c r="F269" s="22"/>
      <c r="G269" s="20"/>
      <c r="H269" s="19" t="str">
        <f aca="false">IFERROR(INDEX(Exercícios!$C$7:$C$206,MATCH($G269,Exercícios!$B$7:$B$206,0)),"")</f>
        <v/>
      </c>
      <c r="I269" s="19" t="str">
        <f aca="false">IFERROR(INDEX(Exercícios!$D$7:$D$206,MATCH($G269,Exercícios!$B$7:$B$206,0)),"")</f>
        <v/>
      </c>
      <c r="J269" s="19" t="str">
        <f aca="false">IFERROR(INDEX(Exercícios!$E$7:$E$206,MATCH($G269,Exercícios!$B$7:$B$206,0)),"")</f>
        <v/>
      </c>
      <c r="K269" s="22"/>
      <c r="L269" s="22"/>
      <c r="M269" s="20"/>
      <c r="N269" s="22"/>
      <c r="O269" s="22"/>
      <c r="P269" s="22"/>
      <c r="Q269" s="19" t="n">
        <f aca="false">IFERROR($K269*$L269,"")</f>
        <v>0</v>
      </c>
      <c r="R269" s="48" t="n">
        <f aca="false">IF(OR($O269="",$P269=""),0,$O269*$P269)</f>
        <v>0</v>
      </c>
      <c r="S269" s="20"/>
      <c r="T269" s="20"/>
      <c r="U269" s="33" t="n">
        <f aca="false">IF($A269="",0,IF(AND(OR($E269=Atleta!$C$4,$E269="Equipe (todos)"),$A269&gt;=Atleta!$C$5),MAX($U$7:U268)+1,0))</f>
        <v>0</v>
      </c>
    </row>
    <row r="270" customFormat="false" ht="15" hidden="false" customHeight="false" outlineLevel="0" collapsed="false">
      <c r="A270" s="21"/>
      <c r="B270" s="33" t="n">
        <f aca="false">IF($A270="",0,INT(($A270-Macrociclo!$C$11)/7)+1)</f>
        <v>0</v>
      </c>
      <c r="C270" s="22"/>
      <c r="D270" s="22"/>
      <c r="E270" s="20"/>
      <c r="F270" s="22"/>
      <c r="G270" s="20"/>
      <c r="H270" s="19" t="str">
        <f aca="false">IFERROR(INDEX(Exercícios!$C$7:$C$206,MATCH($G270,Exercícios!$B$7:$B$206,0)),"")</f>
        <v/>
      </c>
      <c r="I270" s="19" t="str">
        <f aca="false">IFERROR(INDEX(Exercícios!$D$7:$D$206,MATCH($G270,Exercícios!$B$7:$B$206,0)),"")</f>
        <v/>
      </c>
      <c r="J270" s="19" t="str">
        <f aca="false">IFERROR(INDEX(Exercícios!$E$7:$E$206,MATCH($G270,Exercícios!$B$7:$B$206,0)),"")</f>
        <v/>
      </c>
      <c r="K270" s="22"/>
      <c r="L270" s="22"/>
      <c r="M270" s="20"/>
      <c r="N270" s="22"/>
      <c r="O270" s="22"/>
      <c r="P270" s="22"/>
      <c r="Q270" s="19" t="n">
        <f aca="false">IFERROR($K270*$L270,"")</f>
        <v>0</v>
      </c>
      <c r="R270" s="48" t="n">
        <f aca="false">IF(OR($O270="",$P270=""),0,$O270*$P270)</f>
        <v>0</v>
      </c>
      <c r="S270" s="20"/>
      <c r="T270" s="20"/>
      <c r="U270" s="33" t="n">
        <f aca="false">IF($A270="",0,IF(AND(OR($E270=Atleta!$C$4,$E270="Equipe (todos)"),$A270&gt;=Atleta!$C$5),MAX($U$7:U269)+1,0))</f>
        <v>0</v>
      </c>
    </row>
    <row r="271" customFormat="false" ht="15" hidden="false" customHeight="false" outlineLevel="0" collapsed="false">
      <c r="A271" s="21"/>
      <c r="B271" s="33" t="n">
        <f aca="false">IF($A271="",0,INT(($A271-Macrociclo!$C$11)/7)+1)</f>
        <v>0</v>
      </c>
      <c r="C271" s="22"/>
      <c r="D271" s="22"/>
      <c r="E271" s="20"/>
      <c r="F271" s="22"/>
      <c r="G271" s="20"/>
      <c r="H271" s="19" t="str">
        <f aca="false">IFERROR(INDEX(Exercícios!$C$7:$C$206,MATCH($G271,Exercícios!$B$7:$B$206,0)),"")</f>
        <v/>
      </c>
      <c r="I271" s="19" t="str">
        <f aca="false">IFERROR(INDEX(Exercícios!$D$7:$D$206,MATCH($G271,Exercícios!$B$7:$B$206,0)),"")</f>
        <v/>
      </c>
      <c r="J271" s="19" t="str">
        <f aca="false">IFERROR(INDEX(Exercícios!$E$7:$E$206,MATCH($G271,Exercícios!$B$7:$B$206,0)),"")</f>
        <v/>
      </c>
      <c r="K271" s="22"/>
      <c r="L271" s="22"/>
      <c r="M271" s="20"/>
      <c r="N271" s="22"/>
      <c r="O271" s="22"/>
      <c r="P271" s="22"/>
      <c r="Q271" s="19" t="n">
        <f aca="false">IFERROR($K271*$L271,"")</f>
        <v>0</v>
      </c>
      <c r="R271" s="48" t="n">
        <f aca="false">IF(OR($O271="",$P271=""),0,$O271*$P271)</f>
        <v>0</v>
      </c>
      <c r="S271" s="20"/>
      <c r="T271" s="20"/>
      <c r="U271" s="33" t="n">
        <f aca="false">IF($A271="",0,IF(AND(OR($E271=Atleta!$C$4,$E271="Equipe (todos)"),$A271&gt;=Atleta!$C$5),MAX($U$7:U270)+1,0))</f>
        <v>0</v>
      </c>
    </row>
    <row r="272" customFormat="false" ht="15" hidden="false" customHeight="false" outlineLevel="0" collapsed="false">
      <c r="A272" s="21"/>
      <c r="B272" s="33" t="n">
        <f aca="false">IF($A272="",0,INT(($A272-Macrociclo!$C$11)/7)+1)</f>
        <v>0</v>
      </c>
      <c r="C272" s="22"/>
      <c r="D272" s="22"/>
      <c r="E272" s="20"/>
      <c r="F272" s="22"/>
      <c r="G272" s="20"/>
      <c r="H272" s="19" t="str">
        <f aca="false">IFERROR(INDEX(Exercícios!$C$7:$C$206,MATCH($G272,Exercícios!$B$7:$B$206,0)),"")</f>
        <v/>
      </c>
      <c r="I272" s="19" t="str">
        <f aca="false">IFERROR(INDEX(Exercícios!$D$7:$D$206,MATCH($G272,Exercícios!$B$7:$B$206,0)),"")</f>
        <v/>
      </c>
      <c r="J272" s="19" t="str">
        <f aca="false">IFERROR(INDEX(Exercícios!$E$7:$E$206,MATCH($G272,Exercícios!$B$7:$B$206,0)),"")</f>
        <v/>
      </c>
      <c r="K272" s="22"/>
      <c r="L272" s="22"/>
      <c r="M272" s="20"/>
      <c r="N272" s="22"/>
      <c r="O272" s="22"/>
      <c r="P272" s="22"/>
      <c r="Q272" s="19" t="n">
        <f aca="false">IFERROR($K272*$L272,"")</f>
        <v>0</v>
      </c>
      <c r="R272" s="48" t="n">
        <f aca="false">IF(OR($O272="",$P272=""),0,$O272*$P272)</f>
        <v>0</v>
      </c>
      <c r="S272" s="20"/>
      <c r="T272" s="20"/>
      <c r="U272" s="33" t="n">
        <f aca="false">IF($A272="",0,IF(AND(OR($E272=Atleta!$C$4,$E272="Equipe (todos)"),$A272&gt;=Atleta!$C$5),MAX($U$7:U271)+1,0))</f>
        <v>0</v>
      </c>
    </row>
    <row r="273" customFormat="false" ht="15" hidden="false" customHeight="false" outlineLevel="0" collapsed="false">
      <c r="A273" s="21"/>
      <c r="B273" s="33" t="n">
        <f aca="false">IF($A273="",0,INT(($A273-Macrociclo!$C$11)/7)+1)</f>
        <v>0</v>
      </c>
      <c r="C273" s="22"/>
      <c r="D273" s="22"/>
      <c r="E273" s="20"/>
      <c r="F273" s="22"/>
      <c r="G273" s="20"/>
      <c r="H273" s="19" t="str">
        <f aca="false">IFERROR(INDEX(Exercícios!$C$7:$C$206,MATCH($G273,Exercícios!$B$7:$B$206,0)),"")</f>
        <v/>
      </c>
      <c r="I273" s="19" t="str">
        <f aca="false">IFERROR(INDEX(Exercícios!$D$7:$D$206,MATCH($G273,Exercícios!$B$7:$B$206,0)),"")</f>
        <v/>
      </c>
      <c r="J273" s="19" t="str">
        <f aca="false">IFERROR(INDEX(Exercícios!$E$7:$E$206,MATCH($G273,Exercícios!$B$7:$B$206,0)),"")</f>
        <v/>
      </c>
      <c r="K273" s="22"/>
      <c r="L273" s="22"/>
      <c r="M273" s="20"/>
      <c r="N273" s="22"/>
      <c r="O273" s="22"/>
      <c r="P273" s="22"/>
      <c r="Q273" s="19" t="n">
        <f aca="false">IFERROR($K273*$L273,"")</f>
        <v>0</v>
      </c>
      <c r="R273" s="48" t="n">
        <f aca="false">IF(OR($O273="",$P273=""),0,$O273*$P273)</f>
        <v>0</v>
      </c>
      <c r="S273" s="20"/>
      <c r="T273" s="20"/>
      <c r="U273" s="33" t="n">
        <f aca="false">IF($A273="",0,IF(AND(OR($E273=Atleta!$C$4,$E273="Equipe (todos)"),$A273&gt;=Atleta!$C$5),MAX($U$7:U272)+1,0))</f>
        <v>0</v>
      </c>
    </row>
    <row r="274" customFormat="false" ht="15" hidden="false" customHeight="false" outlineLevel="0" collapsed="false">
      <c r="A274" s="21"/>
      <c r="B274" s="33" t="n">
        <f aca="false">IF($A274="",0,INT(($A274-Macrociclo!$C$11)/7)+1)</f>
        <v>0</v>
      </c>
      <c r="C274" s="22"/>
      <c r="D274" s="22"/>
      <c r="E274" s="20"/>
      <c r="F274" s="22"/>
      <c r="G274" s="20"/>
      <c r="H274" s="19" t="str">
        <f aca="false">IFERROR(INDEX(Exercícios!$C$7:$C$206,MATCH($G274,Exercícios!$B$7:$B$206,0)),"")</f>
        <v/>
      </c>
      <c r="I274" s="19" t="str">
        <f aca="false">IFERROR(INDEX(Exercícios!$D$7:$D$206,MATCH($G274,Exercícios!$B$7:$B$206,0)),"")</f>
        <v/>
      </c>
      <c r="J274" s="19" t="str">
        <f aca="false">IFERROR(INDEX(Exercícios!$E$7:$E$206,MATCH($G274,Exercícios!$B$7:$B$206,0)),"")</f>
        <v/>
      </c>
      <c r="K274" s="22"/>
      <c r="L274" s="22"/>
      <c r="M274" s="20"/>
      <c r="N274" s="22"/>
      <c r="O274" s="22"/>
      <c r="P274" s="22"/>
      <c r="Q274" s="19" t="n">
        <f aca="false">IFERROR($K274*$L274,"")</f>
        <v>0</v>
      </c>
      <c r="R274" s="48" t="n">
        <f aca="false">IF(OR($O274="",$P274=""),0,$O274*$P274)</f>
        <v>0</v>
      </c>
      <c r="S274" s="20"/>
      <c r="T274" s="20"/>
      <c r="U274" s="33" t="n">
        <f aca="false">IF($A274="",0,IF(AND(OR($E274=Atleta!$C$4,$E274="Equipe (todos)"),$A274&gt;=Atleta!$C$5),MAX($U$7:U273)+1,0))</f>
        <v>0</v>
      </c>
    </row>
    <row r="275" customFormat="false" ht="15" hidden="false" customHeight="false" outlineLevel="0" collapsed="false">
      <c r="A275" s="21"/>
      <c r="B275" s="33" t="n">
        <f aca="false">IF($A275="",0,INT(($A275-Macrociclo!$C$11)/7)+1)</f>
        <v>0</v>
      </c>
      <c r="C275" s="22"/>
      <c r="D275" s="22"/>
      <c r="E275" s="20"/>
      <c r="F275" s="22"/>
      <c r="G275" s="20"/>
      <c r="H275" s="19" t="str">
        <f aca="false">IFERROR(INDEX(Exercícios!$C$7:$C$206,MATCH($G275,Exercícios!$B$7:$B$206,0)),"")</f>
        <v/>
      </c>
      <c r="I275" s="19" t="str">
        <f aca="false">IFERROR(INDEX(Exercícios!$D$7:$D$206,MATCH($G275,Exercícios!$B$7:$B$206,0)),"")</f>
        <v/>
      </c>
      <c r="J275" s="19" t="str">
        <f aca="false">IFERROR(INDEX(Exercícios!$E$7:$E$206,MATCH($G275,Exercícios!$B$7:$B$206,0)),"")</f>
        <v/>
      </c>
      <c r="K275" s="22"/>
      <c r="L275" s="22"/>
      <c r="M275" s="20"/>
      <c r="N275" s="22"/>
      <c r="O275" s="22"/>
      <c r="P275" s="22"/>
      <c r="Q275" s="19" t="n">
        <f aca="false">IFERROR($K275*$L275,"")</f>
        <v>0</v>
      </c>
      <c r="R275" s="48" t="n">
        <f aca="false">IF(OR($O275="",$P275=""),0,$O275*$P275)</f>
        <v>0</v>
      </c>
      <c r="S275" s="20"/>
      <c r="T275" s="20"/>
      <c r="U275" s="33" t="n">
        <f aca="false">IF($A275="",0,IF(AND(OR($E275=Atleta!$C$4,$E275="Equipe (todos)"),$A275&gt;=Atleta!$C$5),MAX($U$7:U274)+1,0))</f>
        <v>0</v>
      </c>
    </row>
    <row r="276" customFormat="false" ht="15" hidden="false" customHeight="false" outlineLevel="0" collapsed="false">
      <c r="A276" s="21"/>
      <c r="B276" s="33" t="n">
        <f aca="false">IF($A276="",0,INT(($A276-Macrociclo!$C$11)/7)+1)</f>
        <v>0</v>
      </c>
      <c r="C276" s="22"/>
      <c r="D276" s="22"/>
      <c r="E276" s="20"/>
      <c r="F276" s="22"/>
      <c r="G276" s="20"/>
      <c r="H276" s="19" t="str">
        <f aca="false">IFERROR(INDEX(Exercícios!$C$7:$C$206,MATCH($G276,Exercícios!$B$7:$B$206,0)),"")</f>
        <v/>
      </c>
      <c r="I276" s="19" t="str">
        <f aca="false">IFERROR(INDEX(Exercícios!$D$7:$D$206,MATCH($G276,Exercícios!$B$7:$B$206,0)),"")</f>
        <v/>
      </c>
      <c r="J276" s="19" t="str">
        <f aca="false">IFERROR(INDEX(Exercícios!$E$7:$E$206,MATCH($G276,Exercícios!$B$7:$B$206,0)),"")</f>
        <v/>
      </c>
      <c r="K276" s="22"/>
      <c r="L276" s="22"/>
      <c r="M276" s="20"/>
      <c r="N276" s="22"/>
      <c r="O276" s="22"/>
      <c r="P276" s="22"/>
      <c r="Q276" s="19" t="n">
        <f aca="false">IFERROR($K276*$L276,"")</f>
        <v>0</v>
      </c>
      <c r="R276" s="48" t="n">
        <f aca="false">IF(OR($O276="",$P276=""),0,$O276*$P276)</f>
        <v>0</v>
      </c>
      <c r="S276" s="20"/>
      <c r="T276" s="20"/>
      <c r="U276" s="33" t="n">
        <f aca="false">IF($A276="",0,IF(AND(OR($E276=Atleta!$C$4,$E276="Equipe (todos)"),$A276&gt;=Atleta!$C$5),MAX($U$7:U275)+1,0))</f>
        <v>0</v>
      </c>
    </row>
    <row r="277" customFormat="false" ht="15" hidden="false" customHeight="false" outlineLevel="0" collapsed="false">
      <c r="A277" s="21"/>
      <c r="B277" s="33" t="n">
        <f aca="false">IF($A277="",0,INT(($A277-Macrociclo!$C$11)/7)+1)</f>
        <v>0</v>
      </c>
      <c r="C277" s="22"/>
      <c r="D277" s="22"/>
      <c r="E277" s="20"/>
      <c r="F277" s="22"/>
      <c r="G277" s="20"/>
      <c r="H277" s="19" t="str">
        <f aca="false">IFERROR(INDEX(Exercícios!$C$7:$C$206,MATCH($G277,Exercícios!$B$7:$B$206,0)),"")</f>
        <v/>
      </c>
      <c r="I277" s="19" t="str">
        <f aca="false">IFERROR(INDEX(Exercícios!$D$7:$D$206,MATCH($G277,Exercícios!$B$7:$B$206,0)),"")</f>
        <v/>
      </c>
      <c r="J277" s="19" t="str">
        <f aca="false">IFERROR(INDEX(Exercícios!$E$7:$E$206,MATCH($G277,Exercícios!$B$7:$B$206,0)),"")</f>
        <v/>
      </c>
      <c r="K277" s="22"/>
      <c r="L277" s="22"/>
      <c r="M277" s="20"/>
      <c r="N277" s="22"/>
      <c r="O277" s="22"/>
      <c r="P277" s="22"/>
      <c r="Q277" s="19" t="n">
        <f aca="false">IFERROR($K277*$L277,"")</f>
        <v>0</v>
      </c>
      <c r="R277" s="48" t="n">
        <f aca="false">IF(OR($O277="",$P277=""),0,$O277*$P277)</f>
        <v>0</v>
      </c>
      <c r="S277" s="20"/>
      <c r="T277" s="20"/>
      <c r="U277" s="33" t="n">
        <f aca="false">IF($A277="",0,IF(AND(OR($E277=Atleta!$C$4,$E277="Equipe (todos)"),$A277&gt;=Atleta!$C$5),MAX($U$7:U276)+1,0))</f>
        <v>0</v>
      </c>
    </row>
    <row r="278" customFormat="false" ht="15" hidden="false" customHeight="false" outlineLevel="0" collapsed="false">
      <c r="A278" s="21"/>
      <c r="B278" s="33" t="n">
        <f aca="false">IF($A278="",0,INT(($A278-Macrociclo!$C$11)/7)+1)</f>
        <v>0</v>
      </c>
      <c r="C278" s="22"/>
      <c r="D278" s="22"/>
      <c r="E278" s="20"/>
      <c r="F278" s="22"/>
      <c r="G278" s="20"/>
      <c r="H278" s="19" t="str">
        <f aca="false">IFERROR(INDEX(Exercícios!$C$7:$C$206,MATCH($G278,Exercícios!$B$7:$B$206,0)),"")</f>
        <v/>
      </c>
      <c r="I278" s="19" t="str">
        <f aca="false">IFERROR(INDEX(Exercícios!$D$7:$D$206,MATCH($G278,Exercícios!$B$7:$B$206,0)),"")</f>
        <v/>
      </c>
      <c r="J278" s="19" t="str">
        <f aca="false">IFERROR(INDEX(Exercícios!$E$7:$E$206,MATCH($G278,Exercícios!$B$7:$B$206,0)),"")</f>
        <v/>
      </c>
      <c r="K278" s="22"/>
      <c r="L278" s="22"/>
      <c r="M278" s="20"/>
      <c r="N278" s="22"/>
      <c r="O278" s="22"/>
      <c r="P278" s="22"/>
      <c r="Q278" s="19" t="n">
        <f aca="false">IFERROR($K278*$L278,"")</f>
        <v>0</v>
      </c>
      <c r="R278" s="48" t="n">
        <f aca="false">IF(OR($O278="",$P278=""),0,$O278*$P278)</f>
        <v>0</v>
      </c>
      <c r="S278" s="20"/>
      <c r="T278" s="20"/>
      <c r="U278" s="33" t="n">
        <f aca="false">IF($A278="",0,IF(AND(OR($E278=Atleta!$C$4,$E278="Equipe (todos)"),$A278&gt;=Atleta!$C$5),MAX($U$7:U277)+1,0))</f>
        <v>0</v>
      </c>
    </row>
    <row r="279" customFormat="false" ht="15" hidden="false" customHeight="false" outlineLevel="0" collapsed="false">
      <c r="A279" s="21"/>
      <c r="B279" s="33" t="n">
        <f aca="false">IF($A279="",0,INT(($A279-Macrociclo!$C$11)/7)+1)</f>
        <v>0</v>
      </c>
      <c r="C279" s="22"/>
      <c r="D279" s="22"/>
      <c r="E279" s="20"/>
      <c r="F279" s="22"/>
      <c r="G279" s="20"/>
      <c r="H279" s="19" t="str">
        <f aca="false">IFERROR(INDEX(Exercícios!$C$7:$C$206,MATCH($G279,Exercícios!$B$7:$B$206,0)),"")</f>
        <v/>
      </c>
      <c r="I279" s="19" t="str">
        <f aca="false">IFERROR(INDEX(Exercícios!$D$7:$D$206,MATCH($G279,Exercícios!$B$7:$B$206,0)),"")</f>
        <v/>
      </c>
      <c r="J279" s="19" t="str">
        <f aca="false">IFERROR(INDEX(Exercícios!$E$7:$E$206,MATCH($G279,Exercícios!$B$7:$B$206,0)),"")</f>
        <v/>
      </c>
      <c r="K279" s="22"/>
      <c r="L279" s="22"/>
      <c r="M279" s="20"/>
      <c r="N279" s="22"/>
      <c r="O279" s="22"/>
      <c r="P279" s="22"/>
      <c r="Q279" s="19" t="n">
        <f aca="false">IFERROR($K279*$L279,"")</f>
        <v>0</v>
      </c>
      <c r="R279" s="48" t="n">
        <f aca="false">IF(OR($O279="",$P279=""),0,$O279*$P279)</f>
        <v>0</v>
      </c>
      <c r="S279" s="20"/>
      <c r="T279" s="20"/>
      <c r="U279" s="33" t="n">
        <f aca="false">IF($A279="",0,IF(AND(OR($E279=Atleta!$C$4,$E279="Equipe (todos)"),$A279&gt;=Atleta!$C$5),MAX($U$7:U278)+1,0))</f>
        <v>0</v>
      </c>
    </row>
    <row r="280" customFormat="false" ht="15" hidden="false" customHeight="false" outlineLevel="0" collapsed="false">
      <c r="A280" s="21"/>
      <c r="B280" s="33" t="n">
        <f aca="false">IF($A280="",0,INT(($A280-Macrociclo!$C$11)/7)+1)</f>
        <v>0</v>
      </c>
      <c r="C280" s="22"/>
      <c r="D280" s="22"/>
      <c r="E280" s="20"/>
      <c r="F280" s="22"/>
      <c r="G280" s="20"/>
      <c r="H280" s="19" t="str">
        <f aca="false">IFERROR(INDEX(Exercícios!$C$7:$C$206,MATCH($G280,Exercícios!$B$7:$B$206,0)),"")</f>
        <v/>
      </c>
      <c r="I280" s="19" t="str">
        <f aca="false">IFERROR(INDEX(Exercícios!$D$7:$D$206,MATCH($G280,Exercícios!$B$7:$B$206,0)),"")</f>
        <v/>
      </c>
      <c r="J280" s="19" t="str">
        <f aca="false">IFERROR(INDEX(Exercícios!$E$7:$E$206,MATCH($G280,Exercícios!$B$7:$B$206,0)),"")</f>
        <v/>
      </c>
      <c r="K280" s="22"/>
      <c r="L280" s="22"/>
      <c r="M280" s="20"/>
      <c r="N280" s="22"/>
      <c r="O280" s="22"/>
      <c r="P280" s="22"/>
      <c r="Q280" s="19" t="n">
        <f aca="false">IFERROR($K280*$L280,"")</f>
        <v>0</v>
      </c>
      <c r="R280" s="48" t="n">
        <f aca="false">IF(OR($O280="",$P280=""),0,$O280*$P280)</f>
        <v>0</v>
      </c>
      <c r="S280" s="20"/>
      <c r="T280" s="20"/>
      <c r="U280" s="33" t="n">
        <f aca="false">IF($A280="",0,IF(AND(OR($E280=Atleta!$C$4,$E280="Equipe (todos)"),$A280&gt;=Atleta!$C$5),MAX($U$7:U279)+1,0))</f>
        <v>0</v>
      </c>
    </row>
    <row r="281" customFormat="false" ht="15" hidden="false" customHeight="false" outlineLevel="0" collapsed="false">
      <c r="A281" s="21"/>
      <c r="B281" s="33" t="n">
        <f aca="false">IF($A281="",0,INT(($A281-Macrociclo!$C$11)/7)+1)</f>
        <v>0</v>
      </c>
      <c r="C281" s="22"/>
      <c r="D281" s="22"/>
      <c r="E281" s="20"/>
      <c r="F281" s="22"/>
      <c r="G281" s="20"/>
      <c r="H281" s="19" t="str">
        <f aca="false">IFERROR(INDEX(Exercícios!$C$7:$C$206,MATCH($G281,Exercícios!$B$7:$B$206,0)),"")</f>
        <v/>
      </c>
      <c r="I281" s="19" t="str">
        <f aca="false">IFERROR(INDEX(Exercícios!$D$7:$D$206,MATCH($G281,Exercícios!$B$7:$B$206,0)),"")</f>
        <v/>
      </c>
      <c r="J281" s="19" t="str">
        <f aca="false">IFERROR(INDEX(Exercícios!$E$7:$E$206,MATCH($G281,Exercícios!$B$7:$B$206,0)),"")</f>
        <v/>
      </c>
      <c r="K281" s="22"/>
      <c r="L281" s="22"/>
      <c r="M281" s="20"/>
      <c r="N281" s="22"/>
      <c r="O281" s="22"/>
      <c r="P281" s="22"/>
      <c r="Q281" s="19" t="n">
        <f aca="false">IFERROR($K281*$L281,"")</f>
        <v>0</v>
      </c>
      <c r="R281" s="48" t="n">
        <f aca="false">IF(OR($O281="",$P281=""),0,$O281*$P281)</f>
        <v>0</v>
      </c>
      <c r="S281" s="20"/>
      <c r="T281" s="20"/>
      <c r="U281" s="33" t="n">
        <f aca="false">IF($A281="",0,IF(AND(OR($E281=Atleta!$C$4,$E281="Equipe (todos)"),$A281&gt;=Atleta!$C$5),MAX($U$7:U280)+1,0))</f>
        <v>0</v>
      </c>
    </row>
    <row r="282" customFormat="false" ht="15" hidden="false" customHeight="false" outlineLevel="0" collapsed="false">
      <c r="A282" s="21"/>
      <c r="B282" s="33" t="n">
        <f aca="false">IF($A282="",0,INT(($A282-Macrociclo!$C$11)/7)+1)</f>
        <v>0</v>
      </c>
      <c r="C282" s="22"/>
      <c r="D282" s="22"/>
      <c r="E282" s="20"/>
      <c r="F282" s="22"/>
      <c r="G282" s="20"/>
      <c r="H282" s="19" t="str">
        <f aca="false">IFERROR(INDEX(Exercícios!$C$7:$C$206,MATCH($G282,Exercícios!$B$7:$B$206,0)),"")</f>
        <v/>
      </c>
      <c r="I282" s="19" t="str">
        <f aca="false">IFERROR(INDEX(Exercícios!$D$7:$D$206,MATCH($G282,Exercícios!$B$7:$B$206,0)),"")</f>
        <v/>
      </c>
      <c r="J282" s="19" t="str">
        <f aca="false">IFERROR(INDEX(Exercícios!$E$7:$E$206,MATCH($G282,Exercícios!$B$7:$B$206,0)),"")</f>
        <v/>
      </c>
      <c r="K282" s="22"/>
      <c r="L282" s="22"/>
      <c r="M282" s="20"/>
      <c r="N282" s="22"/>
      <c r="O282" s="22"/>
      <c r="P282" s="22"/>
      <c r="Q282" s="19" t="n">
        <f aca="false">IFERROR($K282*$L282,"")</f>
        <v>0</v>
      </c>
      <c r="R282" s="48" t="n">
        <f aca="false">IF(OR($O282="",$P282=""),0,$O282*$P282)</f>
        <v>0</v>
      </c>
      <c r="S282" s="20"/>
      <c r="T282" s="20"/>
      <c r="U282" s="33" t="n">
        <f aca="false">IF($A282="",0,IF(AND(OR($E282=Atleta!$C$4,$E282="Equipe (todos)"),$A282&gt;=Atleta!$C$5),MAX($U$7:U281)+1,0))</f>
        <v>0</v>
      </c>
    </row>
    <row r="283" customFormat="false" ht="15" hidden="false" customHeight="false" outlineLevel="0" collapsed="false">
      <c r="A283" s="21"/>
      <c r="B283" s="33" t="n">
        <f aca="false">IF($A283="",0,INT(($A283-Macrociclo!$C$11)/7)+1)</f>
        <v>0</v>
      </c>
      <c r="C283" s="22"/>
      <c r="D283" s="22"/>
      <c r="E283" s="20"/>
      <c r="F283" s="22"/>
      <c r="G283" s="20"/>
      <c r="H283" s="19" t="str">
        <f aca="false">IFERROR(INDEX(Exercícios!$C$7:$C$206,MATCH($G283,Exercícios!$B$7:$B$206,0)),"")</f>
        <v/>
      </c>
      <c r="I283" s="19" t="str">
        <f aca="false">IFERROR(INDEX(Exercícios!$D$7:$D$206,MATCH($G283,Exercícios!$B$7:$B$206,0)),"")</f>
        <v/>
      </c>
      <c r="J283" s="19" t="str">
        <f aca="false">IFERROR(INDEX(Exercícios!$E$7:$E$206,MATCH($G283,Exercícios!$B$7:$B$206,0)),"")</f>
        <v/>
      </c>
      <c r="K283" s="22"/>
      <c r="L283" s="22"/>
      <c r="M283" s="20"/>
      <c r="N283" s="22"/>
      <c r="O283" s="22"/>
      <c r="P283" s="22"/>
      <c r="Q283" s="19" t="n">
        <f aca="false">IFERROR($K283*$L283,"")</f>
        <v>0</v>
      </c>
      <c r="R283" s="48" t="n">
        <f aca="false">IF(OR($O283="",$P283=""),0,$O283*$P283)</f>
        <v>0</v>
      </c>
      <c r="S283" s="20"/>
      <c r="T283" s="20"/>
      <c r="U283" s="33" t="n">
        <f aca="false">IF($A283="",0,IF(AND(OR($E283=Atleta!$C$4,$E283="Equipe (todos)"),$A283&gt;=Atleta!$C$5),MAX($U$7:U282)+1,0))</f>
        <v>0</v>
      </c>
    </row>
    <row r="284" customFormat="false" ht="15" hidden="false" customHeight="false" outlineLevel="0" collapsed="false">
      <c r="A284" s="21"/>
      <c r="B284" s="33" t="n">
        <f aca="false">IF($A284="",0,INT(($A284-Macrociclo!$C$11)/7)+1)</f>
        <v>0</v>
      </c>
      <c r="C284" s="22"/>
      <c r="D284" s="22"/>
      <c r="E284" s="20"/>
      <c r="F284" s="22"/>
      <c r="G284" s="20"/>
      <c r="H284" s="19" t="str">
        <f aca="false">IFERROR(INDEX(Exercícios!$C$7:$C$206,MATCH($G284,Exercícios!$B$7:$B$206,0)),"")</f>
        <v/>
      </c>
      <c r="I284" s="19" t="str">
        <f aca="false">IFERROR(INDEX(Exercícios!$D$7:$D$206,MATCH($G284,Exercícios!$B$7:$B$206,0)),"")</f>
        <v/>
      </c>
      <c r="J284" s="19" t="str">
        <f aca="false">IFERROR(INDEX(Exercícios!$E$7:$E$206,MATCH($G284,Exercícios!$B$7:$B$206,0)),"")</f>
        <v/>
      </c>
      <c r="K284" s="22"/>
      <c r="L284" s="22"/>
      <c r="M284" s="20"/>
      <c r="N284" s="22"/>
      <c r="O284" s="22"/>
      <c r="P284" s="22"/>
      <c r="Q284" s="19" t="n">
        <f aca="false">IFERROR($K284*$L284,"")</f>
        <v>0</v>
      </c>
      <c r="R284" s="48" t="n">
        <f aca="false">IF(OR($O284="",$P284=""),0,$O284*$P284)</f>
        <v>0</v>
      </c>
      <c r="S284" s="20"/>
      <c r="T284" s="20"/>
      <c r="U284" s="33" t="n">
        <f aca="false">IF($A284="",0,IF(AND(OR($E284=Atleta!$C$4,$E284="Equipe (todos)"),$A284&gt;=Atleta!$C$5),MAX($U$7:U283)+1,0))</f>
        <v>0</v>
      </c>
    </row>
    <row r="285" customFormat="false" ht="15" hidden="false" customHeight="false" outlineLevel="0" collapsed="false">
      <c r="A285" s="21"/>
      <c r="B285" s="33" t="n">
        <f aca="false">IF($A285="",0,INT(($A285-Macrociclo!$C$11)/7)+1)</f>
        <v>0</v>
      </c>
      <c r="C285" s="22"/>
      <c r="D285" s="22"/>
      <c r="E285" s="20"/>
      <c r="F285" s="22"/>
      <c r="G285" s="20"/>
      <c r="H285" s="19" t="str">
        <f aca="false">IFERROR(INDEX(Exercícios!$C$7:$C$206,MATCH($G285,Exercícios!$B$7:$B$206,0)),"")</f>
        <v/>
      </c>
      <c r="I285" s="19" t="str">
        <f aca="false">IFERROR(INDEX(Exercícios!$D$7:$D$206,MATCH($G285,Exercícios!$B$7:$B$206,0)),"")</f>
        <v/>
      </c>
      <c r="J285" s="19" t="str">
        <f aca="false">IFERROR(INDEX(Exercícios!$E$7:$E$206,MATCH($G285,Exercícios!$B$7:$B$206,0)),"")</f>
        <v/>
      </c>
      <c r="K285" s="22"/>
      <c r="L285" s="22"/>
      <c r="M285" s="20"/>
      <c r="N285" s="22"/>
      <c r="O285" s="22"/>
      <c r="P285" s="22"/>
      <c r="Q285" s="19" t="n">
        <f aca="false">IFERROR($K285*$L285,"")</f>
        <v>0</v>
      </c>
      <c r="R285" s="48" t="n">
        <f aca="false">IF(OR($O285="",$P285=""),0,$O285*$P285)</f>
        <v>0</v>
      </c>
      <c r="S285" s="20"/>
      <c r="T285" s="20"/>
      <c r="U285" s="33" t="n">
        <f aca="false">IF($A285="",0,IF(AND(OR($E285=Atleta!$C$4,$E285="Equipe (todos)"),$A285&gt;=Atleta!$C$5),MAX($U$7:U284)+1,0))</f>
        <v>0</v>
      </c>
    </row>
    <row r="286" customFormat="false" ht="15" hidden="false" customHeight="false" outlineLevel="0" collapsed="false">
      <c r="A286" s="21"/>
      <c r="B286" s="33" t="n">
        <f aca="false">IF($A286="",0,INT(($A286-Macrociclo!$C$11)/7)+1)</f>
        <v>0</v>
      </c>
      <c r="C286" s="22"/>
      <c r="D286" s="22"/>
      <c r="E286" s="20"/>
      <c r="F286" s="22"/>
      <c r="G286" s="20"/>
      <c r="H286" s="19" t="str">
        <f aca="false">IFERROR(INDEX(Exercícios!$C$7:$C$206,MATCH($G286,Exercícios!$B$7:$B$206,0)),"")</f>
        <v/>
      </c>
      <c r="I286" s="19" t="str">
        <f aca="false">IFERROR(INDEX(Exercícios!$D$7:$D$206,MATCH($G286,Exercícios!$B$7:$B$206,0)),"")</f>
        <v/>
      </c>
      <c r="J286" s="19" t="str">
        <f aca="false">IFERROR(INDEX(Exercícios!$E$7:$E$206,MATCH($G286,Exercícios!$B$7:$B$206,0)),"")</f>
        <v/>
      </c>
      <c r="K286" s="22"/>
      <c r="L286" s="22"/>
      <c r="M286" s="20"/>
      <c r="N286" s="22"/>
      <c r="O286" s="22"/>
      <c r="P286" s="22"/>
      <c r="Q286" s="19" t="n">
        <f aca="false">IFERROR($K286*$L286,"")</f>
        <v>0</v>
      </c>
      <c r="R286" s="48" t="n">
        <f aca="false">IF(OR($O286="",$P286=""),0,$O286*$P286)</f>
        <v>0</v>
      </c>
      <c r="S286" s="20"/>
      <c r="T286" s="20"/>
      <c r="U286" s="33" t="n">
        <f aca="false">IF($A286="",0,IF(AND(OR($E286=Atleta!$C$4,$E286="Equipe (todos)"),$A286&gt;=Atleta!$C$5),MAX($U$7:U285)+1,0))</f>
        <v>0</v>
      </c>
    </row>
    <row r="287" customFormat="false" ht="15" hidden="false" customHeight="false" outlineLevel="0" collapsed="false">
      <c r="A287" s="21"/>
      <c r="B287" s="33" t="n">
        <f aca="false">IF($A287="",0,INT(($A287-Macrociclo!$C$11)/7)+1)</f>
        <v>0</v>
      </c>
      <c r="C287" s="22"/>
      <c r="D287" s="22"/>
      <c r="E287" s="20"/>
      <c r="F287" s="22"/>
      <c r="G287" s="20"/>
      <c r="H287" s="19" t="str">
        <f aca="false">IFERROR(INDEX(Exercícios!$C$7:$C$206,MATCH($G287,Exercícios!$B$7:$B$206,0)),"")</f>
        <v/>
      </c>
      <c r="I287" s="19" t="str">
        <f aca="false">IFERROR(INDEX(Exercícios!$D$7:$D$206,MATCH($G287,Exercícios!$B$7:$B$206,0)),"")</f>
        <v/>
      </c>
      <c r="J287" s="19" t="str">
        <f aca="false">IFERROR(INDEX(Exercícios!$E$7:$E$206,MATCH($G287,Exercícios!$B$7:$B$206,0)),"")</f>
        <v/>
      </c>
      <c r="K287" s="22"/>
      <c r="L287" s="22"/>
      <c r="M287" s="20"/>
      <c r="N287" s="22"/>
      <c r="O287" s="22"/>
      <c r="P287" s="22"/>
      <c r="Q287" s="19" t="n">
        <f aca="false">IFERROR($K287*$L287,"")</f>
        <v>0</v>
      </c>
      <c r="R287" s="48" t="n">
        <f aca="false">IF(OR($O287="",$P287=""),0,$O287*$P287)</f>
        <v>0</v>
      </c>
      <c r="S287" s="20"/>
      <c r="T287" s="20"/>
      <c r="U287" s="33" t="n">
        <f aca="false">IF($A287="",0,IF(AND(OR($E287=Atleta!$C$4,$E287="Equipe (todos)"),$A287&gt;=Atleta!$C$5),MAX($U$7:U286)+1,0))</f>
        <v>0</v>
      </c>
    </row>
    <row r="288" customFormat="false" ht="15" hidden="false" customHeight="false" outlineLevel="0" collapsed="false">
      <c r="A288" s="21"/>
      <c r="B288" s="33" t="n">
        <f aca="false">IF($A288="",0,INT(($A288-Macrociclo!$C$11)/7)+1)</f>
        <v>0</v>
      </c>
      <c r="C288" s="22"/>
      <c r="D288" s="22"/>
      <c r="E288" s="20"/>
      <c r="F288" s="22"/>
      <c r="G288" s="20"/>
      <c r="H288" s="19" t="str">
        <f aca="false">IFERROR(INDEX(Exercícios!$C$7:$C$206,MATCH($G288,Exercícios!$B$7:$B$206,0)),"")</f>
        <v/>
      </c>
      <c r="I288" s="19" t="str">
        <f aca="false">IFERROR(INDEX(Exercícios!$D$7:$D$206,MATCH($G288,Exercícios!$B$7:$B$206,0)),"")</f>
        <v/>
      </c>
      <c r="J288" s="19" t="str">
        <f aca="false">IFERROR(INDEX(Exercícios!$E$7:$E$206,MATCH($G288,Exercícios!$B$7:$B$206,0)),"")</f>
        <v/>
      </c>
      <c r="K288" s="22"/>
      <c r="L288" s="22"/>
      <c r="M288" s="20"/>
      <c r="N288" s="22"/>
      <c r="O288" s="22"/>
      <c r="P288" s="22"/>
      <c r="Q288" s="19" t="n">
        <f aca="false">IFERROR($K288*$L288,"")</f>
        <v>0</v>
      </c>
      <c r="R288" s="48" t="n">
        <f aca="false">IF(OR($O288="",$P288=""),0,$O288*$P288)</f>
        <v>0</v>
      </c>
      <c r="S288" s="20"/>
      <c r="T288" s="20"/>
      <c r="U288" s="33" t="n">
        <f aca="false">IF($A288="",0,IF(AND(OR($E288=Atleta!$C$4,$E288="Equipe (todos)"),$A288&gt;=Atleta!$C$5),MAX($U$7:U287)+1,0))</f>
        <v>0</v>
      </c>
    </row>
    <row r="289" customFormat="false" ht="15" hidden="false" customHeight="false" outlineLevel="0" collapsed="false">
      <c r="A289" s="21"/>
      <c r="B289" s="33" t="n">
        <f aca="false">IF($A289="",0,INT(($A289-Macrociclo!$C$11)/7)+1)</f>
        <v>0</v>
      </c>
      <c r="C289" s="22"/>
      <c r="D289" s="22"/>
      <c r="E289" s="20"/>
      <c r="F289" s="22"/>
      <c r="G289" s="20"/>
      <c r="H289" s="19" t="str">
        <f aca="false">IFERROR(INDEX(Exercícios!$C$7:$C$206,MATCH($G289,Exercícios!$B$7:$B$206,0)),"")</f>
        <v/>
      </c>
      <c r="I289" s="19" t="str">
        <f aca="false">IFERROR(INDEX(Exercícios!$D$7:$D$206,MATCH($G289,Exercícios!$B$7:$B$206,0)),"")</f>
        <v/>
      </c>
      <c r="J289" s="19" t="str">
        <f aca="false">IFERROR(INDEX(Exercícios!$E$7:$E$206,MATCH($G289,Exercícios!$B$7:$B$206,0)),"")</f>
        <v/>
      </c>
      <c r="K289" s="22"/>
      <c r="L289" s="22"/>
      <c r="M289" s="20"/>
      <c r="N289" s="22"/>
      <c r="O289" s="22"/>
      <c r="P289" s="22"/>
      <c r="Q289" s="19" t="n">
        <f aca="false">IFERROR($K289*$L289,"")</f>
        <v>0</v>
      </c>
      <c r="R289" s="48" t="n">
        <f aca="false">IF(OR($O289="",$P289=""),0,$O289*$P289)</f>
        <v>0</v>
      </c>
      <c r="S289" s="20"/>
      <c r="T289" s="20"/>
      <c r="U289" s="33" t="n">
        <f aca="false">IF($A289="",0,IF(AND(OR($E289=Atleta!$C$4,$E289="Equipe (todos)"),$A289&gt;=Atleta!$C$5),MAX($U$7:U288)+1,0))</f>
        <v>0</v>
      </c>
    </row>
    <row r="290" customFormat="false" ht="15" hidden="false" customHeight="false" outlineLevel="0" collapsed="false">
      <c r="A290" s="21"/>
      <c r="B290" s="33" t="n">
        <f aca="false">IF($A290="",0,INT(($A290-Macrociclo!$C$11)/7)+1)</f>
        <v>0</v>
      </c>
      <c r="C290" s="22"/>
      <c r="D290" s="22"/>
      <c r="E290" s="20"/>
      <c r="F290" s="22"/>
      <c r="G290" s="20"/>
      <c r="H290" s="19" t="str">
        <f aca="false">IFERROR(INDEX(Exercícios!$C$7:$C$206,MATCH($G290,Exercícios!$B$7:$B$206,0)),"")</f>
        <v/>
      </c>
      <c r="I290" s="19" t="str">
        <f aca="false">IFERROR(INDEX(Exercícios!$D$7:$D$206,MATCH($G290,Exercícios!$B$7:$B$206,0)),"")</f>
        <v/>
      </c>
      <c r="J290" s="19" t="str">
        <f aca="false">IFERROR(INDEX(Exercícios!$E$7:$E$206,MATCH($G290,Exercícios!$B$7:$B$206,0)),"")</f>
        <v/>
      </c>
      <c r="K290" s="22"/>
      <c r="L290" s="22"/>
      <c r="M290" s="20"/>
      <c r="N290" s="22"/>
      <c r="O290" s="22"/>
      <c r="P290" s="22"/>
      <c r="Q290" s="19" t="n">
        <f aca="false">IFERROR($K290*$L290,"")</f>
        <v>0</v>
      </c>
      <c r="R290" s="48" t="n">
        <f aca="false">IF(OR($O290="",$P290=""),0,$O290*$P290)</f>
        <v>0</v>
      </c>
      <c r="S290" s="20"/>
      <c r="T290" s="20"/>
      <c r="U290" s="33" t="n">
        <f aca="false">IF($A290="",0,IF(AND(OR($E290=Atleta!$C$4,$E290="Equipe (todos)"),$A290&gt;=Atleta!$C$5),MAX($U$7:U289)+1,0))</f>
        <v>0</v>
      </c>
    </row>
    <row r="291" customFormat="false" ht="15" hidden="false" customHeight="false" outlineLevel="0" collapsed="false">
      <c r="A291" s="21"/>
      <c r="B291" s="33" t="n">
        <f aca="false">IF($A291="",0,INT(($A291-Macrociclo!$C$11)/7)+1)</f>
        <v>0</v>
      </c>
      <c r="C291" s="22"/>
      <c r="D291" s="22"/>
      <c r="E291" s="20"/>
      <c r="F291" s="22"/>
      <c r="G291" s="20"/>
      <c r="H291" s="19" t="str">
        <f aca="false">IFERROR(INDEX(Exercícios!$C$7:$C$206,MATCH($G291,Exercícios!$B$7:$B$206,0)),"")</f>
        <v/>
      </c>
      <c r="I291" s="19" t="str">
        <f aca="false">IFERROR(INDEX(Exercícios!$D$7:$D$206,MATCH($G291,Exercícios!$B$7:$B$206,0)),"")</f>
        <v/>
      </c>
      <c r="J291" s="19" t="str">
        <f aca="false">IFERROR(INDEX(Exercícios!$E$7:$E$206,MATCH($G291,Exercícios!$B$7:$B$206,0)),"")</f>
        <v/>
      </c>
      <c r="K291" s="22"/>
      <c r="L291" s="22"/>
      <c r="M291" s="20"/>
      <c r="N291" s="22"/>
      <c r="O291" s="22"/>
      <c r="P291" s="22"/>
      <c r="Q291" s="19" t="n">
        <f aca="false">IFERROR($K291*$L291,"")</f>
        <v>0</v>
      </c>
      <c r="R291" s="48" t="n">
        <f aca="false">IF(OR($O291="",$P291=""),0,$O291*$P291)</f>
        <v>0</v>
      </c>
      <c r="S291" s="20"/>
      <c r="T291" s="20"/>
      <c r="U291" s="33" t="n">
        <f aca="false">IF($A291="",0,IF(AND(OR($E291=Atleta!$C$4,$E291="Equipe (todos)"),$A291&gt;=Atleta!$C$5),MAX($U$7:U290)+1,0))</f>
        <v>0</v>
      </c>
    </row>
    <row r="292" customFormat="false" ht="15" hidden="false" customHeight="false" outlineLevel="0" collapsed="false">
      <c r="A292" s="21"/>
      <c r="B292" s="33" t="n">
        <f aca="false">IF($A292="",0,INT(($A292-Macrociclo!$C$11)/7)+1)</f>
        <v>0</v>
      </c>
      <c r="C292" s="22"/>
      <c r="D292" s="22"/>
      <c r="E292" s="20"/>
      <c r="F292" s="22"/>
      <c r="G292" s="20"/>
      <c r="H292" s="19" t="str">
        <f aca="false">IFERROR(INDEX(Exercícios!$C$7:$C$206,MATCH($G292,Exercícios!$B$7:$B$206,0)),"")</f>
        <v/>
      </c>
      <c r="I292" s="19" t="str">
        <f aca="false">IFERROR(INDEX(Exercícios!$D$7:$D$206,MATCH($G292,Exercícios!$B$7:$B$206,0)),"")</f>
        <v/>
      </c>
      <c r="J292" s="19" t="str">
        <f aca="false">IFERROR(INDEX(Exercícios!$E$7:$E$206,MATCH($G292,Exercícios!$B$7:$B$206,0)),"")</f>
        <v/>
      </c>
      <c r="K292" s="22"/>
      <c r="L292" s="22"/>
      <c r="M292" s="20"/>
      <c r="N292" s="22"/>
      <c r="O292" s="22"/>
      <c r="P292" s="22"/>
      <c r="Q292" s="19" t="n">
        <f aca="false">IFERROR($K292*$L292,"")</f>
        <v>0</v>
      </c>
      <c r="R292" s="48" t="n">
        <f aca="false">IF(OR($O292="",$P292=""),0,$O292*$P292)</f>
        <v>0</v>
      </c>
      <c r="S292" s="20"/>
      <c r="T292" s="20"/>
      <c r="U292" s="33" t="n">
        <f aca="false">IF($A292="",0,IF(AND(OR($E292=Atleta!$C$4,$E292="Equipe (todos)"),$A292&gt;=Atleta!$C$5),MAX($U$7:U291)+1,0))</f>
        <v>0</v>
      </c>
    </row>
    <row r="293" customFormat="false" ht="15" hidden="false" customHeight="false" outlineLevel="0" collapsed="false">
      <c r="A293" s="21"/>
      <c r="B293" s="33" t="n">
        <f aca="false">IF($A293="",0,INT(($A293-Macrociclo!$C$11)/7)+1)</f>
        <v>0</v>
      </c>
      <c r="C293" s="22"/>
      <c r="D293" s="22"/>
      <c r="E293" s="20"/>
      <c r="F293" s="22"/>
      <c r="G293" s="20"/>
      <c r="H293" s="19" t="str">
        <f aca="false">IFERROR(INDEX(Exercícios!$C$7:$C$206,MATCH($G293,Exercícios!$B$7:$B$206,0)),"")</f>
        <v/>
      </c>
      <c r="I293" s="19" t="str">
        <f aca="false">IFERROR(INDEX(Exercícios!$D$7:$D$206,MATCH($G293,Exercícios!$B$7:$B$206,0)),"")</f>
        <v/>
      </c>
      <c r="J293" s="19" t="str">
        <f aca="false">IFERROR(INDEX(Exercícios!$E$7:$E$206,MATCH($G293,Exercícios!$B$7:$B$206,0)),"")</f>
        <v/>
      </c>
      <c r="K293" s="22"/>
      <c r="L293" s="22"/>
      <c r="M293" s="20"/>
      <c r="N293" s="22"/>
      <c r="O293" s="22"/>
      <c r="P293" s="22"/>
      <c r="Q293" s="19" t="n">
        <f aca="false">IFERROR($K293*$L293,"")</f>
        <v>0</v>
      </c>
      <c r="R293" s="48" t="n">
        <f aca="false">IF(OR($O293="",$P293=""),0,$O293*$P293)</f>
        <v>0</v>
      </c>
      <c r="S293" s="20"/>
      <c r="T293" s="20"/>
      <c r="U293" s="33" t="n">
        <f aca="false">IF($A293="",0,IF(AND(OR($E293=Atleta!$C$4,$E293="Equipe (todos)"),$A293&gt;=Atleta!$C$5),MAX($U$7:U292)+1,0))</f>
        <v>0</v>
      </c>
    </row>
    <row r="294" customFormat="false" ht="15" hidden="false" customHeight="false" outlineLevel="0" collapsed="false">
      <c r="A294" s="21"/>
      <c r="B294" s="33" t="n">
        <f aca="false">IF($A294="",0,INT(($A294-Macrociclo!$C$11)/7)+1)</f>
        <v>0</v>
      </c>
      <c r="C294" s="22"/>
      <c r="D294" s="22"/>
      <c r="E294" s="20"/>
      <c r="F294" s="22"/>
      <c r="G294" s="20"/>
      <c r="H294" s="19" t="str">
        <f aca="false">IFERROR(INDEX(Exercícios!$C$7:$C$206,MATCH($G294,Exercícios!$B$7:$B$206,0)),"")</f>
        <v/>
      </c>
      <c r="I294" s="19" t="str">
        <f aca="false">IFERROR(INDEX(Exercícios!$D$7:$D$206,MATCH($G294,Exercícios!$B$7:$B$206,0)),"")</f>
        <v/>
      </c>
      <c r="J294" s="19" t="str">
        <f aca="false">IFERROR(INDEX(Exercícios!$E$7:$E$206,MATCH($G294,Exercícios!$B$7:$B$206,0)),"")</f>
        <v/>
      </c>
      <c r="K294" s="22"/>
      <c r="L294" s="22"/>
      <c r="M294" s="20"/>
      <c r="N294" s="22"/>
      <c r="O294" s="22"/>
      <c r="P294" s="22"/>
      <c r="Q294" s="19" t="n">
        <f aca="false">IFERROR($K294*$L294,"")</f>
        <v>0</v>
      </c>
      <c r="R294" s="48" t="n">
        <f aca="false">IF(OR($O294="",$P294=""),0,$O294*$P294)</f>
        <v>0</v>
      </c>
      <c r="S294" s="20"/>
      <c r="T294" s="20"/>
      <c r="U294" s="33" t="n">
        <f aca="false">IF($A294="",0,IF(AND(OR($E294=Atleta!$C$4,$E294="Equipe (todos)"),$A294&gt;=Atleta!$C$5),MAX($U$7:U293)+1,0))</f>
        <v>0</v>
      </c>
    </row>
    <row r="295" customFormat="false" ht="15" hidden="false" customHeight="false" outlineLevel="0" collapsed="false">
      <c r="A295" s="21"/>
      <c r="B295" s="33" t="n">
        <f aca="false">IF($A295="",0,INT(($A295-Macrociclo!$C$11)/7)+1)</f>
        <v>0</v>
      </c>
      <c r="C295" s="22"/>
      <c r="D295" s="22"/>
      <c r="E295" s="20"/>
      <c r="F295" s="22"/>
      <c r="G295" s="20"/>
      <c r="H295" s="19" t="str">
        <f aca="false">IFERROR(INDEX(Exercícios!$C$7:$C$206,MATCH($G295,Exercícios!$B$7:$B$206,0)),"")</f>
        <v/>
      </c>
      <c r="I295" s="19" t="str">
        <f aca="false">IFERROR(INDEX(Exercícios!$D$7:$D$206,MATCH($G295,Exercícios!$B$7:$B$206,0)),"")</f>
        <v/>
      </c>
      <c r="J295" s="19" t="str">
        <f aca="false">IFERROR(INDEX(Exercícios!$E$7:$E$206,MATCH($G295,Exercícios!$B$7:$B$206,0)),"")</f>
        <v/>
      </c>
      <c r="K295" s="22"/>
      <c r="L295" s="22"/>
      <c r="M295" s="20"/>
      <c r="N295" s="22"/>
      <c r="O295" s="22"/>
      <c r="P295" s="22"/>
      <c r="Q295" s="19" t="n">
        <f aca="false">IFERROR($K295*$L295,"")</f>
        <v>0</v>
      </c>
      <c r="R295" s="48" t="n">
        <f aca="false">IF(OR($O295="",$P295=""),0,$O295*$P295)</f>
        <v>0</v>
      </c>
      <c r="S295" s="20"/>
      <c r="T295" s="20"/>
      <c r="U295" s="33" t="n">
        <f aca="false">IF($A295="",0,IF(AND(OR($E295=Atleta!$C$4,$E295="Equipe (todos)"),$A295&gt;=Atleta!$C$5),MAX($U$7:U294)+1,0))</f>
        <v>0</v>
      </c>
    </row>
    <row r="296" customFormat="false" ht="15" hidden="false" customHeight="false" outlineLevel="0" collapsed="false">
      <c r="A296" s="21"/>
      <c r="B296" s="33" t="n">
        <f aca="false">IF($A296="",0,INT(($A296-Macrociclo!$C$11)/7)+1)</f>
        <v>0</v>
      </c>
      <c r="C296" s="22"/>
      <c r="D296" s="22"/>
      <c r="E296" s="20"/>
      <c r="F296" s="22"/>
      <c r="G296" s="20"/>
      <c r="H296" s="19" t="str">
        <f aca="false">IFERROR(INDEX(Exercícios!$C$7:$C$206,MATCH($G296,Exercícios!$B$7:$B$206,0)),"")</f>
        <v/>
      </c>
      <c r="I296" s="19" t="str">
        <f aca="false">IFERROR(INDEX(Exercícios!$D$7:$D$206,MATCH($G296,Exercícios!$B$7:$B$206,0)),"")</f>
        <v/>
      </c>
      <c r="J296" s="19" t="str">
        <f aca="false">IFERROR(INDEX(Exercícios!$E$7:$E$206,MATCH($G296,Exercícios!$B$7:$B$206,0)),"")</f>
        <v/>
      </c>
      <c r="K296" s="22"/>
      <c r="L296" s="22"/>
      <c r="M296" s="20"/>
      <c r="N296" s="22"/>
      <c r="O296" s="22"/>
      <c r="P296" s="22"/>
      <c r="Q296" s="19" t="n">
        <f aca="false">IFERROR($K296*$L296,"")</f>
        <v>0</v>
      </c>
      <c r="R296" s="48" t="n">
        <f aca="false">IF(OR($O296="",$P296=""),0,$O296*$P296)</f>
        <v>0</v>
      </c>
      <c r="S296" s="20"/>
      <c r="T296" s="20"/>
      <c r="U296" s="33" t="n">
        <f aca="false">IF($A296="",0,IF(AND(OR($E296=Atleta!$C$4,$E296="Equipe (todos)"),$A296&gt;=Atleta!$C$5),MAX($U$7:U295)+1,0))</f>
        <v>0</v>
      </c>
    </row>
    <row r="297" customFormat="false" ht="15" hidden="false" customHeight="false" outlineLevel="0" collapsed="false">
      <c r="A297" s="21"/>
      <c r="B297" s="33" t="n">
        <f aca="false">IF($A297="",0,INT(($A297-Macrociclo!$C$11)/7)+1)</f>
        <v>0</v>
      </c>
      <c r="C297" s="22"/>
      <c r="D297" s="22"/>
      <c r="E297" s="20"/>
      <c r="F297" s="22"/>
      <c r="G297" s="20"/>
      <c r="H297" s="19" t="str">
        <f aca="false">IFERROR(INDEX(Exercícios!$C$7:$C$206,MATCH($G297,Exercícios!$B$7:$B$206,0)),"")</f>
        <v/>
      </c>
      <c r="I297" s="19" t="str">
        <f aca="false">IFERROR(INDEX(Exercícios!$D$7:$D$206,MATCH($G297,Exercícios!$B$7:$B$206,0)),"")</f>
        <v/>
      </c>
      <c r="J297" s="19" t="str">
        <f aca="false">IFERROR(INDEX(Exercícios!$E$7:$E$206,MATCH($G297,Exercícios!$B$7:$B$206,0)),"")</f>
        <v/>
      </c>
      <c r="K297" s="22"/>
      <c r="L297" s="22"/>
      <c r="M297" s="20"/>
      <c r="N297" s="22"/>
      <c r="O297" s="22"/>
      <c r="P297" s="22"/>
      <c r="Q297" s="19" t="n">
        <f aca="false">IFERROR($K297*$L297,"")</f>
        <v>0</v>
      </c>
      <c r="R297" s="48" t="n">
        <f aca="false">IF(OR($O297="",$P297=""),0,$O297*$P297)</f>
        <v>0</v>
      </c>
      <c r="S297" s="20"/>
      <c r="T297" s="20"/>
      <c r="U297" s="33" t="n">
        <f aca="false">IF($A297="",0,IF(AND(OR($E297=Atleta!$C$4,$E297="Equipe (todos)"),$A297&gt;=Atleta!$C$5),MAX($U$7:U296)+1,0))</f>
        <v>0</v>
      </c>
    </row>
    <row r="298" customFormat="false" ht="15" hidden="false" customHeight="false" outlineLevel="0" collapsed="false">
      <c r="A298" s="21"/>
      <c r="B298" s="33" t="n">
        <f aca="false">IF($A298="",0,INT(($A298-Macrociclo!$C$11)/7)+1)</f>
        <v>0</v>
      </c>
      <c r="C298" s="22"/>
      <c r="D298" s="22"/>
      <c r="E298" s="20"/>
      <c r="F298" s="22"/>
      <c r="G298" s="20"/>
      <c r="H298" s="19" t="str">
        <f aca="false">IFERROR(INDEX(Exercícios!$C$7:$C$206,MATCH($G298,Exercícios!$B$7:$B$206,0)),"")</f>
        <v/>
      </c>
      <c r="I298" s="19" t="str">
        <f aca="false">IFERROR(INDEX(Exercícios!$D$7:$D$206,MATCH($G298,Exercícios!$B$7:$B$206,0)),"")</f>
        <v/>
      </c>
      <c r="J298" s="19" t="str">
        <f aca="false">IFERROR(INDEX(Exercícios!$E$7:$E$206,MATCH($G298,Exercícios!$B$7:$B$206,0)),"")</f>
        <v/>
      </c>
      <c r="K298" s="22"/>
      <c r="L298" s="22"/>
      <c r="M298" s="20"/>
      <c r="N298" s="22"/>
      <c r="O298" s="22"/>
      <c r="P298" s="22"/>
      <c r="Q298" s="19" t="n">
        <f aca="false">IFERROR($K298*$L298,"")</f>
        <v>0</v>
      </c>
      <c r="R298" s="48" t="n">
        <f aca="false">IF(OR($O298="",$P298=""),0,$O298*$P298)</f>
        <v>0</v>
      </c>
      <c r="S298" s="20"/>
      <c r="T298" s="20"/>
      <c r="U298" s="33" t="n">
        <f aca="false">IF($A298="",0,IF(AND(OR($E298=Atleta!$C$4,$E298="Equipe (todos)"),$A298&gt;=Atleta!$C$5),MAX($U$7:U297)+1,0))</f>
        <v>0</v>
      </c>
    </row>
    <row r="299" customFormat="false" ht="15" hidden="false" customHeight="false" outlineLevel="0" collapsed="false">
      <c r="A299" s="21"/>
      <c r="B299" s="33" t="n">
        <f aca="false">IF($A299="",0,INT(($A299-Macrociclo!$C$11)/7)+1)</f>
        <v>0</v>
      </c>
      <c r="C299" s="22"/>
      <c r="D299" s="22"/>
      <c r="E299" s="20"/>
      <c r="F299" s="22"/>
      <c r="G299" s="20"/>
      <c r="H299" s="19" t="str">
        <f aca="false">IFERROR(INDEX(Exercícios!$C$7:$C$206,MATCH($G299,Exercícios!$B$7:$B$206,0)),"")</f>
        <v/>
      </c>
      <c r="I299" s="19" t="str">
        <f aca="false">IFERROR(INDEX(Exercícios!$D$7:$D$206,MATCH($G299,Exercícios!$B$7:$B$206,0)),"")</f>
        <v/>
      </c>
      <c r="J299" s="19" t="str">
        <f aca="false">IFERROR(INDEX(Exercícios!$E$7:$E$206,MATCH($G299,Exercícios!$B$7:$B$206,0)),"")</f>
        <v/>
      </c>
      <c r="K299" s="22"/>
      <c r="L299" s="22"/>
      <c r="M299" s="20"/>
      <c r="N299" s="22"/>
      <c r="O299" s="22"/>
      <c r="P299" s="22"/>
      <c r="Q299" s="19" t="n">
        <f aca="false">IFERROR($K299*$L299,"")</f>
        <v>0</v>
      </c>
      <c r="R299" s="48" t="n">
        <f aca="false">IF(OR($O299="",$P299=""),0,$O299*$P299)</f>
        <v>0</v>
      </c>
      <c r="S299" s="20"/>
      <c r="T299" s="20"/>
      <c r="U299" s="33" t="n">
        <f aca="false">IF($A299="",0,IF(AND(OR($E299=Atleta!$C$4,$E299="Equipe (todos)"),$A299&gt;=Atleta!$C$5),MAX($U$7:U298)+1,0))</f>
        <v>0</v>
      </c>
    </row>
    <row r="300" customFormat="false" ht="15" hidden="false" customHeight="false" outlineLevel="0" collapsed="false">
      <c r="A300" s="21"/>
      <c r="B300" s="33" t="n">
        <f aca="false">IF($A300="",0,INT(($A300-Macrociclo!$C$11)/7)+1)</f>
        <v>0</v>
      </c>
      <c r="C300" s="22"/>
      <c r="D300" s="22"/>
      <c r="E300" s="20"/>
      <c r="F300" s="22"/>
      <c r="G300" s="20"/>
      <c r="H300" s="19" t="str">
        <f aca="false">IFERROR(INDEX(Exercícios!$C$7:$C$206,MATCH($G300,Exercícios!$B$7:$B$206,0)),"")</f>
        <v/>
      </c>
      <c r="I300" s="19" t="str">
        <f aca="false">IFERROR(INDEX(Exercícios!$D$7:$D$206,MATCH($G300,Exercícios!$B$7:$B$206,0)),"")</f>
        <v/>
      </c>
      <c r="J300" s="19" t="str">
        <f aca="false">IFERROR(INDEX(Exercícios!$E$7:$E$206,MATCH($G300,Exercícios!$B$7:$B$206,0)),"")</f>
        <v/>
      </c>
      <c r="K300" s="22"/>
      <c r="L300" s="22"/>
      <c r="M300" s="20"/>
      <c r="N300" s="22"/>
      <c r="O300" s="22"/>
      <c r="P300" s="22"/>
      <c r="Q300" s="19" t="n">
        <f aca="false">IFERROR($K300*$L300,"")</f>
        <v>0</v>
      </c>
      <c r="R300" s="48" t="n">
        <f aca="false">IF(OR($O300="",$P300=""),0,$O300*$P300)</f>
        <v>0</v>
      </c>
      <c r="S300" s="20"/>
      <c r="T300" s="20"/>
      <c r="U300" s="33" t="n">
        <f aca="false">IF($A300="",0,IF(AND(OR($E300=Atleta!$C$4,$E300="Equipe (todos)"),$A300&gt;=Atleta!$C$5),MAX($U$7:U299)+1,0))</f>
        <v>0</v>
      </c>
    </row>
    <row r="301" customFormat="false" ht="15" hidden="false" customHeight="false" outlineLevel="0" collapsed="false">
      <c r="A301" s="21"/>
      <c r="B301" s="33" t="n">
        <f aca="false">IF($A301="",0,INT(($A301-Macrociclo!$C$11)/7)+1)</f>
        <v>0</v>
      </c>
      <c r="C301" s="22"/>
      <c r="D301" s="22"/>
      <c r="E301" s="20"/>
      <c r="F301" s="22"/>
      <c r="G301" s="20"/>
      <c r="H301" s="19" t="str">
        <f aca="false">IFERROR(INDEX(Exercícios!$C$7:$C$206,MATCH($G301,Exercícios!$B$7:$B$206,0)),"")</f>
        <v/>
      </c>
      <c r="I301" s="19" t="str">
        <f aca="false">IFERROR(INDEX(Exercícios!$D$7:$D$206,MATCH($G301,Exercícios!$B$7:$B$206,0)),"")</f>
        <v/>
      </c>
      <c r="J301" s="19" t="str">
        <f aca="false">IFERROR(INDEX(Exercícios!$E$7:$E$206,MATCH($G301,Exercícios!$B$7:$B$206,0)),"")</f>
        <v/>
      </c>
      <c r="K301" s="22"/>
      <c r="L301" s="22"/>
      <c r="M301" s="20"/>
      <c r="N301" s="22"/>
      <c r="O301" s="22"/>
      <c r="P301" s="22"/>
      <c r="Q301" s="19" t="n">
        <f aca="false">IFERROR($K301*$L301,"")</f>
        <v>0</v>
      </c>
      <c r="R301" s="48" t="n">
        <f aca="false">IF(OR($O301="",$P301=""),0,$O301*$P301)</f>
        <v>0</v>
      </c>
      <c r="S301" s="20"/>
      <c r="T301" s="20"/>
      <c r="U301" s="33" t="n">
        <f aca="false">IF($A301="",0,IF(AND(OR($E301=Atleta!$C$4,$E301="Equipe (todos)"),$A301&gt;=Atleta!$C$5),MAX($U$7:U300)+1,0))</f>
        <v>0</v>
      </c>
    </row>
    <row r="302" customFormat="false" ht="15" hidden="false" customHeight="false" outlineLevel="0" collapsed="false">
      <c r="A302" s="21"/>
      <c r="B302" s="33" t="n">
        <f aca="false">IF($A302="",0,INT(($A302-Macrociclo!$C$11)/7)+1)</f>
        <v>0</v>
      </c>
      <c r="C302" s="22"/>
      <c r="D302" s="22"/>
      <c r="E302" s="20"/>
      <c r="F302" s="22"/>
      <c r="G302" s="20"/>
      <c r="H302" s="19" t="str">
        <f aca="false">IFERROR(INDEX(Exercícios!$C$7:$C$206,MATCH($G302,Exercícios!$B$7:$B$206,0)),"")</f>
        <v/>
      </c>
      <c r="I302" s="19" t="str">
        <f aca="false">IFERROR(INDEX(Exercícios!$D$7:$D$206,MATCH($G302,Exercícios!$B$7:$B$206,0)),"")</f>
        <v/>
      </c>
      <c r="J302" s="19" t="str">
        <f aca="false">IFERROR(INDEX(Exercícios!$E$7:$E$206,MATCH($G302,Exercícios!$B$7:$B$206,0)),"")</f>
        <v/>
      </c>
      <c r="K302" s="22"/>
      <c r="L302" s="22"/>
      <c r="M302" s="20"/>
      <c r="N302" s="22"/>
      <c r="O302" s="22"/>
      <c r="P302" s="22"/>
      <c r="Q302" s="19" t="n">
        <f aca="false">IFERROR($K302*$L302,"")</f>
        <v>0</v>
      </c>
      <c r="R302" s="48" t="n">
        <f aca="false">IF(OR($O302="",$P302=""),0,$O302*$P302)</f>
        <v>0</v>
      </c>
      <c r="S302" s="20"/>
      <c r="T302" s="20"/>
      <c r="U302" s="33" t="n">
        <f aca="false">IF($A302="",0,IF(AND(OR($E302=Atleta!$C$4,$E302="Equipe (todos)"),$A302&gt;=Atleta!$C$5),MAX($U$7:U301)+1,0))</f>
        <v>0</v>
      </c>
    </row>
    <row r="303" customFormat="false" ht="15" hidden="false" customHeight="false" outlineLevel="0" collapsed="false">
      <c r="A303" s="21"/>
      <c r="B303" s="33" t="n">
        <f aca="false">IF($A303="",0,INT(($A303-Macrociclo!$C$11)/7)+1)</f>
        <v>0</v>
      </c>
      <c r="C303" s="22"/>
      <c r="D303" s="22"/>
      <c r="E303" s="20"/>
      <c r="F303" s="22"/>
      <c r="G303" s="20"/>
      <c r="H303" s="19" t="str">
        <f aca="false">IFERROR(INDEX(Exercícios!$C$7:$C$206,MATCH($G303,Exercícios!$B$7:$B$206,0)),"")</f>
        <v/>
      </c>
      <c r="I303" s="19" t="str">
        <f aca="false">IFERROR(INDEX(Exercícios!$D$7:$D$206,MATCH($G303,Exercícios!$B$7:$B$206,0)),"")</f>
        <v/>
      </c>
      <c r="J303" s="19" t="str">
        <f aca="false">IFERROR(INDEX(Exercícios!$E$7:$E$206,MATCH($G303,Exercícios!$B$7:$B$206,0)),"")</f>
        <v/>
      </c>
      <c r="K303" s="22"/>
      <c r="L303" s="22"/>
      <c r="M303" s="20"/>
      <c r="N303" s="22"/>
      <c r="O303" s="22"/>
      <c r="P303" s="22"/>
      <c r="Q303" s="19" t="n">
        <f aca="false">IFERROR($K303*$L303,"")</f>
        <v>0</v>
      </c>
      <c r="R303" s="48" t="n">
        <f aca="false">IF(OR($O303="",$P303=""),0,$O303*$P303)</f>
        <v>0</v>
      </c>
      <c r="S303" s="20"/>
      <c r="T303" s="20"/>
      <c r="U303" s="33" t="n">
        <f aca="false">IF($A303="",0,IF(AND(OR($E303=Atleta!$C$4,$E303="Equipe (todos)"),$A303&gt;=Atleta!$C$5),MAX($U$7:U302)+1,0))</f>
        <v>0</v>
      </c>
    </row>
    <row r="304" customFormat="false" ht="15" hidden="false" customHeight="false" outlineLevel="0" collapsed="false">
      <c r="A304" s="21"/>
      <c r="B304" s="33" t="n">
        <f aca="false">IF($A304="",0,INT(($A304-Macrociclo!$C$11)/7)+1)</f>
        <v>0</v>
      </c>
      <c r="C304" s="22"/>
      <c r="D304" s="22"/>
      <c r="E304" s="20"/>
      <c r="F304" s="22"/>
      <c r="G304" s="20"/>
      <c r="H304" s="19" t="str">
        <f aca="false">IFERROR(INDEX(Exercícios!$C$7:$C$206,MATCH($G304,Exercícios!$B$7:$B$206,0)),"")</f>
        <v/>
      </c>
      <c r="I304" s="19" t="str">
        <f aca="false">IFERROR(INDEX(Exercícios!$D$7:$D$206,MATCH($G304,Exercícios!$B$7:$B$206,0)),"")</f>
        <v/>
      </c>
      <c r="J304" s="19" t="str">
        <f aca="false">IFERROR(INDEX(Exercícios!$E$7:$E$206,MATCH($G304,Exercícios!$B$7:$B$206,0)),"")</f>
        <v/>
      </c>
      <c r="K304" s="22"/>
      <c r="L304" s="22"/>
      <c r="M304" s="20"/>
      <c r="N304" s="22"/>
      <c r="O304" s="22"/>
      <c r="P304" s="22"/>
      <c r="Q304" s="19" t="n">
        <f aca="false">IFERROR($K304*$L304,"")</f>
        <v>0</v>
      </c>
      <c r="R304" s="48" t="n">
        <f aca="false">IF(OR($O304="",$P304=""),0,$O304*$P304)</f>
        <v>0</v>
      </c>
      <c r="S304" s="20"/>
      <c r="T304" s="20"/>
      <c r="U304" s="33" t="n">
        <f aca="false">IF($A304="",0,IF(AND(OR($E304=Atleta!$C$4,$E304="Equipe (todos)"),$A304&gt;=Atleta!$C$5),MAX($U$7:U303)+1,0))</f>
        <v>0</v>
      </c>
    </row>
    <row r="305" customFormat="false" ht="15" hidden="false" customHeight="false" outlineLevel="0" collapsed="false">
      <c r="A305" s="21"/>
      <c r="B305" s="33" t="n">
        <f aca="false">IF($A305="",0,INT(($A305-Macrociclo!$C$11)/7)+1)</f>
        <v>0</v>
      </c>
      <c r="C305" s="22"/>
      <c r="D305" s="22"/>
      <c r="E305" s="20"/>
      <c r="F305" s="22"/>
      <c r="G305" s="20"/>
      <c r="H305" s="19" t="str">
        <f aca="false">IFERROR(INDEX(Exercícios!$C$7:$C$206,MATCH($G305,Exercícios!$B$7:$B$206,0)),"")</f>
        <v/>
      </c>
      <c r="I305" s="19" t="str">
        <f aca="false">IFERROR(INDEX(Exercícios!$D$7:$D$206,MATCH($G305,Exercícios!$B$7:$B$206,0)),"")</f>
        <v/>
      </c>
      <c r="J305" s="19" t="str">
        <f aca="false">IFERROR(INDEX(Exercícios!$E$7:$E$206,MATCH($G305,Exercícios!$B$7:$B$206,0)),"")</f>
        <v/>
      </c>
      <c r="K305" s="22"/>
      <c r="L305" s="22"/>
      <c r="M305" s="20"/>
      <c r="N305" s="22"/>
      <c r="O305" s="22"/>
      <c r="P305" s="22"/>
      <c r="Q305" s="19" t="n">
        <f aca="false">IFERROR($K305*$L305,"")</f>
        <v>0</v>
      </c>
      <c r="R305" s="48" t="n">
        <f aca="false">IF(OR($O305="",$P305=""),0,$O305*$P305)</f>
        <v>0</v>
      </c>
      <c r="S305" s="20"/>
      <c r="T305" s="20"/>
      <c r="U305" s="33" t="n">
        <f aca="false">IF($A305="",0,IF(AND(OR($E305=Atleta!$C$4,$E305="Equipe (todos)"),$A305&gt;=Atleta!$C$5),MAX($U$7:U304)+1,0))</f>
        <v>0</v>
      </c>
    </row>
    <row r="306" customFormat="false" ht="15" hidden="false" customHeight="false" outlineLevel="0" collapsed="false">
      <c r="A306" s="21"/>
      <c r="B306" s="33" t="n">
        <f aca="false">IF($A306="",0,INT(($A306-Macrociclo!$C$11)/7)+1)</f>
        <v>0</v>
      </c>
      <c r="C306" s="22"/>
      <c r="D306" s="22"/>
      <c r="E306" s="20"/>
      <c r="F306" s="22"/>
      <c r="G306" s="20"/>
      <c r="H306" s="19" t="str">
        <f aca="false">IFERROR(INDEX(Exercícios!$C$7:$C$206,MATCH($G306,Exercícios!$B$7:$B$206,0)),"")</f>
        <v/>
      </c>
      <c r="I306" s="19" t="str">
        <f aca="false">IFERROR(INDEX(Exercícios!$D$7:$D$206,MATCH($G306,Exercícios!$B$7:$B$206,0)),"")</f>
        <v/>
      </c>
      <c r="J306" s="19" t="str">
        <f aca="false">IFERROR(INDEX(Exercícios!$E$7:$E$206,MATCH($G306,Exercícios!$B$7:$B$206,0)),"")</f>
        <v/>
      </c>
      <c r="K306" s="22"/>
      <c r="L306" s="22"/>
      <c r="M306" s="20"/>
      <c r="N306" s="22"/>
      <c r="O306" s="22"/>
      <c r="P306" s="22"/>
      <c r="Q306" s="19" t="n">
        <f aca="false">IFERROR($K306*$L306,"")</f>
        <v>0</v>
      </c>
      <c r="R306" s="48" t="n">
        <f aca="false">IF(OR($O306="",$P306=""),0,$O306*$P306)</f>
        <v>0</v>
      </c>
      <c r="S306" s="20"/>
      <c r="T306" s="20"/>
      <c r="U306" s="33" t="n">
        <f aca="false">IF($A306="",0,IF(AND(OR($E306=Atleta!$C$4,$E306="Equipe (todos)"),$A306&gt;=Atleta!$C$5),MAX($U$7:U305)+1,0))</f>
        <v>0</v>
      </c>
    </row>
    <row r="307" customFormat="false" ht="15" hidden="false" customHeight="false" outlineLevel="0" collapsed="false">
      <c r="A307" s="21"/>
      <c r="B307" s="33" t="n">
        <f aca="false">IF($A307="",0,INT(($A307-Macrociclo!$C$11)/7)+1)</f>
        <v>0</v>
      </c>
      <c r="C307" s="22"/>
      <c r="D307" s="22"/>
      <c r="E307" s="20"/>
      <c r="F307" s="22"/>
      <c r="G307" s="20"/>
      <c r="H307" s="19" t="str">
        <f aca="false">IFERROR(INDEX(Exercícios!$C$7:$C$206,MATCH($G307,Exercícios!$B$7:$B$206,0)),"")</f>
        <v/>
      </c>
      <c r="I307" s="19" t="str">
        <f aca="false">IFERROR(INDEX(Exercícios!$D$7:$D$206,MATCH($G307,Exercícios!$B$7:$B$206,0)),"")</f>
        <v/>
      </c>
      <c r="J307" s="19" t="str">
        <f aca="false">IFERROR(INDEX(Exercícios!$E$7:$E$206,MATCH($G307,Exercícios!$B$7:$B$206,0)),"")</f>
        <v/>
      </c>
      <c r="K307" s="22"/>
      <c r="L307" s="22"/>
      <c r="M307" s="20"/>
      <c r="N307" s="22"/>
      <c r="O307" s="22"/>
      <c r="P307" s="22"/>
      <c r="Q307" s="19" t="n">
        <f aca="false">IFERROR($K307*$L307,"")</f>
        <v>0</v>
      </c>
      <c r="R307" s="48" t="n">
        <f aca="false">IF(OR($O307="",$P307=""),0,$O307*$P307)</f>
        <v>0</v>
      </c>
      <c r="S307" s="20"/>
      <c r="T307" s="20"/>
      <c r="U307" s="33" t="n">
        <f aca="false">IF($A307="",0,IF(AND(OR($E307=Atleta!$C$4,$E307="Equipe (todos)"),$A307&gt;=Atleta!$C$5),MAX($U$7:U306)+1,0))</f>
        <v>0</v>
      </c>
    </row>
    <row r="308" customFormat="false" ht="15" hidden="false" customHeight="false" outlineLevel="0" collapsed="false">
      <c r="A308" s="21"/>
      <c r="B308" s="33" t="n">
        <f aca="false">IF($A308="",0,INT(($A308-Macrociclo!$C$11)/7)+1)</f>
        <v>0</v>
      </c>
      <c r="C308" s="22"/>
      <c r="D308" s="22"/>
      <c r="E308" s="20"/>
      <c r="F308" s="22"/>
      <c r="G308" s="20"/>
      <c r="H308" s="19" t="str">
        <f aca="false">IFERROR(INDEX(Exercícios!$C$7:$C$206,MATCH($G308,Exercícios!$B$7:$B$206,0)),"")</f>
        <v/>
      </c>
      <c r="I308" s="19" t="str">
        <f aca="false">IFERROR(INDEX(Exercícios!$D$7:$D$206,MATCH($G308,Exercícios!$B$7:$B$206,0)),"")</f>
        <v/>
      </c>
      <c r="J308" s="19" t="str">
        <f aca="false">IFERROR(INDEX(Exercícios!$E$7:$E$206,MATCH($G308,Exercícios!$B$7:$B$206,0)),"")</f>
        <v/>
      </c>
      <c r="K308" s="22"/>
      <c r="L308" s="22"/>
      <c r="M308" s="20"/>
      <c r="N308" s="22"/>
      <c r="O308" s="22"/>
      <c r="P308" s="22"/>
      <c r="Q308" s="19" t="n">
        <f aca="false">IFERROR($K308*$L308,"")</f>
        <v>0</v>
      </c>
      <c r="R308" s="48" t="n">
        <f aca="false">IF(OR($O308="",$P308=""),0,$O308*$P308)</f>
        <v>0</v>
      </c>
      <c r="S308" s="20"/>
      <c r="T308" s="20"/>
      <c r="U308" s="33" t="n">
        <f aca="false">IF($A308="",0,IF(AND(OR($E308=Atleta!$C$4,$E308="Equipe (todos)"),$A308&gt;=Atleta!$C$5),MAX($U$7:U307)+1,0))</f>
        <v>0</v>
      </c>
    </row>
    <row r="309" customFormat="false" ht="15" hidden="false" customHeight="false" outlineLevel="0" collapsed="false">
      <c r="A309" s="21"/>
      <c r="B309" s="33" t="n">
        <f aca="false">IF($A309="",0,INT(($A309-Macrociclo!$C$11)/7)+1)</f>
        <v>0</v>
      </c>
      <c r="C309" s="22"/>
      <c r="D309" s="22"/>
      <c r="E309" s="20"/>
      <c r="F309" s="22"/>
      <c r="G309" s="20"/>
      <c r="H309" s="19" t="str">
        <f aca="false">IFERROR(INDEX(Exercícios!$C$7:$C$206,MATCH($G309,Exercícios!$B$7:$B$206,0)),"")</f>
        <v/>
      </c>
      <c r="I309" s="19" t="str">
        <f aca="false">IFERROR(INDEX(Exercícios!$D$7:$D$206,MATCH($G309,Exercícios!$B$7:$B$206,0)),"")</f>
        <v/>
      </c>
      <c r="J309" s="19" t="str">
        <f aca="false">IFERROR(INDEX(Exercícios!$E$7:$E$206,MATCH($G309,Exercícios!$B$7:$B$206,0)),"")</f>
        <v/>
      </c>
      <c r="K309" s="22"/>
      <c r="L309" s="22"/>
      <c r="M309" s="20"/>
      <c r="N309" s="22"/>
      <c r="O309" s="22"/>
      <c r="P309" s="22"/>
      <c r="Q309" s="19" t="n">
        <f aca="false">IFERROR($K309*$L309,"")</f>
        <v>0</v>
      </c>
      <c r="R309" s="48" t="n">
        <f aca="false">IF(OR($O309="",$P309=""),0,$O309*$P309)</f>
        <v>0</v>
      </c>
      <c r="S309" s="20"/>
      <c r="T309" s="20"/>
      <c r="U309" s="33" t="n">
        <f aca="false">IF($A309="",0,IF(AND(OR($E309=Atleta!$C$4,$E309="Equipe (todos)"),$A309&gt;=Atleta!$C$5),MAX($U$7:U308)+1,0))</f>
        <v>0</v>
      </c>
    </row>
    <row r="310" customFormat="false" ht="15" hidden="false" customHeight="false" outlineLevel="0" collapsed="false">
      <c r="A310" s="21"/>
      <c r="B310" s="33" t="n">
        <f aca="false">IF($A310="",0,INT(($A310-Macrociclo!$C$11)/7)+1)</f>
        <v>0</v>
      </c>
      <c r="C310" s="22"/>
      <c r="D310" s="22"/>
      <c r="E310" s="20"/>
      <c r="F310" s="22"/>
      <c r="G310" s="20"/>
      <c r="H310" s="19" t="str">
        <f aca="false">IFERROR(INDEX(Exercícios!$C$7:$C$206,MATCH($G310,Exercícios!$B$7:$B$206,0)),"")</f>
        <v/>
      </c>
      <c r="I310" s="19" t="str">
        <f aca="false">IFERROR(INDEX(Exercícios!$D$7:$D$206,MATCH($G310,Exercícios!$B$7:$B$206,0)),"")</f>
        <v/>
      </c>
      <c r="J310" s="19" t="str">
        <f aca="false">IFERROR(INDEX(Exercícios!$E$7:$E$206,MATCH($G310,Exercícios!$B$7:$B$206,0)),"")</f>
        <v/>
      </c>
      <c r="K310" s="22"/>
      <c r="L310" s="22"/>
      <c r="M310" s="20"/>
      <c r="N310" s="22"/>
      <c r="O310" s="22"/>
      <c r="P310" s="22"/>
      <c r="Q310" s="19" t="n">
        <f aca="false">IFERROR($K310*$L310,"")</f>
        <v>0</v>
      </c>
      <c r="R310" s="48" t="n">
        <f aca="false">IF(OR($O310="",$P310=""),0,$O310*$P310)</f>
        <v>0</v>
      </c>
      <c r="S310" s="20"/>
      <c r="T310" s="20"/>
      <c r="U310" s="33" t="n">
        <f aca="false">IF($A310="",0,IF(AND(OR($E310=Atleta!$C$4,$E310="Equipe (todos)"),$A310&gt;=Atleta!$C$5),MAX($U$7:U309)+1,0))</f>
        <v>0</v>
      </c>
    </row>
    <row r="311" customFormat="false" ht="15" hidden="false" customHeight="false" outlineLevel="0" collapsed="false">
      <c r="A311" s="21"/>
      <c r="B311" s="33" t="n">
        <f aca="false">IF($A311="",0,INT(($A311-Macrociclo!$C$11)/7)+1)</f>
        <v>0</v>
      </c>
      <c r="C311" s="22"/>
      <c r="D311" s="22"/>
      <c r="E311" s="20"/>
      <c r="F311" s="22"/>
      <c r="G311" s="20"/>
      <c r="H311" s="19" t="str">
        <f aca="false">IFERROR(INDEX(Exercícios!$C$7:$C$206,MATCH($G311,Exercícios!$B$7:$B$206,0)),"")</f>
        <v/>
      </c>
      <c r="I311" s="19" t="str">
        <f aca="false">IFERROR(INDEX(Exercícios!$D$7:$D$206,MATCH($G311,Exercícios!$B$7:$B$206,0)),"")</f>
        <v/>
      </c>
      <c r="J311" s="19" t="str">
        <f aca="false">IFERROR(INDEX(Exercícios!$E$7:$E$206,MATCH($G311,Exercícios!$B$7:$B$206,0)),"")</f>
        <v/>
      </c>
      <c r="K311" s="22"/>
      <c r="L311" s="22"/>
      <c r="M311" s="20"/>
      <c r="N311" s="22"/>
      <c r="O311" s="22"/>
      <c r="P311" s="22"/>
      <c r="Q311" s="19" t="n">
        <f aca="false">IFERROR($K311*$L311,"")</f>
        <v>0</v>
      </c>
      <c r="R311" s="48" t="n">
        <f aca="false">IF(OR($O311="",$P311=""),0,$O311*$P311)</f>
        <v>0</v>
      </c>
      <c r="S311" s="20"/>
      <c r="T311" s="20"/>
      <c r="U311" s="33" t="n">
        <f aca="false">IF($A311="",0,IF(AND(OR($E311=Atleta!$C$4,$E311="Equipe (todos)"),$A311&gt;=Atleta!$C$5),MAX($U$7:U310)+1,0))</f>
        <v>0</v>
      </c>
    </row>
    <row r="312" customFormat="false" ht="15" hidden="false" customHeight="false" outlineLevel="0" collapsed="false">
      <c r="A312" s="21"/>
      <c r="B312" s="33" t="n">
        <f aca="false">IF($A312="",0,INT(($A312-Macrociclo!$C$11)/7)+1)</f>
        <v>0</v>
      </c>
      <c r="C312" s="22"/>
      <c r="D312" s="22"/>
      <c r="E312" s="20"/>
      <c r="F312" s="22"/>
      <c r="G312" s="20"/>
      <c r="H312" s="19" t="str">
        <f aca="false">IFERROR(INDEX(Exercícios!$C$7:$C$206,MATCH($G312,Exercícios!$B$7:$B$206,0)),"")</f>
        <v/>
      </c>
      <c r="I312" s="19" t="str">
        <f aca="false">IFERROR(INDEX(Exercícios!$D$7:$D$206,MATCH($G312,Exercícios!$B$7:$B$206,0)),"")</f>
        <v/>
      </c>
      <c r="J312" s="19" t="str">
        <f aca="false">IFERROR(INDEX(Exercícios!$E$7:$E$206,MATCH($G312,Exercícios!$B$7:$B$206,0)),"")</f>
        <v/>
      </c>
      <c r="K312" s="22"/>
      <c r="L312" s="22"/>
      <c r="M312" s="20"/>
      <c r="N312" s="22"/>
      <c r="O312" s="22"/>
      <c r="P312" s="22"/>
      <c r="Q312" s="19" t="n">
        <f aca="false">IFERROR($K312*$L312,"")</f>
        <v>0</v>
      </c>
      <c r="R312" s="48" t="n">
        <f aca="false">IF(OR($O312="",$P312=""),0,$O312*$P312)</f>
        <v>0</v>
      </c>
      <c r="S312" s="20"/>
      <c r="T312" s="20"/>
      <c r="U312" s="33" t="n">
        <f aca="false">IF($A312="",0,IF(AND(OR($E312=Atleta!$C$4,$E312="Equipe (todos)"),$A312&gt;=Atleta!$C$5),MAX($U$7:U311)+1,0))</f>
        <v>0</v>
      </c>
    </row>
    <row r="313" customFormat="false" ht="15" hidden="false" customHeight="false" outlineLevel="0" collapsed="false">
      <c r="A313" s="21"/>
      <c r="B313" s="33" t="n">
        <f aca="false">IF($A313="",0,INT(($A313-Macrociclo!$C$11)/7)+1)</f>
        <v>0</v>
      </c>
      <c r="C313" s="22"/>
      <c r="D313" s="22"/>
      <c r="E313" s="20"/>
      <c r="F313" s="22"/>
      <c r="G313" s="20"/>
      <c r="H313" s="19" t="str">
        <f aca="false">IFERROR(INDEX(Exercícios!$C$7:$C$206,MATCH($G313,Exercícios!$B$7:$B$206,0)),"")</f>
        <v/>
      </c>
      <c r="I313" s="19" t="str">
        <f aca="false">IFERROR(INDEX(Exercícios!$D$7:$D$206,MATCH($G313,Exercícios!$B$7:$B$206,0)),"")</f>
        <v/>
      </c>
      <c r="J313" s="19" t="str">
        <f aca="false">IFERROR(INDEX(Exercícios!$E$7:$E$206,MATCH($G313,Exercícios!$B$7:$B$206,0)),"")</f>
        <v/>
      </c>
      <c r="K313" s="22"/>
      <c r="L313" s="22"/>
      <c r="M313" s="20"/>
      <c r="N313" s="22"/>
      <c r="O313" s="22"/>
      <c r="P313" s="22"/>
      <c r="Q313" s="19" t="n">
        <f aca="false">IFERROR($K313*$L313,"")</f>
        <v>0</v>
      </c>
      <c r="R313" s="48" t="n">
        <f aca="false">IF(OR($O313="",$P313=""),0,$O313*$P313)</f>
        <v>0</v>
      </c>
      <c r="S313" s="20"/>
      <c r="T313" s="20"/>
      <c r="U313" s="33" t="n">
        <f aca="false">IF($A313="",0,IF(AND(OR($E313=Atleta!$C$4,$E313="Equipe (todos)"),$A313&gt;=Atleta!$C$5),MAX($U$7:U312)+1,0))</f>
        <v>0</v>
      </c>
    </row>
    <row r="314" customFormat="false" ht="15" hidden="false" customHeight="false" outlineLevel="0" collapsed="false">
      <c r="A314" s="21"/>
      <c r="B314" s="33" t="n">
        <f aca="false">IF($A314="",0,INT(($A314-Macrociclo!$C$11)/7)+1)</f>
        <v>0</v>
      </c>
      <c r="C314" s="22"/>
      <c r="D314" s="22"/>
      <c r="E314" s="20"/>
      <c r="F314" s="22"/>
      <c r="G314" s="20"/>
      <c r="H314" s="19" t="str">
        <f aca="false">IFERROR(INDEX(Exercícios!$C$7:$C$206,MATCH($G314,Exercícios!$B$7:$B$206,0)),"")</f>
        <v/>
      </c>
      <c r="I314" s="19" t="str">
        <f aca="false">IFERROR(INDEX(Exercícios!$D$7:$D$206,MATCH($G314,Exercícios!$B$7:$B$206,0)),"")</f>
        <v/>
      </c>
      <c r="J314" s="19" t="str">
        <f aca="false">IFERROR(INDEX(Exercícios!$E$7:$E$206,MATCH($G314,Exercícios!$B$7:$B$206,0)),"")</f>
        <v/>
      </c>
      <c r="K314" s="22"/>
      <c r="L314" s="22"/>
      <c r="M314" s="20"/>
      <c r="N314" s="22"/>
      <c r="O314" s="22"/>
      <c r="P314" s="22"/>
      <c r="Q314" s="19" t="n">
        <f aca="false">IFERROR($K314*$L314,"")</f>
        <v>0</v>
      </c>
      <c r="R314" s="48" t="n">
        <f aca="false">IF(OR($O314="",$P314=""),0,$O314*$P314)</f>
        <v>0</v>
      </c>
      <c r="S314" s="20"/>
      <c r="T314" s="20"/>
      <c r="U314" s="33" t="n">
        <f aca="false">IF($A314="",0,IF(AND(OR($E314=Atleta!$C$4,$E314="Equipe (todos)"),$A314&gt;=Atleta!$C$5),MAX($U$7:U313)+1,0))</f>
        <v>0</v>
      </c>
    </row>
    <row r="315" customFormat="false" ht="15" hidden="false" customHeight="false" outlineLevel="0" collapsed="false">
      <c r="A315" s="21"/>
      <c r="B315" s="33" t="n">
        <f aca="false">IF($A315="",0,INT(($A315-Macrociclo!$C$11)/7)+1)</f>
        <v>0</v>
      </c>
      <c r="C315" s="22"/>
      <c r="D315" s="22"/>
      <c r="E315" s="20"/>
      <c r="F315" s="22"/>
      <c r="G315" s="20"/>
      <c r="H315" s="19" t="str">
        <f aca="false">IFERROR(INDEX(Exercícios!$C$7:$C$206,MATCH($G315,Exercícios!$B$7:$B$206,0)),"")</f>
        <v/>
      </c>
      <c r="I315" s="19" t="str">
        <f aca="false">IFERROR(INDEX(Exercícios!$D$7:$D$206,MATCH($G315,Exercícios!$B$7:$B$206,0)),"")</f>
        <v/>
      </c>
      <c r="J315" s="19" t="str">
        <f aca="false">IFERROR(INDEX(Exercícios!$E$7:$E$206,MATCH($G315,Exercícios!$B$7:$B$206,0)),"")</f>
        <v/>
      </c>
      <c r="K315" s="22"/>
      <c r="L315" s="22"/>
      <c r="M315" s="20"/>
      <c r="N315" s="22"/>
      <c r="O315" s="22"/>
      <c r="P315" s="22"/>
      <c r="Q315" s="19" t="n">
        <f aca="false">IFERROR($K315*$L315,"")</f>
        <v>0</v>
      </c>
      <c r="R315" s="48" t="n">
        <f aca="false">IF(OR($O315="",$P315=""),0,$O315*$P315)</f>
        <v>0</v>
      </c>
      <c r="S315" s="20"/>
      <c r="T315" s="20"/>
      <c r="U315" s="33" t="n">
        <f aca="false">IF($A315="",0,IF(AND(OR($E315=Atleta!$C$4,$E315="Equipe (todos)"),$A315&gt;=Atleta!$C$5),MAX($U$7:U314)+1,0))</f>
        <v>0</v>
      </c>
    </row>
    <row r="316" customFormat="false" ht="15" hidden="false" customHeight="false" outlineLevel="0" collapsed="false">
      <c r="A316" s="21"/>
      <c r="B316" s="33" t="n">
        <f aca="false">IF($A316="",0,INT(($A316-Macrociclo!$C$11)/7)+1)</f>
        <v>0</v>
      </c>
      <c r="C316" s="22"/>
      <c r="D316" s="22"/>
      <c r="E316" s="20"/>
      <c r="F316" s="22"/>
      <c r="G316" s="20"/>
      <c r="H316" s="19" t="str">
        <f aca="false">IFERROR(INDEX(Exercícios!$C$7:$C$206,MATCH($G316,Exercícios!$B$7:$B$206,0)),"")</f>
        <v/>
      </c>
      <c r="I316" s="19" t="str">
        <f aca="false">IFERROR(INDEX(Exercícios!$D$7:$D$206,MATCH($G316,Exercícios!$B$7:$B$206,0)),"")</f>
        <v/>
      </c>
      <c r="J316" s="19" t="str">
        <f aca="false">IFERROR(INDEX(Exercícios!$E$7:$E$206,MATCH($G316,Exercícios!$B$7:$B$206,0)),"")</f>
        <v/>
      </c>
      <c r="K316" s="22"/>
      <c r="L316" s="22"/>
      <c r="M316" s="20"/>
      <c r="N316" s="22"/>
      <c r="O316" s="22"/>
      <c r="P316" s="22"/>
      <c r="Q316" s="19" t="n">
        <f aca="false">IFERROR($K316*$L316,"")</f>
        <v>0</v>
      </c>
      <c r="R316" s="48" t="n">
        <f aca="false">IF(OR($O316="",$P316=""),0,$O316*$P316)</f>
        <v>0</v>
      </c>
      <c r="S316" s="20"/>
      <c r="T316" s="20"/>
      <c r="U316" s="33" t="n">
        <f aca="false">IF($A316="",0,IF(AND(OR($E316=Atleta!$C$4,$E316="Equipe (todos)"),$A316&gt;=Atleta!$C$5),MAX($U$7:U315)+1,0))</f>
        <v>0</v>
      </c>
    </row>
    <row r="317" customFormat="false" ht="15" hidden="false" customHeight="false" outlineLevel="0" collapsed="false">
      <c r="A317" s="21"/>
      <c r="B317" s="33" t="n">
        <f aca="false">IF($A317="",0,INT(($A317-Macrociclo!$C$11)/7)+1)</f>
        <v>0</v>
      </c>
      <c r="C317" s="22"/>
      <c r="D317" s="22"/>
      <c r="E317" s="20"/>
      <c r="F317" s="22"/>
      <c r="G317" s="20"/>
      <c r="H317" s="19" t="str">
        <f aca="false">IFERROR(INDEX(Exercícios!$C$7:$C$206,MATCH($G317,Exercícios!$B$7:$B$206,0)),"")</f>
        <v/>
      </c>
      <c r="I317" s="19" t="str">
        <f aca="false">IFERROR(INDEX(Exercícios!$D$7:$D$206,MATCH($G317,Exercícios!$B$7:$B$206,0)),"")</f>
        <v/>
      </c>
      <c r="J317" s="19" t="str">
        <f aca="false">IFERROR(INDEX(Exercícios!$E$7:$E$206,MATCH($G317,Exercícios!$B$7:$B$206,0)),"")</f>
        <v/>
      </c>
      <c r="K317" s="22"/>
      <c r="L317" s="22"/>
      <c r="M317" s="20"/>
      <c r="N317" s="22"/>
      <c r="O317" s="22"/>
      <c r="P317" s="22"/>
      <c r="Q317" s="19" t="n">
        <f aca="false">IFERROR($K317*$L317,"")</f>
        <v>0</v>
      </c>
      <c r="R317" s="48" t="n">
        <f aca="false">IF(OR($O317="",$P317=""),0,$O317*$P317)</f>
        <v>0</v>
      </c>
      <c r="S317" s="20"/>
      <c r="T317" s="20"/>
      <c r="U317" s="33" t="n">
        <f aca="false">IF($A317="",0,IF(AND(OR($E317=Atleta!$C$4,$E317="Equipe (todos)"),$A317&gt;=Atleta!$C$5),MAX($U$7:U316)+1,0))</f>
        <v>0</v>
      </c>
    </row>
    <row r="318" customFormat="false" ht="15" hidden="false" customHeight="false" outlineLevel="0" collapsed="false">
      <c r="A318" s="21"/>
      <c r="B318" s="33" t="n">
        <f aca="false">IF($A318="",0,INT(($A318-Macrociclo!$C$11)/7)+1)</f>
        <v>0</v>
      </c>
      <c r="C318" s="22"/>
      <c r="D318" s="22"/>
      <c r="E318" s="20"/>
      <c r="F318" s="22"/>
      <c r="G318" s="20"/>
      <c r="H318" s="19" t="str">
        <f aca="false">IFERROR(INDEX(Exercícios!$C$7:$C$206,MATCH($G318,Exercícios!$B$7:$B$206,0)),"")</f>
        <v/>
      </c>
      <c r="I318" s="19" t="str">
        <f aca="false">IFERROR(INDEX(Exercícios!$D$7:$D$206,MATCH($G318,Exercícios!$B$7:$B$206,0)),"")</f>
        <v/>
      </c>
      <c r="J318" s="19" t="str">
        <f aca="false">IFERROR(INDEX(Exercícios!$E$7:$E$206,MATCH($G318,Exercícios!$B$7:$B$206,0)),"")</f>
        <v/>
      </c>
      <c r="K318" s="22"/>
      <c r="L318" s="22"/>
      <c r="M318" s="20"/>
      <c r="N318" s="22"/>
      <c r="O318" s="22"/>
      <c r="P318" s="22"/>
      <c r="Q318" s="19" t="n">
        <f aca="false">IFERROR($K318*$L318,"")</f>
        <v>0</v>
      </c>
      <c r="R318" s="48" t="n">
        <f aca="false">IF(OR($O318="",$P318=""),0,$O318*$P318)</f>
        <v>0</v>
      </c>
      <c r="S318" s="20"/>
      <c r="T318" s="20"/>
      <c r="U318" s="33" t="n">
        <f aca="false">IF($A318="",0,IF(AND(OR($E318=Atleta!$C$4,$E318="Equipe (todos)"),$A318&gt;=Atleta!$C$5),MAX($U$7:U317)+1,0))</f>
        <v>0</v>
      </c>
    </row>
    <row r="319" customFormat="false" ht="15" hidden="false" customHeight="false" outlineLevel="0" collapsed="false">
      <c r="A319" s="21"/>
      <c r="B319" s="33" t="n">
        <f aca="false">IF($A319="",0,INT(($A319-Macrociclo!$C$11)/7)+1)</f>
        <v>0</v>
      </c>
      <c r="C319" s="22"/>
      <c r="D319" s="22"/>
      <c r="E319" s="20"/>
      <c r="F319" s="22"/>
      <c r="G319" s="20"/>
      <c r="H319" s="19" t="str">
        <f aca="false">IFERROR(INDEX(Exercícios!$C$7:$C$206,MATCH($G319,Exercícios!$B$7:$B$206,0)),"")</f>
        <v/>
      </c>
      <c r="I319" s="19" t="str">
        <f aca="false">IFERROR(INDEX(Exercícios!$D$7:$D$206,MATCH($G319,Exercícios!$B$7:$B$206,0)),"")</f>
        <v/>
      </c>
      <c r="J319" s="19" t="str">
        <f aca="false">IFERROR(INDEX(Exercícios!$E$7:$E$206,MATCH($G319,Exercícios!$B$7:$B$206,0)),"")</f>
        <v/>
      </c>
      <c r="K319" s="22"/>
      <c r="L319" s="22"/>
      <c r="M319" s="20"/>
      <c r="N319" s="22"/>
      <c r="O319" s="22"/>
      <c r="P319" s="22"/>
      <c r="Q319" s="19" t="n">
        <f aca="false">IFERROR($K319*$L319,"")</f>
        <v>0</v>
      </c>
      <c r="R319" s="48" t="n">
        <f aca="false">IF(OR($O319="",$P319=""),0,$O319*$P319)</f>
        <v>0</v>
      </c>
      <c r="S319" s="20"/>
      <c r="T319" s="20"/>
      <c r="U319" s="33" t="n">
        <f aca="false">IF($A319="",0,IF(AND(OR($E319=Atleta!$C$4,$E319="Equipe (todos)"),$A319&gt;=Atleta!$C$5),MAX($U$7:U318)+1,0))</f>
        <v>0</v>
      </c>
    </row>
    <row r="320" customFormat="false" ht="15" hidden="false" customHeight="false" outlineLevel="0" collapsed="false">
      <c r="A320" s="21"/>
      <c r="B320" s="33" t="n">
        <f aca="false">IF($A320="",0,INT(($A320-Macrociclo!$C$11)/7)+1)</f>
        <v>0</v>
      </c>
      <c r="C320" s="22"/>
      <c r="D320" s="22"/>
      <c r="E320" s="20"/>
      <c r="F320" s="22"/>
      <c r="G320" s="20"/>
      <c r="H320" s="19" t="str">
        <f aca="false">IFERROR(INDEX(Exercícios!$C$7:$C$206,MATCH($G320,Exercícios!$B$7:$B$206,0)),"")</f>
        <v/>
      </c>
      <c r="I320" s="19" t="str">
        <f aca="false">IFERROR(INDEX(Exercícios!$D$7:$D$206,MATCH($G320,Exercícios!$B$7:$B$206,0)),"")</f>
        <v/>
      </c>
      <c r="J320" s="19" t="str">
        <f aca="false">IFERROR(INDEX(Exercícios!$E$7:$E$206,MATCH($G320,Exercícios!$B$7:$B$206,0)),"")</f>
        <v/>
      </c>
      <c r="K320" s="22"/>
      <c r="L320" s="22"/>
      <c r="M320" s="20"/>
      <c r="N320" s="22"/>
      <c r="O320" s="22"/>
      <c r="P320" s="22"/>
      <c r="Q320" s="19" t="n">
        <f aca="false">IFERROR($K320*$L320,"")</f>
        <v>0</v>
      </c>
      <c r="R320" s="48" t="n">
        <f aca="false">IF(OR($O320="",$P320=""),0,$O320*$P320)</f>
        <v>0</v>
      </c>
      <c r="S320" s="20"/>
      <c r="T320" s="20"/>
      <c r="U320" s="33" t="n">
        <f aca="false">IF($A320="",0,IF(AND(OR($E320=Atleta!$C$4,$E320="Equipe (todos)"),$A320&gt;=Atleta!$C$5),MAX($U$7:U319)+1,0))</f>
        <v>0</v>
      </c>
    </row>
    <row r="321" customFormat="false" ht="15" hidden="false" customHeight="false" outlineLevel="0" collapsed="false">
      <c r="A321" s="21"/>
      <c r="B321" s="33" t="n">
        <f aca="false">IF($A321="",0,INT(($A321-Macrociclo!$C$11)/7)+1)</f>
        <v>0</v>
      </c>
      <c r="C321" s="22"/>
      <c r="D321" s="22"/>
      <c r="E321" s="20"/>
      <c r="F321" s="22"/>
      <c r="G321" s="20"/>
      <c r="H321" s="19" t="str">
        <f aca="false">IFERROR(INDEX(Exercícios!$C$7:$C$206,MATCH($G321,Exercícios!$B$7:$B$206,0)),"")</f>
        <v/>
      </c>
      <c r="I321" s="19" t="str">
        <f aca="false">IFERROR(INDEX(Exercícios!$D$7:$D$206,MATCH($G321,Exercícios!$B$7:$B$206,0)),"")</f>
        <v/>
      </c>
      <c r="J321" s="19" t="str">
        <f aca="false">IFERROR(INDEX(Exercícios!$E$7:$E$206,MATCH($G321,Exercícios!$B$7:$B$206,0)),"")</f>
        <v/>
      </c>
      <c r="K321" s="22"/>
      <c r="L321" s="22"/>
      <c r="M321" s="20"/>
      <c r="N321" s="22"/>
      <c r="O321" s="22"/>
      <c r="P321" s="22"/>
      <c r="Q321" s="19" t="n">
        <f aca="false">IFERROR($K321*$L321,"")</f>
        <v>0</v>
      </c>
      <c r="R321" s="48" t="n">
        <f aca="false">IF(OR($O321="",$P321=""),0,$O321*$P321)</f>
        <v>0</v>
      </c>
      <c r="S321" s="20"/>
      <c r="T321" s="20"/>
      <c r="U321" s="33" t="n">
        <f aca="false">IF($A321="",0,IF(AND(OR($E321=Atleta!$C$4,$E321="Equipe (todos)"),$A321&gt;=Atleta!$C$5),MAX($U$7:U320)+1,0))</f>
        <v>0</v>
      </c>
    </row>
    <row r="322" customFormat="false" ht="15" hidden="false" customHeight="false" outlineLevel="0" collapsed="false">
      <c r="A322" s="21"/>
      <c r="B322" s="33" t="n">
        <f aca="false">IF($A322="",0,INT(($A322-Macrociclo!$C$11)/7)+1)</f>
        <v>0</v>
      </c>
      <c r="C322" s="22"/>
      <c r="D322" s="22"/>
      <c r="E322" s="20"/>
      <c r="F322" s="22"/>
      <c r="G322" s="20"/>
      <c r="H322" s="19" t="str">
        <f aca="false">IFERROR(INDEX(Exercícios!$C$7:$C$206,MATCH($G322,Exercícios!$B$7:$B$206,0)),"")</f>
        <v/>
      </c>
      <c r="I322" s="19" t="str">
        <f aca="false">IFERROR(INDEX(Exercícios!$D$7:$D$206,MATCH($G322,Exercícios!$B$7:$B$206,0)),"")</f>
        <v/>
      </c>
      <c r="J322" s="19" t="str">
        <f aca="false">IFERROR(INDEX(Exercícios!$E$7:$E$206,MATCH($G322,Exercícios!$B$7:$B$206,0)),"")</f>
        <v/>
      </c>
      <c r="K322" s="22"/>
      <c r="L322" s="22"/>
      <c r="M322" s="20"/>
      <c r="N322" s="22"/>
      <c r="O322" s="22"/>
      <c r="P322" s="22"/>
      <c r="Q322" s="19" t="n">
        <f aca="false">IFERROR($K322*$L322,"")</f>
        <v>0</v>
      </c>
      <c r="R322" s="48" t="n">
        <f aca="false">IF(OR($O322="",$P322=""),0,$O322*$P322)</f>
        <v>0</v>
      </c>
      <c r="S322" s="20"/>
      <c r="T322" s="20"/>
      <c r="U322" s="33" t="n">
        <f aca="false">IF($A322="",0,IF(AND(OR($E322=Atleta!$C$4,$E322="Equipe (todos)"),$A322&gt;=Atleta!$C$5),MAX($U$7:U321)+1,0))</f>
        <v>0</v>
      </c>
    </row>
    <row r="323" customFormat="false" ht="15" hidden="false" customHeight="false" outlineLevel="0" collapsed="false">
      <c r="A323" s="21"/>
      <c r="B323" s="33" t="n">
        <f aca="false">IF($A323="",0,INT(($A323-Macrociclo!$C$11)/7)+1)</f>
        <v>0</v>
      </c>
      <c r="C323" s="22"/>
      <c r="D323" s="22"/>
      <c r="E323" s="20"/>
      <c r="F323" s="22"/>
      <c r="G323" s="20"/>
      <c r="H323" s="19" t="str">
        <f aca="false">IFERROR(INDEX(Exercícios!$C$7:$C$206,MATCH($G323,Exercícios!$B$7:$B$206,0)),"")</f>
        <v/>
      </c>
      <c r="I323" s="19" t="str">
        <f aca="false">IFERROR(INDEX(Exercícios!$D$7:$D$206,MATCH($G323,Exercícios!$B$7:$B$206,0)),"")</f>
        <v/>
      </c>
      <c r="J323" s="19" t="str">
        <f aca="false">IFERROR(INDEX(Exercícios!$E$7:$E$206,MATCH($G323,Exercícios!$B$7:$B$206,0)),"")</f>
        <v/>
      </c>
      <c r="K323" s="22"/>
      <c r="L323" s="22"/>
      <c r="M323" s="20"/>
      <c r="N323" s="22"/>
      <c r="O323" s="22"/>
      <c r="P323" s="22"/>
      <c r="Q323" s="19" t="n">
        <f aca="false">IFERROR($K323*$L323,"")</f>
        <v>0</v>
      </c>
      <c r="R323" s="48" t="n">
        <f aca="false">IF(OR($O323="",$P323=""),0,$O323*$P323)</f>
        <v>0</v>
      </c>
      <c r="S323" s="20"/>
      <c r="T323" s="20"/>
      <c r="U323" s="33" t="n">
        <f aca="false">IF($A323="",0,IF(AND(OR($E323=Atleta!$C$4,$E323="Equipe (todos)"),$A323&gt;=Atleta!$C$5),MAX($U$7:U322)+1,0))</f>
        <v>0</v>
      </c>
    </row>
    <row r="324" customFormat="false" ht="15" hidden="false" customHeight="false" outlineLevel="0" collapsed="false">
      <c r="A324" s="21"/>
      <c r="B324" s="33" t="n">
        <f aca="false">IF($A324="",0,INT(($A324-Macrociclo!$C$11)/7)+1)</f>
        <v>0</v>
      </c>
      <c r="C324" s="22"/>
      <c r="D324" s="22"/>
      <c r="E324" s="20"/>
      <c r="F324" s="22"/>
      <c r="G324" s="20"/>
      <c r="H324" s="19" t="str">
        <f aca="false">IFERROR(INDEX(Exercícios!$C$7:$C$206,MATCH($G324,Exercícios!$B$7:$B$206,0)),"")</f>
        <v/>
      </c>
      <c r="I324" s="19" t="str">
        <f aca="false">IFERROR(INDEX(Exercícios!$D$7:$D$206,MATCH($G324,Exercícios!$B$7:$B$206,0)),"")</f>
        <v/>
      </c>
      <c r="J324" s="19" t="str">
        <f aca="false">IFERROR(INDEX(Exercícios!$E$7:$E$206,MATCH($G324,Exercícios!$B$7:$B$206,0)),"")</f>
        <v/>
      </c>
      <c r="K324" s="22"/>
      <c r="L324" s="22"/>
      <c r="M324" s="20"/>
      <c r="N324" s="22"/>
      <c r="O324" s="22"/>
      <c r="P324" s="22"/>
      <c r="Q324" s="19" t="n">
        <f aca="false">IFERROR($K324*$L324,"")</f>
        <v>0</v>
      </c>
      <c r="R324" s="48" t="n">
        <f aca="false">IF(OR($O324="",$P324=""),0,$O324*$P324)</f>
        <v>0</v>
      </c>
      <c r="S324" s="20"/>
      <c r="T324" s="20"/>
      <c r="U324" s="33" t="n">
        <f aca="false">IF($A324="",0,IF(AND(OR($E324=Atleta!$C$4,$E324="Equipe (todos)"),$A324&gt;=Atleta!$C$5),MAX($U$7:U323)+1,0))</f>
        <v>0</v>
      </c>
    </row>
    <row r="325" customFormat="false" ht="15" hidden="false" customHeight="false" outlineLevel="0" collapsed="false">
      <c r="A325" s="21"/>
      <c r="B325" s="33" t="n">
        <f aca="false">IF($A325="",0,INT(($A325-Macrociclo!$C$11)/7)+1)</f>
        <v>0</v>
      </c>
      <c r="C325" s="22"/>
      <c r="D325" s="22"/>
      <c r="E325" s="20"/>
      <c r="F325" s="22"/>
      <c r="G325" s="20"/>
      <c r="H325" s="19" t="str">
        <f aca="false">IFERROR(INDEX(Exercícios!$C$7:$C$206,MATCH($G325,Exercícios!$B$7:$B$206,0)),"")</f>
        <v/>
      </c>
      <c r="I325" s="19" t="str">
        <f aca="false">IFERROR(INDEX(Exercícios!$D$7:$D$206,MATCH($G325,Exercícios!$B$7:$B$206,0)),"")</f>
        <v/>
      </c>
      <c r="J325" s="19" t="str">
        <f aca="false">IFERROR(INDEX(Exercícios!$E$7:$E$206,MATCH($G325,Exercícios!$B$7:$B$206,0)),"")</f>
        <v/>
      </c>
      <c r="K325" s="22"/>
      <c r="L325" s="22"/>
      <c r="M325" s="20"/>
      <c r="N325" s="22"/>
      <c r="O325" s="22"/>
      <c r="P325" s="22"/>
      <c r="Q325" s="19" t="n">
        <f aca="false">IFERROR($K325*$L325,"")</f>
        <v>0</v>
      </c>
      <c r="R325" s="48" t="n">
        <f aca="false">IF(OR($O325="",$P325=""),0,$O325*$P325)</f>
        <v>0</v>
      </c>
      <c r="S325" s="20"/>
      <c r="T325" s="20"/>
      <c r="U325" s="33" t="n">
        <f aca="false">IF($A325="",0,IF(AND(OR($E325=Atleta!$C$4,$E325="Equipe (todos)"),$A325&gt;=Atleta!$C$5),MAX($U$7:U324)+1,0))</f>
        <v>0</v>
      </c>
    </row>
    <row r="326" customFormat="false" ht="15" hidden="false" customHeight="false" outlineLevel="0" collapsed="false">
      <c r="A326" s="21"/>
      <c r="B326" s="33" t="n">
        <f aca="false">IF($A326="",0,INT(($A326-Macrociclo!$C$11)/7)+1)</f>
        <v>0</v>
      </c>
      <c r="C326" s="22"/>
      <c r="D326" s="22"/>
      <c r="E326" s="20"/>
      <c r="F326" s="22"/>
      <c r="G326" s="20"/>
      <c r="H326" s="19" t="str">
        <f aca="false">IFERROR(INDEX(Exercícios!$C$7:$C$206,MATCH($G326,Exercícios!$B$7:$B$206,0)),"")</f>
        <v/>
      </c>
      <c r="I326" s="19" t="str">
        <f aca="false">IFERROR(INDEX(Exercícios!$D$7:$D$206,MATCH($G326,Exercícios!$B$7:$B$206,0)),"")</f>
        <v/>
      </c>
      <c r="J326" s="19" t="str">
        <f aca="false">IFERROR(INDEX(Exercícios!$E$7:$E$206,MATCH($G326,Exercícios!$B$7:$B$206,0)),"")</f>
        <v/>
      </c>
      <c r="K326" s="22"/>
      <c r="L326" s="22"/>
      <c r="M326" s="20"/>
      <c r="N326" s="22"/>
      <c r="O326" s="22"/>
      <c r="P326" s="22"/>
      <c r="Q326" s="19" t="n">
        <f aca="false">IFERROR($K326*$L326,"")</f>
        <v>0</v>
      </c>
      <c r="R326" s="48" t="n">
        <f aca="false">IF(OR($O326="",$P326=""),0,$O326*$P326)</f>
        <v>0</v>
      </c>
      <c r="S326" s="20"/>
      <c r="T326" s="20"/>
      <c r="U326" s="33" t="n">
        <f aca="false">IF($A326="",0,IF(AND(OR($E326=Atleta!$C$4,$E326="Equipe (todos)"),$A326&gt;=Atleta!$C$5),MAX($U$7:U325)+1,0))</f>
        <v>0</v>
      </c>
    </row>
    <row r="327" customFormat="false" ht="15" hidden="false" customHeight="false" outlineLevel="0" collapsed="false">
      <c r="A327" s="21"/>
      <c r="B327" s="33" t="n">
        <f aca="false">IF($A327="",0,INT(($A327-Macrociclo!$C$11)/7)+1)</f>
        <v>0</v>
      </c>
      <c r="C327" s="22"/>
      <c r="D327" s="22"/>
      <c r="E327" s="20"/>
      <c r="F327" s="22"/>
      <c r="G327" s="20"/>
      <c r="H327" s="19" t="str">
        <f aca="false">IFERROR(INDEX(Exercícios!$C$7:$C$206,MATCH($G327,Exercícios!$B$7:$B$206,0)),"")</f>
        <v/>
      </c>
      <c r="I327" s="19" t="str">
        <f aca="false">IFERROR(INDEX(Exercícios!$D$7:$D$206,MATCH($G327,Exercícios!$B$7:$B$206,0)),"")</f>
        <v/>
      </c>
      <c r="J327" s="19" t="str">
        <f aca="false">IFERROR(INDEX(Exercícios!$E$7:$E$206,MATCH($G327,Exercícios!$B$7:$B$206,0)),"")</f>
        <v/>
      </c>
      <c r="K327" s="22"/>
      <c r="L327" s="22"/>
      <c r="M327" s="20"/>
      <c r="N327" s="22"/>
      <c r="O327" s="22"/>
      <c r="P327" s="22"/>
      <c r="Q327" s="19" t="n">
        <f aca="false">IFERROR($K327*$L327,"")</f>
        <v>0</v>
      </c>
      <c r="R327" s="48" t="n">
        <f aca="false">IF(OR($O327="",$P327=""),0,$O327*$P327)</f>
        <v>0</v>
      </c>
      <c r="S327" s="20"/>
      <c r="T327" s="20"/>
      <c r="U327" s="33" t="n">
        <f aca="false">IF($A327="",0,IF(AND(OR($E327=Atleta!$C$4,$E327="Equipe (todos)"),$A327&gt;=Atleta!$C$5),MAX($U$7:U326)+1,0))</f>
        <v>0</v>
      </c>
    </row>
    <row r="328" customFormat="false" ht="15" hidden="false" customHeight="false" outlineLevel="0" collapsed="false">
      <c r="A328" s="21"/>
      <c r="B328" s="33" t="n">
        <f aca="false">IF($A328="",0,INT(($A328-Macrociclo!$C$11)/7)+1)</f>
        <v>0</v>
      </c>
      <c r="C328" s="22"/>
      <c r="D328" s="22"/>
      <c r="E328" s="20"/>
      <c r="F328" s="22"/>
      <c r="G328" s="20"/>
      <c r="H328" s="19" t="str">
        <f aca="false">IFERROR(INDEX(Exercícios!$C$7:$C$206,MATCH($G328,Exercícios!$B$7:$B$206,0)),"")</f>
        <v/>
      </c>
      <c r="I328" s="19" t="str">
        <f aca="false">IFERROR(INDEX(Exercícios!$D$7:$D$206,MATCH($G328,Exercícios!$B$7:$B$206,0)),"")</f>
        <v/>
      </c>
      <c r="J328" s="19" t="str">
        <f aca="false">IFERROR(INDEX(Exercícios!$E$7:$E$206,MATCH($G328,Exercícios!$B$7:$B$206,0)),"")</f>
        <v/>
      </c>
      <c r="K328" s="22"/>
      <c r="L328" s="22"/>
      <c r="M328" s="20"/>
      <c r="N328" s="22"/>
      <c r="O328" s="22"/>
      <c r="P328" s="22"/>
      <c r="Q328" s="19" t="n">
        <f aca="false">IFERROR($K328*$L328,"")</f>
        <v>0</v>
      </c>
      <c r="R328" s="48" t="n">
        <f aca="false">IF(OR($O328="",$P328=""),0,$O328*$P328)</f>
        <v>0</v>
      </c>
      <c r="S328" s="20"/>
      <c r="T328" s="20"/>
      <c r="U328" s="33" t="n">
        <f aca="false">IF($A328="",0,IF(AND(OR($E328=Atleta!$C$4,$E328="Equipe (todos)"),$A328&gt;=Atleta!$C$5),MAX($U$7:U327)+1,0))</f>
        <v>0</v>
      </c>
    </row>
    <row r="329" customFormat="false" ht="15" hidden="false" customHeight="false" outlineLevel="0" collapsed="false">
      <c r="A329" s="21"/>
      <c r="B329" s="33" t="n">
        <f aca="false">IF($A329="",0,INT(($A329-Macrociclo!$C$11)/7)+1)</f>
        <v>0</v>
      </c>
      <c r="C329" s="22"/>
      <c r="D329" s="22"/>
      <c r="E329" s="20"/>
      <c r="F329" s="22"/>
      <c r="G329" s="20"/>
      <c r="H329" s="19" t="str">
        <f aca="false">IFERROR(INDEX(Exercícios!$C$7:$C$206,MATCH($G329,Exercícios!$B$7:$B$206,0)),"")</f>
        <v/>
      </c>
      <c r="I329" s="19" t="str">
        <f aca="false">IFERROR(INDEX(Exercícios!$D$7:$D$206,MATCH($G329,Exercícios!$B$7:$B$206,0)),"")</f>
        <v/>
      </c>
      <c r="J329" s="19" t="str">
        <f aca="false">IFERROR(INDEX(Exercícios!$E$7:$E$206,MATCH($G329,Exercícios!$B$7:$B$206,0)),"")</f>
        <v/>
      </c>
      <c r="K329" s="22"/>
      <c r="L329" s="22"/>
      <c r="M329" s="20"/>
      <c r="N329" s="22"/>
      <c r="O329" s="22"/>
      <c r="P329" s="22"/>
      <c r="Q329" s="19" t="n">
        <f aca="false">IFERROR($K329*$L329,"")</f>
        <v>0</v>
      </c>
      <c r="R329" s="48" t="n">
        <f aca="false">IF(OR($O329="",$P329=""),0,$O329*$P329)</f>
        <v>0</v>
      </c>
      <c r="S329" s="20"/>
      <c r="T329" s="20"/>
      <c r="U329" s="33" t="n">
        <f aca="false">IF($A329="",0,IF(AND(OR($E329=Atleta!$C$4,$E329="Equipe (todos)"),$A329&gt;=Atleta!$C$5),MAX($U$7:U328)+1,0))</f>
        <v>0</v>
      </c>
    </row>
    <row r="330" customFormat="false" ht="15" hidden="false" customHeight="false" outlineLevel="0" collapsed="false">
      <c r="A330" s="21"/>
      <c r="B330" s="33" t="n">
        <f aca="false">IF($A330="",0,INT(($A330-Macrociclo!$C$11)/7)+1)</f>
        <v>0</v>
      </c>
      <c r="C330" s="22"/>
      <c r="D330" s="22"/>
      <c r="E330" s="20"/>
      <c r="F330" s="22"/>
      <c r="G330" s="20"/>
      <c r="H330" s="19" t="str">
        <f aca="false">IFERROR(INDEX(Exercícios!$C$7:$C$206,MATCH($G330,Exercícios!$B$7:$B$206,0)),"")</f>
        <v/>
      </c>
      <c r="I330" s="19" t="str">
        <f aca="false">IFERROR(INDEX(Exercícios!$D$7:$D$206,MATCH($G330,Exercícios!$B$7:$B$206,0)),"")</f>
        <v/>
      </c>
      <c r="J330" s="19" t="str">
        <f aca="false">IFERROR(INDEX(Exercícios!$E$7:$E$206,MATCH($G330,Exercícios!$B$7:$B$206,0)),"")</f>
        <v/>
      </c>
      <c r="K330" s="22"/>
      <c r="L330" s="22"/>
      <c r="M330" s="20"/>
      <c r="N330" s="22"/>
      <c r="O330" s="22"/>
      <c r="P330" s="22"/>
      <c r="Q330" s="19" t="n">
        <f aca="false">IFERROR($K330*$L330,"")</f>
        <v>0</v>
      </c>
      <c r="R330" s="48" t="n">
        <f aca="false">IF(OR($O330="",$P330=""),0,$O330*$P330)</f>
        <v>0</v>
      </c>
      <c r="S330" s="20"/>
      <c r="T330" s="20"/>
      <c r="U330" s="33" t="n">
        <f aca="false">IF($A330="",0,IF(AND(OR($E330=Atleta!$C$4,$E330="Equipe (todos)"),$A330&gt;=Atleta!$C$5),MAX($U$7:U329)+1,0))</f>
        <v>0</v>
      </c>
    </row>
    <row r="331" customFormat="false" ht="15" hidden="false" customHeight="false" outlineLevel="0" collapsed="false">
      <c r="A331" s="21"/>
      <c r="B331" s="33" t="n">
        <f aca="false">IF($A331="",0,INT(($A331-Macrociclo!$C$11)/7)+1)</f>
        <v>0</v>
      </c>
      <c r="C331" s="22"/>
      <c r="D331" s="22"/>
      <c r="E331" s="20"/>
      <c r="F331" s="22"/>
      <c r="G331" s="20"/>
      <c r="H331" s="19" t="str">
        <f aca="false">IFERROR(INDEX(Exercícios!$C$7:$C$206,MATCH($G331,Exercícios!$B$7:$B$206,0)),"")</f>
        <v/>
      </c>
      <c r="I331" s="19" t="str">
        <f aca="false">IFERROR(INDEX(Exercícios!$D$7:$D$206,MATCH($G331,Exercícios!$B$7:$B$206,0)),"")</f>
        <v/>
      </c>
      <c r="J331" s="19" t="str">
        <f aca="false">IFERROR(INDEX(Exercícios!$E$7:$E$206,MATCH($G331,Exercícios!$B$7:$B$206,0)),"")</f>
        <v/>
      </c>
      <c r="K331" s="22"/>
      <c r="L331" s="22"/>
      <c r="M331" s="20"/>
      <c r="N331" s="22"/>
      <c r="O331" s="22"/>
      <c r="P331" s="22"/>
      <c r="Q331" s="19" t="n">
        <f aca="false">IFERROR($K331*$L331,"")</f>
        <v>0</v>
      </c>
      <c r="R331" s="48" t="n">
        <f aca="false">IF(OR($O331="",$P331=""),0,$O331*$P331)</f>
        <v>0</v>
      </c>
      <c r="S331" s="20"/>
      <c r="T331" s="20"/>
      <c r="U331" s="33" t="n">
        <f aca="false">IF($A331="",0,IF(AND(OR($E331=Atleta!$C$4,$E331="Equipe (todos)"),$A331&gt;=Atleta!$C$5),MAX($U$7:U330)+1,0))</f>
        <v>0</v>
      </c>
    </row>
    <row r="332" customFormat="false" ht="15" hidden="false" customHeight="false" outlineLevel="0" collapsed="false">
      <c r="A332" s="21"/>
      <c r="B332" s="33" t="n">
        <f aca="false">IF($A332="",0,INT(($A332-Macrociclo!$C$11)/7)+1)</f>
        <v>0</v>
      </c>
      <c r="C332" s="22"/>
      <c r="D332" s="22"/>
      <c r="E332" s="20"/>
      <c r="F332" s="22"/>
      <c r="G332" s="20"/>
      <c r="H332" s="19" t="str">
        <f aca="false">IFERROR(INDEX(Exercícios!$C$7:$C$206,MATCH($G332,Exercícios!$B$7:$B$206,0)),"")</f>
        <v/>
      </c>
      <c r="I332" s="19" t="str">
        <f aca="false">IFERROR(INDEX(Exercícios!$D$7:$D$206,MATCH($G332,Exercícios!$B$7:$B$206,0)),"")</f>
        <v/>
      </c>
      <c r="J332" s="19" t="str">
        <f aca="false">IFERROR(INDEX(Exercícios!$E$7:$E$206,MATCH($G332,Exercícios!$B$7:$B$206,0)),"")</f>
        <v/>
      </c>
      <c r="K332" s="22"/>
      <c r="L332" s="22"/>
      <c r="M332" s="20"/>
      <c r="N332" s="22"/>
      <c r="O332" s="22"/>
      <c r="P332" s="22"/>
      <c r="Q332" s="19" t="n">
        <f aca="false">IFERROR($K332*$L332,"")</f>
        <v>0</v>
      </c>
      <c r="R332" s="48" t="n">
        <f aca="false">IF(OR($O332="",$P332=""),0,$O332*$P332)</f>
        <v>0</v>
      </c>
      <c r="S332" s="20"/>
      <c r="T332" s="20"/>
      <c r="U332" s="33" t="n">
        <f aca="false">IF($A332="",0,IF(AND(OR($E332=Atleta!$C$4,$E332="Equipe (todos)"),$A332&gt;=Atleta!$C$5),MAX($U$7:U331)+1,0))</f>
        <v>0</v>
      </c>
    </row>
    <row r="333" customFormat="false" ht="15" hidden="false" customHeight="false" outlineLevel="0" collapsed="false">
      <c r="A333" s="21"/>
      <c r="B333" s="33" t="n">
        <f aca="false">IF($A333="",0,INT(($A333-Macrociclo!$C$11)/7)+1)</f>
        <v>0</v>
      </c>
      <c r="C333" s="22"/>
      <c r="D333" s="22"/>
      <c r="E333" s="20"/>
      <c r="F333" s="22"/>
      <c r="G333" s="20"/>
      <c r="H333" s="19" t="str">
        <f aca="false">IFERROR(INDEX(Exercícios!$C$7:$C$206,MATCH($G333,Exercícios!$B$7:$B$206,0)),"")</f>
        <v/>
      </c>
      <c r="I333" s="19" t="str">
        <f aca="false">IFERROR(INDEX(Exercícios!$D$7:$D$206,MATCH($G333,Exercícios!$B$7:$B$206,0)),"")</f>
        <v/>
      </c>
      <c r="J333" s="19" t="str">
        <f aca="false">IFERROR(INDEX(Exercícios!$E$7:$E$206,MATCH($G333,Exercícios!$B$7:$B$206,0)),"")</f>
        <v/>
      </c>
      <c r="K333" s="22"/>
      <c r="L333" s="22"/>
      <c r="M333" s="20"/>
      <c r="N333" s="22"/>
      <c r="O333" s="22"/>
      <c r="P333" s="22"/>
      <c r="Q333" s="19" t="n">
        <f aca="false">IFERROR($K333*$L333,"")</f>
        <v>0</v>
      </c>
      <c r="R333" s="48" t="n">
        <f aca="false">IF(OR($O333="",$P333=""),0,$O333*$P333)</f>
        <v>0</v>
      </c>
      <c r="S333" s="20"/>
      <c r="T333" s="20"/>
      <c r="U333" s="33" t="n">
        <f aca="false">IF($A333="",0,IF(AND(OR($E333=Atleta!$C$4,$E333="Equipe (todos)"),$A333&gt;=Atleta!$C$5),MAX($U$7:U332)+1,0))</f>
        <v>0</v>
      </c>
    </row>
    <row r="334" customFormat="false" ht="15" hidden="false" customHeight="false" outlineLevel="0" collapsed="false">
      <c r="A334" s="21"/>
      <c r="B334" s="33" t="n">
        <f aca="false">IF($A334="",0,INT(($A334-Macrociclo!$C$11)/7)+1)</f>
        <v>0</v>
      </c>
      <c r="C334" s="22"/>
      <c r="D334" s="22"/>
      <c r="E334" s="20"/>
      <c r="F334" s="22"/>
      <c r="G334" s="20"/>
      <c r="H334" s="19" t="str">
        <f aca="false">IFERROR(INDEX(Exercícios!$C$7:$C$206,MATCH($G334,Exercícios!$B$7:$B$206,0)),"")</f>
        <v/>
      </c>
      <c r="I334" s="19" t="str">
        <f aca="false">IFERROR(INDEX(Exercícios!$D$7:$D$206,MATCH($G334,Exercícios!$B$7:$B$206,0)),"")</f>
        <v/>
      </c>
      <c r="J334" s="19" t="str">
        <f aca="false">IFERROR(INDEX(Exercícios!$E$7:$E$206,MATCH($G334,Exercícios!$B$7:$B$206,0)),"")</f>
        <v/>
      </c>
      <c r="K334" s="22"/>
      <c r="L334" s="22"/>
      <c r="M334" s="20"/>
      <c r="N334" s="22"/>
      <c r="O334" s="22"/>
      <c r="P334" s="22"/>
      <c r="Q334" s="19" t="n">
        <f aca="false">IFERROR($K334*$L334,"")</f>
        <v>0</v>
      </c>
      <c r="R334" s="48" t="n">
        <f aca="false">IF(OR($O334="",$P334=""),0,$O334*$P334)</f>
        <v>0</v>
      </c>
      <c r="S334" s="20"/>
      <c r="T334" s="20"/>
      <c r="U334" s="33" t="n">
        <f aca="false">IF($A334="",0,IF(AND(OR($E334=Atleta!$C$4,$E334="Equipe (todos)"),$A334&gt;=Atleta!$C$5),MAX($U$7:U333)+1,0))</f>
        <v>0</v>
      </c>
    </row>
    <row r="335" customFormat="false" ht="15" hidden="false" customHeight="false" outlineLevel="0" collapsed="false">
      <c r="A335" s="21"/>
      <c r="B335" s="33" t="n">
        <f aca="false">IF($A335="",0,INT(($A335-Macrociclo!$C$11)/7)+1)</f>
        <v>0</v>
      </c>
      <c r="C335" s="22"/>
      <c r="D335" s="22"/>
      <c r="E335" s="20"/>
      <c r="F335" s="22"/>
      <c r="G335" s="20"/>
      <c r="H335" s="19" t="str">
        <f aca="false">IFERROR(INDEX(Exercícios!$C$7:$C$206,MATCH($G335,Exercícios!$B$7:$B$206,0)),"")</f>
        <v/>
      </c>
      <c r="I335" s="19" t="str">
        <f aca="false">IFERROR(INDEX(Exercícios!$D$7:$D$206,MATCH($G335,Exercícios!$B$7:$B$206,0)),"")</f>
        <v/>
      </c>
      <c r="J335" s="19" t="str">
        <f aca="false">IFERROR(INDEX(Exercícios!$E$7:$E$206,MATCH($G335,Exercícios!$B$7:$B$206,0)),"")</f>
        <v/>
      </c>
      <c r="K335" s="22"/>
      <c r="L335" s="22"/>
      <c r="M335" s="20"/>
      <c r="N335" s="22"/>
      <c r="O335" s="22"/>
      <c r="P335" s="22"/>
      <c r="Q335" s="19" t="n">
        <f aca="false">IFERROR($K335*$L335,"")</f>
        <v>0</v>
      </c>
      <c r="R335" s="48" t="n">
        <f aca="false">IF(OR($O335="",$P335=""),0,$O335*$P335)</f>
        <v>0</v>
      </c>
      <c r="S335" s="20"/>
      <c r="T335" s="20"/>
      <c r="U335" s="33" t="n">
        <f aca="false">IF($A335="",0,IF(AND(OR($E335=Atleta!$C$4,$E335="Equipe (todos)"),$A335&gt;=Atleta!$C$5),MAX($U$7:U334)+1,0))</f>
        <v>0</v>
      </c>
    </row>
    <row r="336" customFormat="false" ht="15" hidden="false" customHeight="false" outlineLevel="0" collapsed="false">
      <c r="A336" s="21"/>
      <c r="B336" s="33" t="n">
        <f aca="false">IF($A336="",0,INT(($A336-Macrociclo!$C$11)/7)+1)</f>
        <v>0</v>
      </c>
      <c r="C336" s="22"/>
      <c r="D336" s="22"/>
      <c r="E336" s="20"/>
      <c r="F336" s="22"/>
      <c r="G336" s="20"/>
      <c r="H336" s="19" t="str">
        <f aca="false">IFERROR(INDEX(Exercícios!$C$7:$C$206,MATCH($G336,Exercícios!$B$7:$B$206,0)),"")</f>
        <v/>
      </c>
      <c r="I336" s="19" t="str">
        <f aca="false">IFERROR(INDEX(Exercícios!$D$7:$D$206,MATCH($G336,Exercícios!$B$7:$B$206,0)),"")</f>
        <v/>
      </c>
      <c r="J336" s="19" t="str">
        <f aca="false">IFERROR(INDEX(Exercícios!$E$7:$E$206,MATCH($G336,Exercícios!$B$7:$B$206,0)),"")</f>
        <v/>
      </c>
      <c r="K336" s="22"/>
      <c r="L336" s="22"/>
      <c r="M336" s="20"/>
      <c r="N336" s="22"/>
      <c r="O336" s="22"/>
      <c r="P336" s="22"/>
      <c r="Q336" s="19" t="n">
        <f aca="false">IFERROR($K336*$L336,"")</f>
        <v>0</v>
      </c>
      <c r="R336" s="48" t="n">
        <f aca="false">IF(OR($O336="",$P336=""),0,$O336*$P336)</f>
        <v>0</v>
      </c>
      <c r="S336" s="20"/>
      <c r="T336" s="20"/>
      <c r="U336" s="33" t="n">
        <f aca="false">IF($A336="",0,IF(AND(OR($E336=Atleta!$C$4,$E336="Equipe (todos)"),$A336&gt;=Atleta!$C$5),MAX($U$7:U335)+1,0))</f>
        <v>0</v>
      </c>
    </row>
    <row r="337" customFormat="false" ht="15" hidden="false" customHeight="false" outlineLevel="0" collapsed="false">
      <c r="A337" s="21"/>
      <c r="B337" s="33" t="n">
        <f aca="false">IF($A337="",0,INT(($A337-Macrociclo!$C$11)/7)+1)</f>
        <v>0</v>
      </c>
      <c r="C337" s="22"/>
      <c r="D337" s="22"/>
      <c r="E337" s="20"/>
      <c r="F337" s="22"/>
      <c r="G337" s="20"/>
      <c r="H337" s="19" t="str">
        <f aca="false">IFERROR(INDEX(Exercícios!$C$7:$C$206,MATCH($G337,Exercícios!$B$7:$B$206,0)),"")</f>
        <v/>
      </c>
      <c r="I337" s="19" t="str">
        <f aca="false">IFERROR(INDEX(Exercícios!$D$7:$D$206,MATCH($G337,Exercícios!$B$7:$B$206,0)),"")</f>
        <v/>
      </c>
      <c r="J337" s="19" t="str">
        <f aca="false">IFERROR(INDEX(Exercícios!$E$7:$E$206,MATCH($G337,Exercícios!$B$7:$B$206,0)),"")</f>
        <v/>
      </c>
      <c r="K337" s="22"/>
      <c r="L337" s="22"/>
      <c r="M337" s="20"/>
      <c r="N337" s="22"/>
      <c r="O337" s="22"/>
      <c r="P337" s="22"/>
      <c r="Q337" s="19" t="n">
        <f aca="false">IFERROR($K337*$L337,"")</f>
        <v>0</v>
      </c>
      <c r="R337" s="48" t="n">
        <f aca="false">IF(OR($O337="",$P337=""),0,$O337*$P337)</f>
        <v>0</v>
      </c>
      <c r="S337" s="20"/>
      <c r="T337" s="20"/>
      <c r="U337" s="33" t="n">
        <f aca="false">IF($A337="",0,IF(AND(OR($E337=Atleta!$C$4,$E337="Equipe (todos)"),$A337&gt;=Atleta!$C$5),MAX($U$7:U336)+1,0))</f>
        <v>0</v>
      </c>
    </row>
    <row r="338" customFormat="false" ht="15" hidden="false" customHeight="false" outlineLevel="0" collapsed="false">
      <c r="A338" s="21"/>
      <c r="B338" s="33" t="n">
        <f aca="false">IF($A338="",0,INT(($A338-Macrociclo!$C$11)/7)+1)</f>
        <v>0</v>
      </c>
      <c r="C338" s="22"/>
      <c r="D338" s="22"/>
      <c r="E338" s="20"/>
      <c r="F338" s="22"/>
      <c r="G338" s="20"/>
      <c r="H338" s="19" t="str">
        <f aca="false">IFERROR(INDEX(Exercícios!$C$7:$C$206,MATCH($G338,Exercícios!$B$7:$B$206,0)),"")</f>
        <v/>
      </c>
      <c r="I338" s="19" t="str">
        <f aca="false">IFERROR(INDEX(Exercícios!$D$7:$D$206,MATCH($G338,Exercícios!$B$7:$B$206,0)),"")</f>
        <v/>
      </c>
      <c r="J338" s="19" t="str">
        <f aca="false">IFERROR(INDEX(Exercícios!$E$7:$E$206,MATCH($G338,Exercícios!$B$7:$B$206,0)),"")</f>
        <v/>
      </c>
      <c r="K338" s="22"/>
      <c r="L338" s="22"/>
      <c r="M338" s="20"/>
      <c r="N338" s="22"/>
      <c r="O338" s="22"/>
      <c r="P338" s="22"/>
      <c r="Q338" s="19" t="n">
        <f aca="false">IFERROR($K338*$L338,"")</f>
        <v>0</v>
      </c>
      <c r="R338" s="48" t="n">
        <f aca="false">IF(OR($O338="",$P338=""),0,$O338*$P338)</f>
        <v>0</v>
      </c>
      <c r="S338" s="20"/>
      <c r="T338" s="20"/>
      <c r="U338" s="33" t="n">
        <f aca="false">IF($A338="",0,IF(AND(OR($E338=Atleta!$C$4,$E338="Equipe (todos)"),$A338&gt;=Atleta!$C$5),MAX($U$7:U337)+1,0))</f>
        <v>0</v>
      </c>
    </row>
    <row r="339" customFormat="false" ht="15" hidden="false" customHeight="false" outlineLevel="0" collapsed="false">
      <c r="A339" s="21"/>
      <c r="B339" s="33" t="n">
        <f aca="false">IF($A339="",0,INT(($A339-Macrociclo!$C$11)/7)+1)</f>
        <v>0</v>
      </c>
      <c r="C339" s="22"/>
      <c r="D339" s="22"/>
      <c r="E339" s="20"/>
      <c r="F339" s="22"/>
      <c r="G339" s="20"/>
      <c r="H339" s="19" t="str">
        <f aca="false">IFERROR(INDEX(Exercícios!$C$7:$C$206,MATCH($G339,Exercícios!$B$7:$B$206,0)),"")</f>
        <v/>
      </c>
      <c r="I339" s="19" t="str">
        <f aca="false">IFERROR(INDEX(Exercícios!$D$7:$D$206,MATCH($G339,Exercícios!$B$7:$B$206,0)),"")</f>
        <v/>
      </c>
      <c r="J339" s="19" t="str">
        <f aca="false">IFERROR(INDEX(Exercícios!$E$7:$E$206,MATCH($G339,Exercícios!$B$7:$B$206,0)),"")</f>
        <v/>
      </c>
      <c r="K339" s="22"/>
      <c r="L339" s="22"/>
      <c r="M339" s="20"/>
      <c r="N339" s="22"/>
      <c r="O339" s="22"/>
      <c r="P339" s="22"/>
      <c r="Q339" s="19" t="n">
        <f aca="false">IFERROR($K339*$L339,"")</f>
        <v>0</v>
      </c>
      <c r="R339" s="48" t="n">
        <f aca="false">IF(OR($O339="",$P339=""),0,$O339*$P339)</f>
        <v>0</v>
      </c>
      <c r="S339" s="20"/>
      <c r="T339" s="20"/>
      <c r="U339" s="33" t="n">
        <f aca="false">IF($A339="",0,IF(AND(OR($E339=Atleta!$C$4,$E339="Equipe (todos)"),$A339&gt;=Atleta!$C$5),MAX($U$7:U338)+1,0))</f>
        <v>0</v>
      </c>
    </row>
    <row r="340" customFormat="false" ht="15" hidden="false" customHeight="false" outlineLevel="0" collapsed="false">
      <c r="A340" s="21"/>
      <c r="B340" s="33" t="n">
        <f aca="false">IF($A340="",0,INT(($A340-Macrociclo!$C$11)/7)+1)</f>
        <v>0</v>
      </c>
      <c r="C340" s="22"/>
      <c r="D340" s="22"/>
      <c r="E340" s="20"/>
      <c r="F340" s="22"/>
      <c r="G340" s="20"/>
      <c r="H340" s="19" t="str">
        <f aca="false">IFERROR(INDEX(Exercícios!$C$7:$C$206,MATCH($G340,Exercícios!$B$7:$B$206,0)),"")</f>
        <v/>
      </c>
      <c r="I340" s="19" t="str">
        <f aca="false">IFERROR(INDEX(Exercícios!$D$7:$D$206,MATCH($G340,Exercícios!$B$7:$B$206,0)),"")</f>
        <v/>
      </c>
      <c r="J340" s="19" t="str">
        <f aca="false">IFERROR(INDEX(Exercícios!$E$7:$E$206,MATCH($G340,Exercícios!$B$7:$B$206,0)),"")</f>
        <v/>
      </c>
      <c r="K340" s="22"/>
      <c r="L340" s="22"/>
      <c r="M340" s="20"/>
      <c r="N340" s="22"/>
      <c r="O340" s="22"/>
      <c r="P340" s="22"/>
      <c r="Q340" s="19" t="n">
        <f aca="false">IFERROR($K340*$L340,"")</f>
        <v>0</v>
      </c>
      <c r="R340" s="48" t="n">
        <f aca="false">IF(OR($O340="",$P340=""),0,$O340*$P340)</f>
        <v>0</v>
      </c>
      <c r="S340" s="20"/>
      <c r="T340" s="20"/>
      <c r="U340" s="33" t="n">
        <f aca="false">IF($A340="",0,IF(AND(OR($E340=Atleta!$C$4,$E340="Equipe (todos)"),$A340&gt;=Atleta!$C$5),MAX($U$7:U339)+1,0))</f>
        <v>0</v>
      </c>
    </row>
    <row r="341" customFormat="false" ht="15" hidden="false" customHeight="false" outlineLevel="0" collapsed="false">
      <c r="A341" s="21"/>
      <c r="B341" s="33" t="n">
        <f aca="false">IF($A341="",0,INT(($A341-Macrociclo!$C$11)/7)+1)</f>
        <v>0</v>
      </c>
      <c r="C341" s="22"/>
      <c r="D341" s="22"/>
      <c r="E341" s="20"/>
      <c r="F341" s="22"/>
      <c r="G341" s="20"/>
      <c r="H341" s="19" t="str">
        <f aca="false">IFERROR(INDEX(Exercícios!$C$7:$C$206,MATCH($G341,Exercícios!$B$7:$B$206,0)),"")</f>
        <v/>
      </c>
      <c r="I341" s="19" t="str">
        <f aca="false">IFERROR(INDEX(Exercícios!$D$7:$D$206,MATCH($G341,Exercícios!$B$7:$B$206,0)),"")</f>
        <v/>
      </c>
      <c r="J341" s="19" t="str">
        <f aca="false">IFERROR(INDEX(Exercícios!$E$7:$E$206,MATCH($G341,Exercícios!$B$7:$B$206,0)),"")</f>
        <v/>
      </c>
      <c r="K341" s="22"/>
      <c r="L341" s="22"/>
      <c r="M341" s="20"/>
      <c r="N341" s="22"/>
      <c r="O341" s="22"/>
      <c r="P341" s="22"/>
      <c r="Q341" s="19" t="n">
        <f aca="false">IFERROR($K341*$L341,"")</f>
        <v>0</v>
      </c>
      <c r="R341" s="48" t="n">
        <f aca="false">IF(OR($O341="",$P341=""),0,$O341*$P341)</f>
        <v>0</v>
      </c>
      <c r="S341" s="20"/>
      <c r="T341" s="20"/>
      <c r="U341" s="33" t="n">
        <f aca="false">IF($A341="",0,IF(AND(OR($E341=Atleta!$C$4,$E341="Equipe (todos)"),$A341&gt;=Atleta!$C$5),MAX($U$7:U340)+1,0))</f>
        <v>0</v>
      </c>
    </row>
    <row r="342" customFormat="false" ht="15" hidden="false" customHeight="false" outlineLevel="0" collapsed="false">
      <c r="A342" s="21"/>
      <c r="B342" s="33" t="n">
        <f aca="false">IF($A342="",0,INT(($A342-Macrociclo!$C$11)/7)+1)</f>
        <v>0</v>
      </c>
      <c r="C342" s="22"/>
      <c r="D342" s="22"/>
      <c r="E342" s="20"/>
      <c r="F342" s="22"/>
      <c r="G342" s="20"/>
      <c r="H342" s="19" t="str">
        <f aca="false">IFERROR(INDEX(Exercícios!$C$7:$C$206,MATCH($G342,Exercícios!$B$7:$B$206,0)),"")</f>
        <v/>
      </c>
      <c r="I342" s="19" t="str">
        <f aca="false">IFERROR(INDEX(Exercícios!$D$7:$D$206,MATCH($G342,Exercícios!$B$7:$B$206,0)),"")</f>
        <v/>
      </c>
      <c r="J342" s="19" t="str">
        <f aca="false">IFERROR(INDEX(Exercícios!$E$7:$E$206,MATCH($G342,Exercícios!$B$7:$B$206,0)),"")</f>
        <v/>
      </c>
      <c r="K342" s="22"/>
      <c r="L342" s="22"/>
      <c r="M342" s="20"/>
      <c r="N342" s="22"/>
      <c r="O342" s="22"/>
      <c r="P342" s="22"/>
      <c r="Q342" s="19" t="n">
        <f aca="false">IFERROR($K342*$L342,"")</f>
        <v>0</v>
      </c>
      <c r="R342" s="48" t="n">
        <f aca="false">IF(OR($O342="",$P342=""),0,$O342*$P342)</f>
        <v>0</v>
      </c>
      <c r="S342" s="20"/>
      <c r="T342" s="20"/>
      <c r="U342" s="33" t="n">
        <f aca="false">IF($A342="",0,IF(AND(OR($E342=Atleta!$C$4,$E342="Equipe (todos)"),$A342&gt;=Atleta!$C$5),MAX($U$7:U341)+1,0))</f>
        <v>0</v>
      </c>
    </row>
    <row r="343" customFormat="false" ht="15" hidden="false" customHeight="false" outlineLevel="0" collapsed="false">
      <c r="A343" s="21"/>
      <c r="B343" s="33" t="n">
        <f aca="false">IF($A343="",0,INT(($A343-Macrociclo!$C$11)/7)+1)</f>
        <v>0</v>
      </c>
      <c r="C343" s="22"/>
      <c r="D343" s="22"/>
      <c r="E343" s="20"/>
      <c r="F343" s="22"/>
      <c r="G343" s="20"/>
      <c r="H343" s="19" t="str">
        <f aca="false">IFERROR(INDEX(Exercícios!$C$7:$C$206,MATCH($G343,Exercícios!$B$7:$B$206,0)),"")</f>
        <v/>
      </c>
      <c r="I343" s="19" t="str">
        <f aca="false">IFERROR(INDEX(Exercícios!$D$7:$D$206,MATCH($G343,Exercícios!$B$7:$B$206,0)),"")</f>
        <v/>
      </c>
      <c r="J343" s="19" t="str">
        <f aca="false">IFERROR(INDEX(Exercícios!$E$7:$E$206,MATCH($G343,Exercícios!$B$7:$B$206,0)),"")</f>
        <v/>
      </c>
      <c r="K343" s="22"/>
      <c r="L343" s="22"/>
      <c r="M343" s="20"/>
      <c r="N343" s="22"/>
      <c r="O343" s="22"/>
      <c r="P343" s="22"/>
      <c r="Q343" s="19" t="n">
        <f aca="false">IFERROR($K343*$L343,"")</f>
        <v>0</v>
      </c>
      <c r="R343" s="48" t="n">
        <f aca="false">IF(OR($O343="",$P343=""),0,$O343*$P343)</f>
        <v>0</v>
      </c>
      <c r="S343" s="20"/>
      <c r="T343" s="20"/>
      <c r="U343" s="33" t="n">
        <f aca="false">IF($A343="",0,IF(AND(OR($E343=Atleta!$C$4,$E343="Equipe (todos)"),$A343&gt;=Atleta!$C$5),MAX($U$7:U342)+1,0))</f>
        <v>0</v>
      </c>
    </row>
    <row r="344" customFormat="false" ht="15" hidden="false" customHeight="false" outlineLevel="0" collapsed="false">
      <c r="A344" s="21"/>
      <c r="B344" s="33" t="n">
        <f aca="false">IF($A344="",0,INT(($A344-Macrociclo!$C$11)/7)+1)</f>
        <v>0</v>
      </c>
      <c r="C344" s="22"/>
      <c r="D344" s="22"/>
      <c r="E344" s="20"/>
      <c r="F344" s="22"/>
      <c r="G344" s="20"/>
      <c r="H344" s="19" t="str">
        <f aca="false">IFERROR(INDEX(Exercícios!$C$7:$C$206,MATCH($G344,Exercícios!$B$7:$B$206,0)),"")</f>
        <v/>
      </c>
      <c r="I344" s="19" t="str">
        <f aca="false">IFERROR(INDEX(Exercícios!$D$7:$D$206,MATCH($G344,Exercícios!$B$7:$B$206,0)),"")</f>
        <v/>
      </c>
      <c r="J344" s="19" t="str">
        <f aca="false">IFERROR(INDEX(Exercícios!$E$7:$E$206,MATCH($G344,Exercícios!$B$7:$B$206,0)),"")</f>
        <v/>
      </c>
      <c r="K344" s="22"/>
      <c r="L344" s="22"/>
      <c r="M344" s="20"/>
      <c r="N344" s="22"/>
      <c r="O344" s="22"/>
      <c r="P344" s="22"/>
      <c r="Q344" s="19" t="n">
        <f aca="false">IFERROR($K344*$L344,"")</f>
        <v>0</v>
      </c>
      <c r="R344" s="48" t="n">
        <f aca="false">IF(OR($O344="",$P344=""),0,$O344*$P344)</f>
        <v>0</v>
      </c>
      <c r="S344" s="20"/>
      <c r="T344" s="20"/>
      <c r="U344" s="33" t="n">
        <f aca="false">IF($A344="",0,IF(AND(OR($E344=Atleta!$C$4,$E344="Equipe (todos)"),$A344&gt;=Atleta!$C$5),MAX($U$7:U343)+1,0))</f>
        <v>0</v>
      </c>
    </row>
    <row r="345" customFormat="false" ht="15" hidden="false" customHeight="false" outlineLevel="0" collapsed="false">
      <c r="A345" s="21"/>
      <c r="B345" s="33" t="n">
        <f aca="false">IF($A345="",0,INT(($A345-Macrociclo!$C$11)/7)+1)</f>
        <v>0</v>
      </c>
      <c r="C345" s="22"/>
      <c r="D345" s="22"/>
      <c r="E345" s="20"/>
      <c r="F345" s="22"/>
      <c r="G345" s="20"/>
      <c r="H345" s="19" t="str">
        <f aca="false">IFERROR(INDEX(Exercícios!$C$7:$C$206,MATCH($G345,Exercícios!$B$7:$B$206,0)),"")</f>
        <v/>
      </c>
      <c r="I345" s="19" t="str">
        <f aca="false">IFERROR(INDEX(Exercícios!$D$7:$D$206,MATCH($G345,Exercícios!$B$7:$B$206,0)),"")</f>
        <v/>
      </c>
      <c r="J345" s="19" t="str">
        <f aca="false">IFERROR(INDEX(Exercícios!$E$7:$E$206,MATCH($G345,Exercícios!$B$7:$B$206,0)),"")</f>
        <v/>
      </c>
      <c r="K345" s="22"/>
      <c r="L345" s="22"/>
      <c r="M345" s="20"/>
      <c r="N345" s="22"/>
      <c r="O345" s="22"/>
      <c r="P345" s="22"/>
      <c r="Q345" s="19" t="n">
        <f aca="false">IFERROR($K345*$L345,"")</f>
        <v>0</v>
      </c>
      <c r="R345" s="48" t="n">
        <f aca="false">IF(OR($O345="",$P345=""),0,$O345*$P345)</f>
        <v>0</v>
      </c>
      <c r="S345" s="20"/>
      <c r="T345" s="20"/>
      <c r="U345" s="33" t="n">
        <f aca="false">IF($A345="",0,IF(AND(OR($E345=Atleta!$C$4,$E345="Equipe (todos)"),$A345&gt;=Atleta!$C$5),MAX($U$7:U344)+1,0))</f>
        <v>0</v>
      </c>
    </row>
    <row r="346" customFormat="false" ht="15" hidden="false" customHeight="false" outlineLevel="0" collapsed="false">
      <c r="A346" s="21"/>
      <c r="B346" s="33" t="n">
        <f aca="false">IF($A346="",0,INT(($A346-Macrociclo!$C$11)/7)+1)</f>
        <v>0</v>
      </c>
      <c r="C346" s="22"/>
      <c r="D346" s="22"/>
      <c r="E346" s="20"/>
      <c r="F346" s="22"/>
      <c r="G346" s="20"/>
      <c r="H346" s="19" t="str">
        <f aca="false">IFERROR(INDEX(Exercícios!$C$7:$C$206,MATCH($G346,Exercícios!$B$7:$B$206,0)),"")</f>
        <v/>
      </c>
      <c r="I346" s="19" t="str">
        <f aca="false">IFERROR(INDEX(Exercícios!$D$7:$D$206,MATCH($G346,Exercícios!$B$7:$B$206,0)),"")</f>
        <v/>
      </c>
      <c r="J346" s="19" t="str">
        <f aca="false">IFERROR(INDEX(Exercícios!$E$7:$E$206,MATCH($G346,Exercícios!$B$7:$B$206,0)),"")</f>
        <v/>
      </c>
      <c r="K346" s="22"/>
      <c r="L346" s="22"/>
      <c r="M346" s="20"/>
      <c r="N346" s="22"/>
      <c r="O346" s="22"/>
      <c r="P346" s="22"/>
      <c r="Q346" s="19" t="n">
        <f aca="false">IFERROR($K346*$L346,"")</f>
        <v>0</v>
      </c>
      <c r="R346" s="48" t="n">
        <f aca="false">IF(OR($O346="",$P346=""),0,$O346*$P346)</f>
        <v>0</v>
      </c>
      <c r="S346" s="20"/>
      <c r="T346" s="20"/>
      <c r="U346" s="33" t="n">
        <f aca="false">IF($A346="",0,IF(AND(OR($E346=Atleta!$C$4,$E346="Equipe (todos)"),$A346&gt;=Atleta!$C$5),MAX($U$7:U345)+1,0))</f>
        <v>0</v>
      </c>
    </row>
    <row r="347" customFormat="false" ht="15" hidden="false" customHeight="false" outlineLevel="0" collapsed="false">
      <c r="A347" s="21"/>
      <c r="B347" s="33" t="n">
        <f aca="false">IF($A347="",0,INT(($A347-Macrociclo!$C$11)/7)+1)</f>
        <v>0</v>
      </c>
      <c r="C347" s="22"/>
      <c r="D347" s="22"/>
      <c r="E347" s="20"/>
      <c r="F347" s="22"/>
      <c r="G347" s="20"/>
      <c r="H347" s="19" t="str">
        <f aca="false">IFERROR(INDEX(Exercícios!$C$7:$C$206,MATCH($G347,Exercícios!$B$7:$B$206,0)),"")</f>
        <v/>
      </c>
      <c r="I347" s="19" t="str">
        <f aca="false">IFERROR(INDEX(Exercícios!$D$7:$D$206,MATCH($G347,Exercícios!$B$7:$B$206,0)),"")</f>
        <v/>
      </c>
      <c r="J347" s="19" t="str">
        <f aca="false">IFERROR(INDEX(Exercícios!$E$7:$E$206,MATCH($G347,Exercícios!$B$7:$B$206,0)),"")</f>
        <v/>
      </c>
      <c r="K347" s="22"/>
      <c r="L347" s="22"/>
      <c r="M347" s="20"/>
      <c r="N347" s="22"/>
      <c r="O347" s="22"/>
      <c r="P347" s="22"/>
      <c r="Q347" s="19" t="n">
        <f aca="false">IFERROR($K347*$L347,"")</f>
        <v>0</v>
      </c>
      <c r="R347" s="48" t="n">
        <f aca="false">IF(OR($O347="",$P347=""),0,$O347*$P347)</f>
        <v>0</v>
      </c>
      <c r="S347" s="20"/>
      <c r="T347" s="20"/>
      <c r="U347" s="33" t="n">
        <f aca="false">IF($A347="",0,IF(AND(OR($E347=Atleta!$C$4,$E347="Equipe (todos)"),$A347&gt;=Atleta!$C$5),MAX($U$7:U346)+1,0))</f>
        <v>0</v>
      </c>
    </row>
    <row r="348" customFormat="false" ht="15" hidden="false" customHeight="false" outlineLevel="0" collapsed="false">
      <c r="A348" s="21"/>
      <c r="B348" s="33" t="n">
        <f aca="false">IF($A348="",0,INT(($A348-Macrociclo!$C$11)/7)+1)</f>
        <v>0</v>
      </c>
      <c r="C348" s="22"/>
      <c r="D348" s="22"/>
      <c r="E348" s="20"/>
      <c r="F348" s="22"/>
      <c r="G348" s="20"/>
      <c r="H348" s="19" t="str">
        <f aca="false">IFERROR(INDEX(Exercícios!$C$7:$C$206,MATCH($G348,Exercícios!$B$7:$B$206,0)),"")</f>
        <v/>
      </c>
      <c r="I348" s="19" t="str">
        <f aca="false">IFERROR(INDEX(Exercícios!$D$7:$D$206,MATCH($G348,Exercícios!$B$7:$B$206,0)),"")</f>
        <v/>
      </c>
      <c r="J348" s="19" t="str">
        <f aca="false">IFERROR(INDEX(Exercícios!$E$7:$E$206,MATCH($G348,Exercícios!$B$7:$B$206,0)),"")</f>
        <v/>
      </c>
      <c r="K348" s="22"/>
      <c r="L348" s="22"/>
      <c r="M348" s="20"/>
      <c r="N348" s="22"/>
      <c r="O348" s="22"/>
      <c r="P348" s="22"/>
      <c r="Q348" s="19" t="n">
        <f aca="false">IFERROR($K348*$L348,"")</f>
        <v>0</v>
      </c>
      <c r="R348" s="48" t="n">
        <f aca="false">IF(OR($O348="",$P348=""),0,$O348*$P348)</f>
        <v>0</v>
      </c>
      <c r="S348" s="20"/>
      <c r="T348" s="20"/>
      <c r="U348" s="33" t="n">
        <f aca="false">IF($A348="",0,IF(AND(OR($E348=Atleta!$C$4,$E348="Equipe (todos)"),$A348&gt;=Atleta!$C$5),MAX($U$7:U347)+1,0))</f>
        <v>0</v>
      </c>
    </row>
    <row r="349" customFormat="false" ht="15" hidden="false" customHeight="false" outlineLevel="0" collapsed="false">
      <c r="A349" s="21"/>
      <c r="B349" s="33" t="n">
        <f aca="false">IF($A349="",0,INT(($A349-Macrociclo!$C$11)/7)+1)</f>
        <v>0</v>
      </c>
      <c r="C349" s="22"/>
      <c r="D349" s="22"/>
      <c r="E349" s="20"/>
      <c r="F349" s="22"/>
      <c r="G349" s="20"/>
      <c r="H349" s="19" t="str">
        <f aca="false">IFERROR(INDEX(Exercícios!$C$7:$C$206,MATCH($G349,Exercícios!$B$7:$B$206,0)),"")</f>
        <v/>
      </c>
      <c r="I349" s="19" t="str">
        <f aca="false">IFERROR(INDEX(Exercícios!$D$7:$D$206,MATCH($G349,Exercícios!$B$7:$B$206,0)),"")</f>
        <v/>
      </c>
      <c r="J349" s="19" t="str">
        <f aca="false">IFERROR(INDEX(Exercícios!$E$7:$E$206,MATCH($G349,Exercícios!$B$7:$B$206,0)),"")</f>
        <v/>
      </c>
      <c r="K349" s="22"/>
      <c r="L349" s="22"/>
      <c r="M349" s="20"/>
      <c r="N349" s="22"/>
      <c r="O349" s="22"/>
      <c r="P349" s="22"/>
      <c r="Q349" s="19" t="n">
        <f aca="false">IFERROR($K349*$L349,"")</f>
        <v>0</v>
      </c>
      <c r="R349" s="48" t="n">
        <f aca="false">IF(OR($O349="",$P349=""),0,$O349*$P349)</f>
        <v>0</v>
      </c>
      <c r="S349" s="20"/>
      <c r="T349" s="20"/>
      <c r="U349" s="33" t="n">
        <f aca="false">IF($A349="",0,IF(AND(OR($E349=Atleta!$C$4,$E349="Equipe (todos)"),$A349&gt;=Atleta!$C$5),MAX($U$7:U348)+1,0))</f>
        <v>0</v>
      </c>
    </row>
    <row r="350" customFormat="false" ht="15" hidden="false" customHeight="false" outlineLevel="0" collapsed="false">
      <c r="A350" s="21"/>
      <c r="B350" s="33" t="n">
        <f aca="false">IF($A350="",0,INT(($A350-Macrociclo!$C$11)/7)+1)</f>
        <v>0</v>
      </c>
      <c r="C350" s="22"/>
      <c r="D350" s="22"/>
      <c r="E350" s="20"/>
      <c r="F350" s="22"/>
      <c r="G350" s="20"/>
      <c r="H350" s="19" t="str">
        <f aca="false">IFERROR(INDEX(Exercícios!$C$7:$C$206,MATCH($G350,Exercícios!$B$7:$B$206,0)),"")</f>
        <v/>
      </c>
      <c r="I350" s="19" t="str">
        <f aca="false">IFERROR(INDEX(Exercícios!$D$7:$D$206,MATCH($G350,Exercícios!$B$7:$B$206,0)),"")</f>
        <v/>
      </c>
      <c r="J350" s="19" t="str">
        <f aca="false">IFERROR(INDEX(Exercícios!$E$7:$E$206,MATCH($G350,Exercícios!$B$7:$B$206,0)),"")</f>
        <v/>
      </c>
      <c r="K350" s="22"/>
      <c r="L350" s="22"/>
      <c r="M350" s="20"/>
      <c r="N350" s="22"/>
      <c r="O350" s="22"/>
      <c r="P350" s="22"/>
      <c r="Q350" s="19" t="n">
        <f aca="false">IFERROR($K350*$L350,"")</f>
        <v>0</v>
      </c>
      <c r="R350" s="48" t="n">
        <f aca="false">IF(OR($O350="",$P350=""),0,$O350*$P350)</f>
        <v>0</v>
      </c>
      <c r="S350" s="20"/>
      <c r="T350" s="20"/>
      <c r="U350" s="33" t="n">
        <f aca="false">IF($A350="",0,IF(AND(OR($E350=Atleta!$C$4,$E350="Equipe (todos)"),$A350&gt;=Atleta!$C$5),MAX($U$7:U349)+1,0))</f>
        <v>0</v>
      </c>
    </row>
    <row r="351" customFormat="false" ht="15" hidden="false" customHeight="false" outlineLevel="0" collapsed="false">
      <c r="A351" s="21"/>
      <c r="B351" s="33" t="n">
        <f aca="false">IF($A351="",0,INT(($A351-Macrociclo!$C$11)/7)+1)</f>
        <v>0</v>
      </c>
      <c r="C351" s="22"/>
      <c r="D351" s="22"/>
      <c r="E351" s="20"/>
      <c r="F351" s="22"/>
      <c r="G351" s="20"/>
      <c r="H351" s="19" t="str">
        <f aca="false">IFERROR(INDEX(Exercícios!$C$7:$C$206,MATCH($G351,Exercícios!$B$7:$B$206,0)),"")</f>
        <v/>
      </c>
      <c r="I351" s="19" t="str">
        <f aca="false">IFERROR(INDEX(Exercícios!$D$7:$D$206,MATCH($G351,Exercícios!$B$7:$B$206,0)),"")</f>
        <v/>
      </c>
      <c r="J351" s="19" t="str">
        <f aca="false">IFERROR(INDEX(Exercícios!$E$7:$E$206,MATCH($G351,Exercícios!$B$7:$B$206,0)),"")</f>
        <v/>
      </c>
      <c r="K351" s="22"/>
      <c r="L351" s="22"/>
      <c r="M351" s="20"/>
      <c r="N351" s="22"/>
      <c r="O351" s="22"/>
      <c r="P351" s="22"/>
      <c r="Q351" s="19" t="n">
        <f aca="false">IFERROR($K351*$L351,"")</f>
        <v>0</v>
      </c>
      <c r="R351" s="48" t="n">
        <f aca="false">IF(OR($O351="",$P351=""),0,$O351*$P351)</f>
        <v>0</v>
      </c>
      <c r="S351" s="20"/>
      <c r="T351" s="20"/>
      <c r="U351" s="33" t="n">
        <f aca="false">IF($A351="",0,IF(AND(OR($E351=Atleta!$C$4,$E351="Equipe (todos)"),$A351&gt;=Atleta!$C$5),MAX($U$7:U350)+1,0))</f>
        <v>0</v>
      </c>
    </row>
    <row r="352" customFormat="false" ht="15" hidden="false" customHeight="false" outlineLevel="0" collapsed="false">
      <c r="A352" s="21"/>
      <c r="B352" s="33" t="n">
        <f aca="false">IF($A352="",0,INT(($A352-Macrociclo!$C$11)/7)+1)</f>
        <v>0</v>
      </c>
      <c r="C352" s="22"/>
      <c r="D352" s="22"/>
      <c r="E352" s="20"/>
      <c r="F352" s="22"/>
      <c r="G352" s="20"/>
      <c r="H352" s="19" t="str">
        <f aca="false">IFERROR(INDEX(Exercícios!$C$7:$C$206,MATCH($G352,Exercícios!$B$7:$B$206,0)),"")</f>
        <v/>
      </c>
      <c r="I352" s="19" t="str">
        <f aca="false">IFERROR(INDEX(Exercícios!$D$7:$D$206,MATCH($G352,Exercícios!$B$7:$B$206,0)),"")</f>
        <v/>
      </c>
      <c r="J352" s="19" t="str">
        <f aca="false">IFERROR(INDEX(Exercícios!$E$7:$E$206,MATCH($G352,Exercícios!$B$7:$B$206,0)),"")</f>
        <v/>
      </c>
      <c r="K352" s="22"/>
      <c r="L352" s="22"/>
      <c r="M352" s="20"/>
      <c r="N352" s="22"/>
      <c r="O352" s="22"/>
      <c r="P352" s="22"/>
      <c r="Q352" s="19" t="n">
        <f aca="false">IFERROR($K352*$L352,"")</f>
        <v>0</v>
      </c>
      <c r="R352" s="48" t="n">
        <f aca="false">IF(OR($O352="",$P352=""),0,$O352*$P352)</f>
        <v>0</v>
      </c>
      <c r="S352" s="20"/>
      <c r="T352" s="20"/>
      <c r="U352" s="33" t="n">
        <f aca="false">IF($A352="",0,IF(AND(OR($E352=Atleta!$C$4,$E352="Equipe (todos)"),$A352&gt;=Atleta!$C$5),MAX($U$7:U351)+1,0))</f>
        <v>0</v>
      </c>
    </row>
    <row r="353" customFormat="false" ht="15" hidden="false" customHeight="false" outlineLevel="0" collapsed="false">
      <c r="A353" s="21"/>
      <c r="B353" s="33" t="n">
        <f aca="false">IF($A353="",0,INT(($A353-Macrociclo!$C$11)/7)+1)</f>
        <v>0</v>
      </c>
      <c r="C353" s="22"/>
      <c r="D353" s="22"/>
      <c r="E353" s="20"/>
      <c r="F353" s="22"/>
      <c r="G353" s="20"/>
      <c r="H353" s="19" t="str">
        <f aca="false">IFERROR(INDEX(Exercícios!$C$7:$C$206,MATCH($G353,Exercícios!$B$7:$B$206,0)),"")</f>
        <v/>
      </c>
      <c r="I353" s="19" t="str">
        <f aca="false">IFERROR(INDEX(Exercícios!$D$7:$D$206,MATCH($G353,Exercícios!$B$7:$B$206,0)),"")</f>
        <v/>
      </c>
      <c r="J353" s="19" t="str">
        <f aca="false">IFERROR(INDEX(Exercícios!$E$7:$E$206,MATCH($G353,Exercícios!$B$7:$B$206,0)),"")</f>
        <v/>
      </c>
      <c r="K353" s="22"/>
      <c r="L353" s="22"/>
      <c r="M353" s="20"/>
      <c r="N353" s="22"/>
      <c r="O353" s="22"/>
      <c r="P353" s="22"/>
      <c r="Q353" s="19" t="n">
        <f aca="false">IFERROR($K353*$L353,"")</f>
        <v>0</v>
      </c>
      <c r="R353" s="48" t="n">
        <f aca="false">IF(OR($O353="",$P353=""),0,$O353*$P353)</f>
        <v>0</v>
      </c>
      <c r="S353" s="20"/>
      <c r="T353" s="20"/>
      <c r="U353" s="33" t="n">
        <f aca="false">IF($A353="",0,IF(AND(OR($E353=Atleta!$C$4,$E353="Equipe (todos)"),$A353&gt;=Atleta!$C$5),MAX($U$7:U352)+1,0))</f>
        <v>0</v>
      </c>
    </row>
    <row r="354" customFormat="false" ht="15" hidden="false" customHeight="false" outlineLevel="0" collapsed="false">
      <c r="A354" s="21"/>
      <c r="B354" s="33" t="n">
        <f aca="false">IF($A354="",0,INT(($A354-Macrociclo!$C$11)/7)+1)</f>
        <v>0</v>
      </c>
      <c r="C354" s="22"/>
      <c r="D354" s="22"/>
      <c r="E354" s="20"/>
      <c r="F354" s="22"/>
      <c r="G354" s="20"/>
      <c r="H354" s="19" t="str">
        <f aca="false">IFERROR(INDEX(Exercícios!$C$7:$C$206,MATCH($G354,Exercícios!$B$7:$B$206,0)),"")</f>
        <v/>
      </c>
      <c r="I354" s="19" t="str">
        <f aca="false">IFERROR(INDEX(Exercícios!$D$7:$D$206,MATCH($G354,Exercícios!$B$7:$B$206,0)),"")</f>
        <v/>
      </c>
      <c r="J354" s="19" t="str">
        <f aca="false">IFERROR(INDEX(Exercícios!$E$7:$E$206,MATCH($G354,Exercícios!$B$7:$B$206,0)),"")</f>
        <v/>
      </c>
      <c r="K354" s="22"/>
      <c r="L354" s="22"/>
      <c r="M354" s="20"/>
      <c r="N354" s="22"/>
      <c r="O354" s="22"/>
      <c r="P354" s="22"/>
      <c r="Q354" s="19" t="n">
        <f aca="false">IFERROR($K354*$L354,"")</f>
        <v>0</v>
      </c>
      <c r="R354" s="48" t="n">
        <f aca="false">IF(OR($O354="",$P354=""),0,$O354*$P354)</f>
        <v>0</v>
      </c>
      <c r="S354" s="20"/>
      <c r="T354" s="20"/>
      <c r="U354" s="33" t="n">
        <f aca="false">IF($A354="",0,IF(AND(OR($E354=Atleta!$C$4,$E354="Equipe (todos)"),$A354&gt;=Atleta!$C$5),MAX($U$7:U353)+1,0))</f>
        <v>0</v>
      </c>
    </row>
    <row r="355" customFormat="false" ht="15" hidden="false" customHeight="false" outlineLevel="0" collapsed="false">
      <c r="A355" s="21"/>
      <c r="B355" s="33" t="n">
        <f aca="false">IF($A355="",0,INT(($A355-Macrociclo!$C$11)/7)+1)</f>
        <v>0</v>
      </c>
      <c r="C355" s="22"/>
      <c r="D355" s="22"/>
      <c r="E355" s="20"/>
      <c r="F355" s="22"/>
      <c r="G355" s="20"/>
      <c r="H355" s="19" t="str">
        <f aca="false">IFERROR(INDEX(Exercícios!$C$7:$C$206,MATCH($G355,Exercícios!$B$7:$B$206,0)),"")</f>
        <v/>
      </c>
      <c r="I355" s="19" t="str">
        <f aca="false">IFERROR(INDEX(Exercícios!$D$7:$D$206,MATCH($G355,Exercícios!$B$7:$B$206,0)),"")</f>
        <v/>
      </c>
      <c r="J355" s="19" t="str">
        <f aca="false">IFERROR(INDEX(Exercícios!$E$7:$E$206,MATCH($G355,Exercícios!$B$7:$B$206,0)),"")</f>
        <v/>
      </c>
      <c r="K355" s="22"/>
      <c r="L355" s="22"/>
      <c r="M355" s="20"/>
      <c r="N355" s="22"/>
      <c r="O355" s="22"/>
      <c r="P355" s="22"/>
      <c r="Q355" s="19" t="n">
        <f aca="false">IFERROR($K355*$L355,"")</f>
        <v>0</v>
      </c>
      <c r="R355" s="48" t="n">
        <f aca="false">IF(OR($O355="",$P355=""),0,$O355*$P355)</f>
        <v>0</v>
      </c>
      <c r="S355" s="20"/>
      <c r="T355" s="20"/>
      <c r="U355" s="33" t="n">
        <f aca="false">IF($A355="",0,IF(AND(OR($E355=Atleta!$C$4,$E355="Equipe (todos)"),$A355&gt;=Atleta!$C$5),MAX($U$7:U354)+1,0))</f>
        <v>0</v>
      </c>
    </row>
    <row r="356" customFormat="false" ht="15" hidden="false" customHeight="false" outlineLevel="0" collapsed="false">
      <c r="A356" s="21"/>
      <c r="B356" s="33" t="n">
        <f aca="false">IF($A356="",0,INT(($A356-Macrociclo!$C$11)/7)+1)</f>
        <v>0</v>
      </c>
      <c r="C356" s="22"/>
      <c r="D356" s="22"/>
      <c r="E356" s="20"/>
      <c r="F356" s="22"/>
      <c r="G356" s="20"/>
      <c r="H356" s="19" t="str">
        <f aca="false">IFERROR(INDEX(Exercícios!$C$7:$C$206,MATCH($G356,Exercícios!$B$7:$B$206,0)),"")</f>
        <v/>
      </c>
      <c r="I356" s="19" t="str">
        <f aca="false">IFERROR(INDEX(Exercícios!$D$7:$D$206,MATCH($G356,Exercícios!$B$7:$B$206,0)),"")</f>
        <v/>
      </c>
      <c r="J356" s="19" t="str">
        <f aca="false">IFERROR(INDEX(Exercícios!$E$7:$E$206,MATCH($G356,Exercícios!$B$7:$B$206,0)),"")</f>
        <v/>
      </c>
      <c r="K356" s="22"/>
      <c r="L356" s="22"/>
      <c r="M356" s="20"/>
      <c r="N356" s="22"/>
      <c r="O356" s="22"/>
      <c r="P356" s="22"/>
      <c r="Q356" s="19" t="n">
        <f aca="false">IFERROR($K356*$L356,"")</f>
        <v>0</v>
      </c>
      <c r="R356" s="48" t="n">
        <f aca="false">IF(OR($O356="",$P356=""),0,$O356*$P356)</f>
        <v>0</v>
      </c>
      <c r="S356" s="20"/>
      <c r="T356" s="20"/>
      <c r="U356" s="33" t="n">
        <f aca="false">IF($A356="",0,IF(AND(OR($E356=Atleta!$C$4,$E356="Equipe (todos)"),$A356&gt;=Atleta!$C$5),MAX($U$7:U355)+1,0))</f>
        <v>0</v>
      </c>
    </row>
    <row r="357" customFormat="false" ht="15" hidden="false" customHeight="false" outlineLevel="0" collapsed="false">
      <c r="A357" s="21"/>
      <c r="B357" s="33" t="n">
        <f aca="false">IF($A357="",0,INT(($A357-Macrociclo!$C$11)/7)+1)</f>
        <v>0</v>
      </c>
      <c r="C357" s="22"/>
      <c r="D357" s="22"/>
      <c r="E357" s="20"/>
      <c r="F357" s="22"/>
      <c r="G357" s="20"/>
      <c r="H357" s="19" t="str">
        <f aca="false">IFERROR(INDEX(Exercícios!$C$7:$C$206,MATCH($G357,Exercícios!$B$7:$B$206,0)),"")</f>
        <v/>
      </c>
      <c r="I357" s="19" t="str">
        <f aca="false">IFERROR(INDEX(Exercícios!$D$7:$D$206,MATCH($G357,Exercícios!$B$7:$B$206,0)),"")</f>
        <v/>
      </c>
      <c r="J357" s="19" t="str">
        <f aca="false">IFERROR(INDEX(Exercícios!$E$7:$E$206,MATCH($G357,Exercícios!$B$7:$B$206,0)),"")</f>
        <v/>
      </c>
      <c r="K357" s="22"/>
      <c r="L357" s="22"/>
      <c r="M357" s="20"/>
      <c r="N357" s="22"/>
      <c r="O357" s="22"/>
      <c r="P357" s="22"/>
      <c r="Q357" s="19" t="n">
        <f aca="false">IFERROR($K357*$L357,"")</f>
        <v>0</v>
      </c>
      <c r="R357" s="48" t="n">
        <f aca="false">IF(OR($O357="",$P357=""),0,$O357*$P357)</f>
        <v>0</v>
      </c>
      <c r="S357" s="20"/>
      <c r="T357" s="20"/>
      <c r="U357" s="33" t="n">
        <f aca="false">IF($A357="",0,IF(AND(OR($E357=Atleta!$C$4,$E357="Equipe (todos)"),$A357&gt;=Atleta!$C$5),MAX($U$7:U356)+1,0))</f>
        <v>0</v>
      </c>
    </row>
    <row r="358" customFormat="false" ht="15" hidden="false" customHeight="false" outlineLevel="0" collapsed="false">
      <c r="A358" s="21"/>
      <c r="B358" s="33" t="n">
        <f aca="false">IF($A358="",0,INT(($A358-Macrociclo!$C$11)/7)+1)</f>
        <v>0</v>
      </c>
      <c r="C358" s="22"/>
      <c r="D358" s="22"/>
      <c r="E358" s="20"/>
      <c r="F358" s="22"/>
      <c r="G358" s="20"/>
      <c r="H358" s="19" t="str">
        <f aca="false">IFERROR(INDEX(Exercícios!$C$7:$C$206,MATCH($G358,Exercícios!$B$7:$B$206,0)),"")</f>
        <v/>
      </c>
      <c r="I358" s="19" t="str">
        <f aca="false">IFERROR(INDEX(Exercícios!$D$7:$D$206,MATCH($G358,Exercícios!$B$7:$B$206,0)),"")</f>
        <v/>
      </c>
      <c r="J358" s="19" t="str">
        <f aca="false">IFERROR(INDEX(Exercícios!$E$7:$E$206,MATCH($G358,Exercícios!$B$7:$B$206,0)),"")</f>
        <v/>
      </c>
      <c r="K358" s="22"/>
      <c r="L358" s="22"/>
      <c r="M358" s="20"/>
      <c r="N358" s="22"/>
      <c r="O358" s="22"/>
      <c r="P358" s="22"/>
      <c r="Q358" s="19" t="n">
        <f aca="false">IFERROR($K358*$L358,"")</f>
        <v>0</v>
      </c>
      <c r="R358" s="48" t="n">
        <f aca="false">IF(OR($O358="",$P358=""),0,$O358*$P358)</f>
        <v>0</v>
      </c>
      <c r="S358" s="20"/>
      <c r="T358" s="20"/>
      <c r="U358" s="33" t="n">
        <f aca="false">IF($A358="",0,IF(AND(OR($E358=Atleta!$C$4,$E358="Equipe (todos)"),$A358&gt;=Atleta!$C$5),MAX($U$7:U357)+1,0))</f>
        <v>0</v>
      </c>
    </row>
    <row r="359" customFormat="false" ht="15" hidden="false" customHeight="false" outlineLevel="0" collapsed="false">
      <c r="A359" s="21"/>
      <c r="B359" s="33" t="n">
        <f aca="false">IF($A359="",0,INT(($A359-Macrociclo!$C$11)/7)+1)</f>
        <v>0</v>
      </c>
      <c r="C359" s="22"/>
      <c r="D359" s="22"/>
      <c r="E359" s="20"/>
      <c r="F359" s="22"/>
      <c r="G359" s="20"/>
      <c r="H359" s="19" t="str">
        <f aca="false">IFERROR(INDEX(Exercícios!$C$7:$C$206,MATCH($G359,Exercícios!$B$7:$B$206,0)),"")</f>
        <v/>
      </c>
      <c r="I359" s="19" t="str">
        <f aca="false">IFERROR(INDEX(Exercícios!$D$7:$D$206,MATCH($G359,Exercícios!$B$7:$B$206,0)),"")</f>
        <v/>
      </c>
      <c r="J359" s="19" t="str">
        <f aca="false">IFERROR(INDEX(Exercícios!$E$7:$E$206,MATCH($G359,Exercícios!$B$7:$B$206,0)),"")</f>
        <v/>
      </c>
      <c r="K359" s="22"/>
      <c r="L359" s="22"/>
      <c r="M359" s="20"/>
      <c r="N359" s="22"/>
      <c r="O359" s="22"/>
      <c r="P359" s="22"/>
      <c r="Q359" s="19" t="n">
        <f aca="false">IFERROR($K359*$L359,"")</f>
        <v>0</v>
      </c>
      <c r="R359" s="48" t="n">
        <f aca="false">IF(OR($O359="",$P359=""),0,$O359*$P359)</f>
        <v>0</v>
      </c>
      <c r="S359" s="20"/>
      <c r="T359" s="20"/>
      <c r="U359" s="33" t="n">
        <f aca="false">IF($A359="",0,IF(AND(OR($E359=Atleta!$C$4,$E359="Equipe (todos)"),$A359&gt;=Atleta!$C$5),MAX($U$7:U358)+1,0))</f>
        <v>0</v>
      </c>
    </row>
    <row r="360" customFormat="false" ht="15" hidden="false" customHeight="false" outlineLevel="0" collapsed="false">
      <c r="A360" s="21"/>
      <c r="B360" s="33" t="n">
        <f aca="false">IF($A360="",0,INT(($A360-Macrociclo!$C$11)/7)+1)</f>
        <v>0</v>
      </c>
      <c r="C360" s="22"/>
      <c r="D360" s="22"/>
      <c r="E360" s="20"/>
      <c r="F360" s="22"/>
      <c r="G360" s="20"/>
      <c r="H360" s="19" t="str">
        <f aca="false">IFERROR(INDEX(Exercícios!$C$7:$C$206,MATCH($G360,Exercícios!$B$7:$B$206,0)),"")</f>
        <v/>
      </c>
      <c r="I360" s="19" t="str">
        <f aca="false">IFERROR(INDEX(Exercícios!$D$7:$D$206,MATCH($G360,Exercícios!$B$7:$B$206,0)),"")</f>
        <v/>
      </c>
      <c r="J360" s="19" t="str">
        <f aca="false">IFERROR(INDEX(Exercícios!$E$7:$E$206,MATCH($G360,Exercícios!$B$7:$B$206,0)),"")</f>
        <v/>
      </c>
      <c r="K360" s="22"/>
      <c r="L360" s="22"/>
      <c r="M360" s="20"/>
      <c r="N360" s="22"/>
      <c r="O360" s="22"/>
      <c r="P360" s="22"/>
      <c r="Q360" s="19" t="n">
        <f aca="false">IFERROR($K360*$L360,"")</f>
        <v>0</v>
      </c>
      <c r="R360" s="48" t="n">
        <f aca="false">IF(OR($O360="",$P360=""),0,$O360*$P360)</f>
        <v>0</v>
      </c>
      <c r="S360" s="20"/>
      <c r="T360" s="20"/>
      <c r="U360" s="33" t="n">
        <f aca="false">IF($A360="",0,IF(AND(OR($E360=Atleta!$C$4,$E360="Equipe (todos)"),$A360&gt;=Atleta!$C$5),MAX($U$7:U359)+1,0))</f>
        <v>0</v>
      </c>
    </row>
    <row r="361" customFormat="false" ht="15" hidden="false" customHeight="false" outlineLevel="0" collapsed="false">
      <c r="A361" s="21"/>
      <c r="B361" s="33" t="n">
        <f aca="false">IF($A361="",0,INT(($A361-Macrociclo!$C$11)/7)+1)</f>
        <v>0</v>
      </c>
      <c r="C361" s="22"/>
      <c r="D361" s="22"/>
      <c r="E361" s="20"/>
      <c r="F361" s="22"/>
      <c r="G361" s="20"/>
      <c r="H361" s="19" t="str">
        <f aca="false">IFERROR(INDEX(Exercícios!$C$7:$C$206,MATCH($G361,Exercícios!$B$7:$B$206,0)),"")</f>
        <v/>
      </c>
      <c r="I361" s="19" t="str">
        <f aca="false">IFERROR(INDEX(Exercícios!$D$7:$D$206,MATCH($G361,Exercícios!$B$7:$B$206,0)),"")</f>
        <v/>
      </c>
      <c r="J361" s="19" t="str">
        <f aca="false">IFERROR(INDEX(Exercícios!$E$7:$E$206,MATCH($G361,Exercícios!$B$7:$B$206,0)),"")</f>
        <v/>
      </c>
      <c r="K361" s="22"/>
      <c r="L361" s="22"/>
      <c r="M361" s="20"/>
      <c r="N361" s="22"/>
      <c r="O361" s="22"/>
      <c r="P361" s="22"/>
      <c r="Q361" s="19" t="n">
        <f aca="false">IFERROR($K361*$L361,"")</f>
        <v>0</v>
      </c>
      <c r="R361" s="48" t="n">
        <f aca="false">IF(OR($O361="",$P361=""),0,$O361*$P361)</f>
        <v>0</v>
      </c>
      <c r="S361" s="20"/>
      <c r="T361" s="20"/>
      <c r="U361" s="33" t="n">
        <f aca="false">IF($A361="",0,IF(AND(OR($E361=Atleta!$C$4,$E361="Equipe (todos)"),$A361&gt;=Atleta!$C$5),MAX($U$7:U360)+1,0))</f>
        <v>0</v>
      </c>
    </row>
    <row r="362" customFormat="false" ht="15" hidden="false" customHeight="false" outlineLevel="0" collapsed="false">
      <c r="A362" s="21"/>
      <c r="B362" s="33" t="n">
        <f aca="false">IF($A362="",0,INT(($A362-Macrociclo!$C$11)/7)+1)</f>
        <v>0</v>
      </c>
      <c r="C362" s="22"/>
      <c r="D362" s="22"/>
      <c r="E362" s="20"/>
      <c r="F362" s="22"/>
      <c r="G362" s="20"/>
      <c r="H362" s="19" t="str">
        <f aca="false">IFERROR(INDEX(Exercícios!$C$7:$C$206,MATCH($G362,Exercícios!$B$7:$B$206,0)),"")</f>
        <v/>
      </c>
      <c r="I362" s="19" t="str">
        <f aca="false">IFERROR(INDEX(Exercícios!$D$7:$D$206,MATCH($G362,Exercícios!$B$7:$B$206,0)),"")</f>
        <v/>
      </c>
      <c r="J362" s="19" t="str">
        <f aca="false">IFERROR(INDEX(Exercícios!$E$7:$E$206,MATCH($G362,Exercícios!$B$7:$B$206,0)),"")</f>
        <v/>
      </c>
      <c r="K362" s="22"/>
      <c r="L362" s="22"/>
      <c r="M362" s="20"/>
      <c r="N362" s="22"/>
      <c r="O362" s="22"/>
      <c r="P362" s="22"/>
      <c r="Q362" s="19" t="n">
        <f aca="false">IFERROR($K362*$L362,"")</f>
        <v>0</v>
      </c>
      <c r="R362" s="48" t="n">
        <f aca="false">IF(OR($O362="",$P362=""),0,$O362*$P362)</f>
        <v>0</v>
      </c>
      <c r="S362" s="20"/>
      <c r="T362" s="20"/>
      <c r="U362" s="33" t="n">
        <f aca="false">IF($A362="",0,IF(AND(OR($E362=Atleta!$C$4,$E362="Equipe (todos)"),$A362&gt;=Atleta!$C$5),MAX($U$7:U361)+1,0))</f>
        <v>0</v>
      </c>
    </row>
    <row r="363" customFormat="false" ht="15" hidden="false" customHeight="false" outlineLevel="0" collapsed="false">
      <c r="A363" s="21"/>
      <c r="B363" s="33" t="n">
        <f aca="false">IF($A363="",0,INT(($A363-Macrociclo!$C$11)/7)+1)</f>
        <v>0</v>
      </c>
      <c r="C363" s="22"/>
      <c r="D363" s="22"/>
      <c r="E363" s="20"/>
      <c r="F363" s="22"/>
      <c r="G363" s="20"/>
      <c r="H363" s="19" t="str">
        <f aca="false">IFERROR(INDEX(Exercícios!$C$7:$C$206,MATCH($G363,Exercícios!$B$7:$B$206,0)),"")</f>
        <v/>
      </c>
      <c r="I363" s="19" t="str">
        <f aca="false">IFERROR(INDEX(Exercícios!$D$7:$D$206,MATCH($G363,Exercícios!$B$7:$B$206,0)),"")</f>
        <v/>
      </c>
      <c r="J363" s="19" t="str">
        <f aca="false">IFERROR(INDEX(Exercícios!$E$7:$E$206,MATCH($G363,Exercícios!$B$7:$B$206,0)),"")</f>
        <v/>
      </c>
      <c r="K363" s="22"/>
      <c r="L363" s="22"/>
      <c r="M363" s="20"/>
      <c r="N363" s="22"/>
      <c r="O363" s="22"/>
      <c r="P363" s="22"/>
      <c r="Q363" s="19" t="n">
        <f aca="false">IFERROR($K363*$L363,"")</f>
        <v>0</v>
      </c>
      <c r="R363" s="48" t="n">
        <f aca="false">IF(OR($O363="",$P363=""),0,$O363*$P363)</f>
        <v>0</v>
      </c>
      <c r="S363" s="20"/>
      <c r="T363" s="20"/>
      <c r="U363" s="33" t="n">
        <f aca="false">IF($A363="",0,IF(AND(OR($E363=Atleta!$C$4,$E363="Equipe (todos)"),$A363&gt;=Atleta!$C$5),MAX($U$7:U362)+1,0))</f>
        <v>0</v>
      </c>
    </row>
    <row r="364" customFormat="false" ht="15" hidden="false" customHeight="false" outlineLevel="0" collapsed="false">
      <c r="A364" s="21"/>
      <c r="B364" s="33" t="n">
        <f aca="false">IF($A364="",0,INT(($A364-Macrociclo!$C$11)/7)+1)</f>
        <v>0</v>
      </c>
      <c r="C364" s="22"/>
      <c r="D364" s="22"/>
      <c r="E364" s="20"/>
      <c r="F364" s="22"/>
      <c r="G364" s="20"/>
      <c r="H364" s="19" t="str">
        <f aca="false">IFERROR(INDEX(Exercícios!$C$7:$C$206,MATCH($G364,Exercícios!$B$7:$B$206,0)),"")</f>
        <v/>
      </c>
      <c r="I364" s="19" t="str">
        <f aca="false">IFERROR(INDEX(Exercícios!$D$7:$D$206,MATCH($G364,Exercícios!$B$7:$B$206,0)),"")</f>
        <v/>
      </c>
      <c r="J364" s="19" t="str">
        <f aca="false">IFERROR(INDEX(Exercícios!$E$7:$E$206,MATCH($G364,Exercícios!$B$7:$B$206,0)),"")</f>
        <v/>
      </c>
      <c r="K364" s="22"/>
      <c r="L364" s="22"/>
      <c r="M364" s="20"/>
      <c r="N364" s="22"/>
      <c r="O364" s="22"/>
      <c r="P364" s="22"/>
      <c r="Q364" s="19" t="n">
        <f aca="false">IFERROR($K364*$L364,"")</f>
        <v>0</v>
      </c>
      <c r="R364" s="48" t="n">
        <f aca="false">IF(OR($O364="",$P364=""),0,$O364*$P364)</f>
        <v>0</v>
      </c>
      <c r="S364" s="20"/>
      <c r="T364" s="20"/>
      <c r="U364" s="33" t="n">
        <f aca="false">IF($A364="",0,IF(AND(OR($E364=Atleta!$C$4,$E364="Equipe (todos)"),$A364&gt;=Atleta!$C$5),MAX($U$7:U363)+1,0))</f>
        <v>0</v>
      </c>
    </row>
    <row r="365" customFormat="false" ht="15" hidden="false" customHeight="false" outlineLevel="0" collapsed="false">
      <c r="A365" s="21"/>
      <c r="B365" s="33" t="n">
        <f aca="false">IF($A365="",0,INT(($A365-Macrociclo!$C$11)/7)+1)</f>
        <v>0</v>
      </c>
      <c r="C365" s="22"/>
      <c r="D365" s="22"/>
      <c r="E365" s="20"/>
      <c r="F365" s="22"/>
      <c r="G365" s="20"/>
      <c r="H365" s="19" t="str">
        <f aca="false">IFERROR(INDEX(Exercícios!$C$7:$C$206,MATCH($G365,Exercícios!$B$7:$B$206,0)),"")</f>
        <v/>
      </c>
      <c r="I365" s="19" t="str">
        <f aca="false">IFERROR(INDEX(Exercícios!$D$7:$D$206,MATCH($G365,Exercícios!$B$7:$B$206,0)),"")</f>
        <v/>
      </c>
      <c r="J365" s="19" t="str">
        <f aca="false">IFERROR(INDEX(Exercícios!$E$7:$E$206,MATCH($G365,Exercícios!$B$7:$B$206,0)),"")</f>
        <v/>
      </c>
      <c r="K365" s="22"/>
      <c r="L365" s="22"/>
      <c r="M365" s="20"/>
      <c r="N365" s="22"/>
      <c r="O365" s="22"/>
      <c r="P365" s="22"/>
      <c r="Q365" s="19" t="n">
        <f aca="false">IFERROR($K365*$L365,"")</f>
        <v>0</v>
      </c>
      <c r="R365" s="48" t="n">
        <f aca="false">IF(OR($O365="",$P365=""),0,$O365*$P365)</f>
        <v>0</v>
      </c>
      <c r="S365" s="20"/>
      <c r="T365" s="20"/>
      <c r="U365" s="33" t="n">
        <f aca="false">IF($A365="",0,IF(AND(OR($E365=Atleta!$C$4,$E365="Equipe (todos)"),$A365&gt;=Atleta!$C$5),MAX($U$7:U364)+1,0))</f>
        <v>0</v>
      </c>
    </row>
    <row r="366" customFormat="false" ht="15" hidden="false" customHeight="false" outlineLevel="0" collapsed="false">
      <c r="A366" s="21"/>
      <c r="B366" s="33" t="n">
        <f aca="false">IF($A366="",0,INT(($A366-Macrociclo!$C$11)/7)+1)</f>
        <v>0</v>
      </c>
      <c r="C366" s="22"/>
      <c r="D366" s="22"/>
      <c r="E366" s="20"/>
      <c r="F366" s="22"/>
      <c r="G366" s="20"/>
      <c r="H366" s="19" t="str">
        <f aca="false">IFERROR(INDEX(Exercícios!$C$7:$C$206,MATCH($G366,Exercícios!$B$7:$B$206,0)),"")</f>
        <v/>
      </c>
      <c r="I366" s="19" t="str">
        <f aca="false">IFERROR(INDEX(Exercícios!$D$7:$D$206,MATCH($G366,Exercícios!$B$7:$B$206,0)),"")</f>
        <v/>
      </c>
      <c r="J366" s="19" t="str">
        <f aca="false">IFERROR(INDEX(Exercícios!$E$7:$E$206,MATCH($G366,Exercícios!$B$7:$B$206,0)),"")</f>
        <v/>
      </c>
      <c r="K366" s="22"/>
      <c r="L366" s="22"/>
      <c r="M366" s="20"/>
      <c r="N366" s="22"/>
      <c r="O366" s="22"/>
      <c r="P366" s="22"/>
      <c r="Q366" s="19" t="n">
        <f aca="false">IFERROR($K366*$L366,"")</f>
        <v>0</v>
      </c>
      <c r="R366" s="48" t="n">
        <f aca="false">IF(OR($O366="",$P366=""),0,$O366*$P366)</f>
        <v>0</v>
      </c>
      <c r="S366" s="20"/>
      <c r="T366" s="20"/>
      <c r="U366" s="33" t="n">
        <f aca="false">IF($A366="",0,IF(AND(OR($E366=Atleta!$C$4,$E366="Equipe (todos)"),$A366&gt;=Atleta!$C$5),MAX($U$7:U365)+1,0))</f>
        <v>0</v>
      </c>
    </row>
    <row r="367" customFormat="false" ht="15" hidden="false" customHeight="false" outlineLevel="0" collapsed="false">
      <c r="A367" s="21"/>
      <c r="B367" s="33" t="n">
        <f aca="false">IF($A367="",0,INT(($A367-Macrociclo!$C$11)/7)+1)</f>
        <v>0</v>
      </c>
      <c r="C367" s="22"/>
      <c r="D367" s="22"/>
      <c r="E367" s="20"/>
      <c r="F367" s="22"/>
      <c r="G367" s="20"/>
      <c r="H367" s="19" t="str">
        <f aca="false">IFERROR(INDEX(Exercícios!$C$7:$C$206,MATCH($G367,Exercícios!$B$7:$B$206,0)),"")</f>
        <v/>
      </c>
      <c r="I367" s="19" t="str">
        <f aca="false">IFERROR(INDEX(Exercícios!$D$7:$D$206,MATCH($G367,Exercícios!$B$7:$B$206,0)),"")</f>
        <v/>
      </c>
      <c r="J367" s="19" t="str">
        <f aca="false">IFERROR(INDEX(Exercícios!$E$7:$E$206,MATCH($G367,Exercícios!$B$7:$B$206,0)),"")</f>
        <v/>
      </c>
      <c r="K367" s="22"/>
      <c r="L367" s="22"/>
      <c r="M367" s="20"/>
      <c r="N367" s="22"/>
      <c r="O367" s="22"/>
      <c r="P367" s="22"/>
      <c r="Q367" s="19" t="n">
        <f aca="false">IFERROR($K367*$L367,"")</f>
        <v>0</v>
      </c>
      <c r="R367" s="48" t="n">
        <f aca="false">IF(OR($O367="",$P367=""),0,$O367*$P367)</f>
        <v>0</v>
      </c>
      <c r="S367" s="20"/>
      <c r="T367" s="20"/>
      <c r="U367" s="33" t="n">
        <f aca="false">IF($A367="",0,IF(AND(OR($E367=Atleta!$C$4,$E367="Equipe (todos)"),$A367&gt;=Atleta!$C$5),MAX($U$7:U366)+1,0))</f>
        <v>0</v>
      </c>
    </row>
    <row r="368" customFormat="false" ht="15" hidden="false" customHeight="false" outlineLevel="0" collapsed="false">
      <c r="A368" s="21"/>
      <c r="B368" s="33" t="n">
        <f aca="false">IF($A368="",0,INT(($A368-Macrociclo!$C$11)/7)+1)</f>
        <v>0</v>
      </c>
      <c r="C368" s="22"/>
      <c r="D368" s="22"/>
      <c r="E368" s="20"/>
      <c r="F368" s="22"/>
      <c r="G368" s="20"/>
      <c r="H368" s="19" t="str">
        <f aca="false">IFERROR(INDEX(Exercícios!$C$7:$C$206,MATCH($G368,Exercícios!$B$7:$B$206,0)),"")</f>
        <v/>
      </c>
      <c r="I368" s="19" t="str">
        <f aca="false">IFERROR(INDEX(Exercícios!$D$7:$D$206,MATCH($G368,Exercícios!$B$7:$B$206,0)),"")</f>
        <v/>
      </c>
      <c r="J368" s="19" t="str">
        <f aca="false">IFERROR(INDEX(Exercícios!$E$7:$E$206,MATCH($G368,Exercícios!$B$7:$B$206,0)),"")</f>
        <v/>
      </c>
      <c r="K368" s="22"/>
      <c r="L368" s="22"/>
      <c r="M368" s="20"/>
      <c r="N368" s="22"/>
      <c r="O368" s="22"/>
      <c r="P368" s="22"/>
      <c r="Q368" s="19" t="n">
        <f aca="false">IFERROR($K368*$L368,"")</f>
        <v>0</v>
      </c>
      <c r="R368" s="48" t="n">
        <f aca="false">IF(OR($O368="",$P368=""),0,$O368*$P368)</f>
        <v>0</v>
      </c>
      <c r="S368" s="20"/>
      <c r="T368" s="20"/>
      <c r="U368" s="33" t="n">
        <f aca="false">IF($A368="",0,IF(AND(OR($E368=Atleta!$C$4,$E368="Equipe (todos)"),$A368&gt;=Atleta!$C$5),MAX($U$7:U367)+1,0))</f>
        <v>0</v>
      </c>
    </row>
    <row r="369" customFormat="false" ht="15" hidden="false" customHeight="false" outlineLevel="0" collapsed="false">
      <c r="A369" s="21"/>
      <c r="B369" s="33" t="n">
        <f aca="false">IF($A369="",0,INT(($A369-Macrociclo!$C$11)/7)+1)</f>
        <v>0</v>
      </c>
      <c r="C369" s="22"/>
      <c r="D369" s="22"/>
      <c r="E369" s="20"/>
      <c r="F369" s="22"/>
      <c r="G369" s="20"/>
      <c r="H369" s="19" t="str">
        <f aca="false">IFERROR(INDEX(Exercícios!$C$7:$C$206,MATCH($G369,Exercícios!$B$7:$B$206,0)),"")</f>
        <v/>
      </c>
      <c r="I369" s="19" t="str">
        <f aca="false">IFERROR(INDEX(Exercícios!$D$7:$D$206,MATCH($G369,Exercícios!$B$7:$B$206,0)),"")</f>
        <v/>
      </c>
      <c r="J369" s="19" t="str">
        <f aca="false">IFERROR(INDEX(Exercícios!$E$7:$E$206,MATCH($G369,Exercícios!$B$7:$B$206,0)),"")</f>
        <v/>
      </c>
      <c r="K369" s="22"/>
      <c r="L369" s="22"/>
      <c r="M369" s="20"/>
      <c r="N369" s="22"/>
      <c r="O369" s="22"/>
      <c r="P369" s="22"/>
      <c r="Q369" s="19" t="n">
        <f aca="false">IFERROR($K369*$L369,"")</f>
        <v>0</v>
      </c>
      <c r="R369" s="48" t="n">
        <f aca="false">IF(OR($O369="",$P369=""),0,$O369*$P369)</f>
        <v>0</v>
      </c>
      <c r="S369" s="20"/>
      <c r="T369" s="20"/>
      <c r="U369" s="33" t="n">
        <f aca="false">IF($A369="",0,IF(AND(OR($E369=Atleta!$C$4,$E369="Equipe (todos)"),$A369&gt;=Atleta!$C$5),MAX($U$7:U368)+1,0))</f>
        <v>0</v>
      </c>
    </row>
    <row r="370" customFormat="false" ht="15" hidden="false" customHeight="false" outlineLevel="0" collapsed="false">
      <c r="A370" s="21"/>
      <c r="B370" s="33" t="n">
        <f aca="false">IF($A370="",0,INT(($A370-Macrociclo!$C$11)/7)+1)</f>
        <v>0</v>
      </c>
      <c r="C370" s="22"/>
      <c r="D370" s="22"/>
      <c r="E370" s="20"/>
      <c r="F370" s="22"/>
      <c r="G370" s="20"/>
      <c r="H370" s="19" t="str">
        <f aca="false">IFERROR(INDEX(Exercícios!$C$7:$C$206,MATCH($G370,Exercícios!$B$7:$B$206,0)),"")</f>
        <v/>
      </c>
      <c r="I370" s="19" t="str">
        <f aca="false">IFERROR(INDEX(Exercícios!$D$7:$D$206,MATCH($G370,Exercícios!$B$7:$B$206,0)),"")</f>
        <v/>
      </c>
      <c r="J370" s="19" t="str">
        <f aca="false">IFERROR(INDEX(Exercícios!$E$7:$E$206,MATCH($G370,Exercícios!$B$7:$B$206,0)),"")</f>
        <v/>
      </c>
      <c r="K370" s="22"/>
      <c r="L370" s="22"/>
      <c r="M370" s="20"/>
      <c r="N370" s="22"/>
      <c r="O370" s="22"/>
      <c r="P370" s="22"/>
      <c r="Q370" s="19" t="n">
        <f aca="false">IFERROR($K370*$L370,"")</f>
        <v>0</v>
      </c>
      <c r="R370" s="48" t="n">
        <f aca="false">IF(OR($O370="",$P370=""),0,$O370*$P370)</f>
        <v>0</v>
      </c>
      <c r="S370" s="20"/>
      <c r="T370" s="20"/>
      <c r="U370" s="33" t="n">
        <f aca="false">IF($A370="",0,IF(AND(OR($E370=Atleta!$C$4,$E370="Equipe (todos)"),$A370&gt;=Atleta!$C$5),MAX($U$7:U369)+1,0))</f>
        <v>0</v>
      </c>
    </row>
    <row r="371" customFormat="false" ht="15" hidden="false" customHeight="false" outlineLevel="0" collapsed="false">
      <c r="A371" s="21"/>
      <c r="B371" s="33" t="n">
        <f aca="false">IF($A371="",0,INT(($A371-Macrociclo!$C$11)/7)+1)</f>
        <v>0</v>
      </c>
      <c r="C371" s="22"/>
      <c r="D371" s="22"/>
      <c r="E371" s="20"/>
      <c r="F371" s="22"/>
      <c r="G371" s="20"/>
      <c r="H371" s="19" t="str">
        <f aca="false">IFERROR(INDEX(Exercícios!$C$7:$C$206,MATCH($G371,Exercícios!$B$7:$B$206,0)),"")</f>
        <v/>
      </c>
      <c r="I371" s="19" t="str">
        <f aca="false">IFERROR(INDEX(Exercícios!$D$7:$D$206,MATCH($G371,Exercícios!$B$7:$B$206,0)),"")</f>
        <v/>
      </c>
      <c r="J371" s="19" t="str">
        <f aca="false">IFERROR(INDEX(Exercícios!$E$7:$E$206,MATCH($G371,Exercícios!$B$7:$B$206,0)),"")</f>
        <v/>
      </c>
      <c r="K371" s="22"/>
      <c r="L371" s="22"/>
      <c r="M371" s="20"/>
      <c r="N371" s="22"/>
      <c r="O371" s="22"/>
      <c r="P371" s="22"/>
      <c r="Q371" s="19" t="n">
        <f aca="false">IFERROR($K371*$L371,"")</f>
        <v>0</v>
      </c>
      <c r="R371" s="48" t="n">
        <f aca="false">IF(OR($O371="",$P371=""),0,$O371*$P371)</f>
        <v>0</v>
      </c>
      <c r="S371" s="20"/>
      <c r="T371" s="20"/>
      <c r="U371" s="33" t="n">
        <f aca="false">IF($A371="",0,IF(AND(OR($E371=Atleta!$C$4,$E371="Equipe (todos)"),$A371&gt;=Atleta!$C$5),MAX($U$7:U370)+1,0))</f>
        <v>0</v>
      </c>
    </row>
    <row r="372" customFormat="false" ht="15" hidden="false" customHeight="false" outlineLevel="0" collapsed="false">
      <c r="A372" s="21"/>
      <c r="B372" s="33" t="n">
        <f aca="false">IF($A372="",0,INT(($A372-Macrociclo!$C$11)/7)+1)</f>
        <v>0</v>
      </c>
      <c r="C372" s="22"/>
      <c r="D372" s="22"/>
      <c r="E372" s="20"/>
      <c r="F372" s="22"/>
      <c r="G372" s="20"/>
      <c r="H372" s="19" t="str">
        <f aca="false">IFERROR(INDEX(Exercícios!$C$7:$C$206,MATCH($G372,Exercícios!$B$7:$B$206,0)),"")</f>
        <v/>
      </c>
      <c r="I372" s="19" t="str">
        <f aca="false">IFERROR(INDEX(Exercícios!$D$7:$D$206,MATCH($G372,Exercícios!$B$7:$B$206,0)),"")</f>
        <v/>
      </c>
      <c r="J372" s="19" t="str">
        <f aca="false">IFERROR(INDEX(Exercícios!$E$7:$E$206,MATCH($G372,Exercícios!$B$7:$B$206,0)),"")</f>
        <v/>
      </c>
      <c r="K372" s="22"/>
      <c r="L372" s="22"/>
      <c r="M372" s="20"/>
      <c r="N372" s="22"/>
      <c r="O372" s="22"/>
      <c r="P372" s="22"/>
      <c r="Q372" s="19" t="n">
        <f aca="false">IFERROR($K372*$L372,"")</f>
        <v>0</v>
      </c>
      <c r="R372" s="48" t="n">
        <f aca="false">IF(OR($O372="",$P372=""),0,$O372*$P372)</f>
        <v>0</v>
      </c>
      <c r="S372" s="20"/>
      <c r="T372" s="20"/>
      <c r="U372" s="33" t="n">
        <f aca="false">IF($A372="",0,IF(AND(OR($E372=Atleta!$C$4,$E372="Equipe (todos)"),$A372&gt;=Atleta!$C$5),MAX($U$7:U371)+1,0))</f>
        <v>0</v>
      </c>
    </row>
    <row r="373" customFormat="false" ht="15" hidden="false" customHeight="false" outlineLevel="0" collapsed="false">
      <c r="A373" s="21"/>
      <c r="B373" s="33" t="n">
        <f aca="false">IF($A373="",0,INT(($A373-Macrociclo!$C$11)/7)+1)</f>
        <v>0</v>
      </c>
      <c r="C373" s="22"/>
      <c r="D373" s="22"/>
      <c r="E373" s="20"/>
      <c r="F373" s="22"/>
      <c r="G373" s="20"/>
      <c r="H373" s="19" t="str">
        <f aca="false">IFERROR(INDEX(Exercícios!$C$7:$C$206,MATCH($G373,Exercícios!$B$7:$B$206,0)),"")</f>
        <v/>
      </c>
      <c r="I373" s="19" t="str">
        <f aca="false">IFERROR(INDEX(Exercícios!$D$7:$D$206,MATCH($G373,Exercícios!$B$7:$B$206,0)),"")</f>
        <v/>
      </c>
      <c r="J373" s="19" t="str">
        <f aca="false">IFERROR(INDEX(Exercícios!$E$7:$E$206,MATCH($G373,Exercícios!$B$7:$B$206,0)),"")</f>
        <v/>
      </c>
      <c r="K373" s="22"/>
      <c r="L373" s="22"/>
      <c r="M373" s="20"/>
      <c r="N373" s="22"/>
      <c r="O373" s="22"/>
      <c r="P373" s="22"/>
      <c r="Q373" s="19" t="n">
        <f aca="false">IFERROR($K373*$L373,"")</f>
        <v>0</v>
      </c>
      <c r="R373" s="48" t="n">
        <f aca="false">IF(OR($O373="",$P373=""),0,$O373*$P373)</f>
        <v>0</v>
      </c>
      <c r="S373" s="20"/>
      <c r="T373" s="20"/>
      <c r="U373" s="33" t="n">
        <f aca="false">IF($A373="",0,IF(AND(OR($E373=Atleta!$C$4,$E373="Equipe (todos)"),$A373&gt;=Atleta!$C$5),MAX($U$7:U372)+1,0))</f>
        <v>0</v>
      </c>
    </row>
    <row r="374" customFormat="false" ht="15" hidden="false" customHeight="false" outlineLevel="0" collapsed="false">
      <c r="A374" s="21"/>
      <c r="B374" s="33" t="n">
        <f aca="false">IF($A374="",0,INT(($A374-Macrociclo!$C$11)/7)+1)</f>
        <v>0</v>
      </c>
      <c r="C374" s="22"/>
      <c r="D374" s="22"/>
      <c r="E374" s="20"/>
      <c r="F374" s="22"/>
      <c r="G374" s="20"/>
      <c r="H374" s="19" t="str">
        <f aca="false">IFERROR(INDEX(Exercícios!$C$7:$C$206,MATCH($G374,Exercícios!$B$7:$B$206,0)),"")</f>
        <v/>
      </c>
      <c r="I374" s="19" t="str">
        <f aca="false">IFERROR(INDEX(Exercícios!$D$7:$D$206,MATCH($G374,Exercícios!$B$7:$B$206,0)),"")</f>
        <v/>
      </c>
      <c r="J374" s="19" t="str">
        <f aca="false">IFERROR(INDEX(Exercícios!$E$7:$E$206,MATCH($G374,Exercícios!$B$7:$B$206,0)),"")</f>
        <v/>
      </c>
      <c r="K374" s="22"/>
      <c r="L374" s="22"/>
      <c r="M374" s="20"/>
      <c r="N374" s="22"/>
      <c r="O374" s="22"/>
      <c r="P374" s="22"/>
      <c r="Q374" s="19" t="n">
        <f aca="false">IFERROR($K374*$L374,"")</f>
        <v>0</v>
      </c>
      <c r="R374" s="48" t="n">
        <f aca="false">IF(OR($O374="",$P374=""),0,$O374*$P374)</f>
        <v>0</v>
      </c>
      <c r="S374" s="20"/>
      <c r="T374" s="20"/>
      <c r="U374" s="33" t="n">
        <f aca="false">IF($A374="",0,IF(AND(OR($E374=Atleta!$C$4,$E374="Equipe (todos)"),$A374&gt;=Atleta!$C$5),MAX($U$7:U373)+1,0))</f>
        <v>0</v>
      </c>
    </row>
    <row r="375" customFormat="false" ht="15" hidden="false" customHeight="false" outlineLevel="0" collapsed="false">
      <c r="A375" s="21"/>
      <c r="B375" s="33" t="n">
        <f aca="false">IF($A375="",0,INT(($A375-Macrociclo!$C$11)/7)+1)</f>
        <v>0</v>
      </c>
      <c r="C375" s="22"/>
      <c r="D375" s="22"/>
      <c r="E375" s="20"/>
      <c r="F375" s="22"/>
      <c r="G375" s="20"/>
      <c r="H375" s="19" t="str">
        <f aca="false">IFERROR(INDEX(Exercícios!$C$7:$C$206,MATCH($G375,Exercícios!$B$7:$B$206,0)),"")</f>
        <v/>
      </c>
      <c r="I375" s="19" t="str">
        <f aca="false">IFERROR(INDEX(Exercícios!$D$7:$D$206,MATCH($G375,Exercícios!$B$7:$B$206,0)),"")</f>
        <v/>
      </c>
      <c r="J375" s="19" t="str">
        <f aca="false">IFERROR(INDEX(Exercícios!$E$7:$E$206,MATCH($G375,Exercícios!$B$7:$B$206,0)),"")</f>
        <v/>
      </c>
      <c r="K375" s="22"/>
      <c r="L375" s="22"/>
      <c r="M375" s="20"/>
      <c r="N375" s="22"/>
      <c r="O375" s="22"/>
      <c r="P375" s="22"/>
      <c r="Q375" s="19" t="n">
        <f aca="false">IFERROR($K375*$L375,"")</f>
        <v>0</v>
      </c>
      <c r="R375" s="48" t="n">
        <f aca="false">IF(OR($O375="",$P375=""),0,$O375*$P375)</f>
        <v>0</v>
      </c>
      <c r="S375" s="20"/>
      <c r="T375" s="20"/>
      <c r="U375" s="33" t="n">
        <f aca="false">IF($A375="",0,IF(AND(OR($E375=Atleta!$C$4,$E375="Equipe (todos)"),$A375&gt;=Atleta!$C$5),MAX($U$7:U374)+1,0))</f>
        <v>0</v>
      </c>
    </row>
    <row r="376" customFormat="false" ht="15" hidden="false" customHeight="false" outlineLevel="0" collapsed="false">
      <c r="A376" s="21"/>
      <c r="B376" s="33" t="n">
        <f aca="false">IF($A376="",0,INT(($A376-Macrociclo!$C$11)/7)+1)</f>
        <v>0</v>
      </c>
      <c r="C376" s="22"/>
      <c r="D376" s="22"/>
      <c r="E376" s="20"/>
      <c r="F376" s="22"/>
      <c r="G376" s="20"/>
      <c r="H376" s="19" t="str">
        <f aca="false">IFERROR(INDEX(Exercícios!$C$7:$C$206,MATCH($G376,Exercícios!$B$7:$B$206,0)),"")</f>
        <v/>
      </c>
      <c r="I376" s="19" t="str">
        <f aca="false">IFERROR(INDEX(Exercícios!$D$7:$D$206,MATCH($G376,Exercícios!$B$7:$B$206,0)),"")</f>
        <v/>
      </c>
      <c r="J376" s="19" t="str">
        <f aca="false">IFERROR(INDEX(Exercícios!$E$7:$E$206,MATCH($G376,Exercícios!$B$7:$B$206,0)),"")</f>
        <v/>
      </c>
      <c r="K376" s="22"/>
      <c r="L376" s="22"/>
      <c r="M376" s="20"/>
      <c r="N376" s="22"/>
      <c r="O376" s="22"/>
      <c r="P376" s="22"/>
      <c r="Q376" s="19" t="n">
        <f aca="false">IFERROR($K376*$L376,"")</f>
        <v>0</v>
      </c>
      <c r="R376" s="48" t="n">
        <f aca="false">IF(OR($O376="",$P376=""),0,$O376*$P376)</f>
        <v>0</v>
      </c>
      <c r="S376" s="20"/>
      <c r="T376" s="20"/>
      <c r="U376" s="33" t="n">
        <f aca="false">IF($A376="",0,IF(AND(OR($E376=Atleta!$C$4,$E376="Equipe (todos)"),$A376&gt;=Atleta!$C$5),MAX($U$7:U375)+1,0))</f>
        <v>0</v>
      </c>
    </row>
    <row r="377" customFormat="false" ht="15" hidden="false" customHeight="false" outlineLevel="0" collapsed="false">
      <c r="A377" s="21"/>
      <c r="B377" s="33" t="n">
        <f aca="false">IF($A377="",0,INT(($A377-Macrociclo!$C$11)/7)+1)</f>
        <v>0</v>
      </c>
      <c r="C377" s="22"/>
      <c r="D377" s="22"/>
      <c r="E377" s="20"/>
      <c r="F377" s="22"/>
      <c r="G377" s="20"/>
      <c r="H377" s="19" t="str">
        <f aca="false">IFERROR(INDEX(Exercícios!$C$7:$C$206,MATCH($G377,Exercícios!$B$7:$B$206,0)),"")</f>
        <v/>
      </c>
      <c r="I377" s="19" t="str">
        <f aca="false">IFERROR(INDEX(Exercícios!$D$7:$D$206,MATCH($G377,Exercícios!$B$7:$B$206,0)),"")</f>
        <v/>
      </c>
      <c r="J377" s="19" t="str">
        <f aca="false">IFERROR(INDEX(Exercícios!$E$7:$E$206,MATCH($G377,Exercícios!$B$7:$B$206,0)),"")</f>
        <v/>
      </c>
      <c r="K377" s="22"/>
      <c r="L377" s="22"/>
      <c r="M377" s="20"/>
      <c r="N377" s="22"/>
      <c r="O377" s="22"/>
      <c r="P377" s="22"/>
      <c r="Q377" s="19" t="n">
        <f aca="false">IFERROR($K377*$L377,"")</f>
        <v>0</v>
      </c>
      <c r="R377" s="48" t="n">
        <f aca="false">IF(OR($O377="",$P377=""),0,$O377*$P377)</f>
        <v>0</v>
      </c>
      <c r="S377" s="20"/>
      <c r="T377" s="20"/>
      <c r="U377" s="33" t="n">
        <f aca="false">IF($A377="",0,IF(AND(OR($E377=Atleta!$C$4,$E377="Equipe (todos)"),$A377&gt;=Atleta!$C$5),MAX($U$7:U376)+1,0))</f>
        <v>0</v>
      </c>
    </row>
    <row r="378" customFormat="false" ht="15" hidden="false" customHeight="false" outlineLevel="0" collapsed="false">
      <c r="A378" s="21"/>
      <c r="B378" s="33" t="n">
        <f aca="false">IF($A378="",0,INT(($A378-Macrociclo!$C$11)/7)+1)</f>
        <v>0</v>
      </c>
      <c r="C378" s="22"/>
      <c r="D378" s="22"/>
      <c r="E378" s="20"/>
      <c r="F378" s="22"/>
      <c r="G378" s="20"/>
      <c r="H378" s="19" t="str">
        <f aca="false">IFERROR(INDEX(Exercícios!$C$7:$C$206,MATCH($G378,Exercícios!$B$7:$B$206,0)),"")</f>
        <v/>
      </c>
      <c r="I378" s="19" t="str">
        <f aca="false">IFERROR(INDEX(Exercícios!$D$7:$D$206,MATCH($G378,Exercícios!$B$7:$B$206,0)),"")</f>
        <v/>
      </c>
      <c r="J378" s="19" t="str">
        <f aca="false">IFERROR(INDEX(Exercícios!$E$7:$E$206,MATCH($G378,Exercícios!$B$7:$B$206,0)),"")</f>
        <v/>
      </c>
      <c r="K378" s="22"/>
      <c r="L378" s="22"/>
      <c r="M378" s="20"/>
      <c r="N378" s="22"/>
      <c r="O378" s="22"/>
      <c r="P378" s="22"/>
      <c r="Q378" s="19" t="n">
        <f aca="false">IFERROR($K378*$L378,"")</f>
        <v>0</v>
      </c>
      <c r="R378" s="48" t="n">
        <f aca="false">IF(OR($O378="",$P378=""),0,$O378*$P378)</f>
        <v>0</v>
      </c>
      <c r="S378" s="20"/>
      <c r="T378" s="20"/>
      <c r="U378" s="33" t="n">
        <f aca="false">IF($A378="",0,IF(AND(OR($E378=Atleta!$C$4,$E378="Equipe (todos)"),$A378&gt;=Atleta!$C$5),MAX($U$7:U377)+1,0))</f>
        <v>0</v>
      </c>
    </row>
    <row r="379" customFormat="false" ht="15" hidden="false" customHeight="false" outlineLevel="0" collapsed="false">
      <c r="A379" s="21"/>
      <c r="B379" s="33" t="n">
        <f aca="false">IF($A379="",0,INT(($A379-Macrociclo!$C$11)/7)+1)</f>
        <v>0</v>
      </c>
      <c r="C379" s="22"/>
      <c r="D379" s="22"/>
      <c r="E379" s="20"/>
      <c r="F379" s="22"/>
      <c r="G379" s="20"/>
      <c r="H379" s="19" t="str">
        <f aca="false">IFERROR(INDEX(Exercícios!$C$7:$C$206,MATCH($G379,Exercícios!$B$7:$B$206,0)),"")</f>
        <v/>
      </c>
      <c r="I379" s="19" t="str">
        <f aca="false">IFERROR(INDEX(Exercícios!$D$7:$D$206,MATCH($G379,Exercícios!$B$7:$B$206,0)),"")</f>
        <v/>
      </c>
      <c r="J379" s="19" t="str">
        <f aca="false">IFERROR(INDEX(Exercícios!$E$7:$E$206,MATCH($G379,Exercícios!$B$7:$B$206,0)),"")</f>
        <v/>
      </c>
      <c r="K379" s="22"/>
      <c r="L379" s="22"/>
      <c r="M379" s="20"/>
      <c r="N379" s="22"/>
      <c r="O379" s="22"/>
      <c r="P379" s="22"/>
      <c r="Q379" s="19" t="n">
        <f aca="false">IFERROR($K379*$L379,"")</f>
        <v>0</v>
      </c>
      <c r="R379" s="48" t="n">
        <f aca="false">IF(OR($O379="",$P379=""),0,$O379*$P379)</f>
        <v>0</v>
      </c>
      <c r="S379" s="20"/>
      <c r="T379" s="20"/>
      <c r="U379" s="33" t="n">
        <f aca="false">IF($A379="",0,IF(AND(OR($E379=Atleta!$C$4,$E379="Equipe (todos)"),$A379&gt;=Atleta!$C$5),MAX($U$7:U378)+1,0))</f>
        <v>0</v>
      </c>
    </row>
    <row r="380" customFormat="false" ht="15" hidden="false" customHeight="false" outlineLevel="0" collapsed="false">
      <c r="A380" s="21"/>
      <c r="B380" s="33" t="n">
        <f aca="false">IF($A380="",0,INT(($A380-Macrociclo!$C$11)/7)+1)</f>
        <v>0</v>
      </c>
      <c r="C380" s="22"/>
      <c r="D380" s="22"/>
      <c r="E380" s="20"/>
      <c r="F380" s="22"/>
      <c r="G380" s="20"/>
      <c r="H380" s="19" t="str">
        <f aca="false">IFERROR(INDEX(Exercícios!$C$7:$C$206,MATCH($G380,Exercícios!$B$7:$B$206,0)),"")</f>
        <v/>
      </c>
      <c r="I380" s="19" t="str">
        <f aca="false">IFERROR(INDEX(Exercícios!$D$7:$D$206,MATCH($G380,Exercícios!$B$7:$B$206,0)),"")</f>
        <v/>
      </c>
      <c r="J380" s="19" t="str">
        <f aca="false">IFERROR(INDEX(Exercícios!$E$7:$E$206,MATCH($G380,Exercícios!$B$7:$B$206,0)),"")</f>
        <v/>
      </c>
      <c r="K380" s="22"/>
      <c r="L380" s="22"/>
      <c r="M380" s="20"/>
      <c r="N380" s="22"/>
      <c r="O380" s="22"/>
      <c r="P380" s="22"/>
      <c r="Q380" s="19" t="n">
        <f aca="false">IFERROR($K380*$L380,"")</f>
        <v>0</v>
      </c>
      <c r="R380" s="48" t="n">
        <f aca="false">IF(OR($O380="",$P380=""),0,$O380*$P380)</f>
        <v>0</v>
      </c>
      <c r="S380" s="20"/>
      <c r="T380" s="20"/>
      <c r="U380" s="33" t="n">
        <f aca="false">IF($A380="",0,IF(AND(OR($E380=Atleta!$C$4,$E380="Equipe (todos)"),$A380&gt;=Atleta!$C$5),MAX($U$7:U379)+1,0))</f>
        <v>0</v>
      </c>
    </row>
    <row r="381" customFormat="false" ht="15" hidden="false" customHeight="false" outlineLevel="0" collapsed="false">
      <c r="A381" s="21"/>
      <c r="B381" s="33" t="n">
        <f aca="false">IF($A381="",0,INT(($A381-Macrociclo!$C$11)/7)+1)</f>
        <v>0</v>
      </c>
      <c r="C381" s="22"/>
      <c r="D381" s="22"/>
      <c r="E381" s="20"/>
      <c r="F381" s="22"/>
      <c r="G381" s="20"/>
      <c r="H381" s="19" t="str">
        <f aca="false">IFERROR(INDEX(Exercícios!$C$7:$C$206,MATCH($G381,Exercícios!$B$7:$B$206,0)),"")</f>
        <v/>
      </c>
      <c r="I381" s="19" t="str">
        <f aca="false">IFERROR(INDEX(Exercícios!$D$7:$D$206,MATCH($G381,Exercícios!$B$7:$B$206,0)),"")</f>
        <v/>
      </c>
      <c r="J381" s="19" t="str">
        <f aca="false">IFERROR(INDEX(Exercícios!$E$7:$E$206,MATCH($G381,Exercícios!$B$7:$B$206,0)),"")</f>
        <v/>
      </c>
      <c r="K381" s="22"/>
      <c r="L381" s="22"/>
      <c r="M381" s="20"/>
      <c r="N381" s="22"/>
      <c r="O381" s="22"/>
      <c r="P381" s="22"/>
      <c r="Q381" s="19" t="n">
        <f aca="false">IFERROR($K381*$L381,"")</f>
        <v>0</v>
      </c>
      <c r="R381" s="48" t="n">
        <f aca="false">IF(OR($O381="",$P381=""),0,$O381*$P381)</f>
        <v>0</v>
      </c>
      <c r="S381" s="20"/>
      <c r="T381" s="20"/>
      <c r="U381" s="33" t="n">
        <f aca="false">IF($A381="",0,IF(AND(OR($E381=Atleta!$C$4,$E381="Equipe (todos)"),$A381&gt;=Atleta!$C$5),MAX($U$7:U380)+1,0))</f>
        <v>0</v>
      </c>
    </row>
    <row r="382" customFormat="false" ht="15" hidden="false" customHeight="false" outlineLevel="0" collapsed="false">
      <c r="A382" s="21"/>
      <c r="B382" s="33" t="n">
        <f aca="false">IF($A382="",0,INT(($A382-Macrociclo!$C$11)/7)+1)</f>
        <v>0</v>
      </c>
      <c r="C382" s="22"/>
      <c r="D382" s="22"/>
      <c r="E382" s="20"/>
      <c r="F382" s="22"/>
      <c r="G382" s="20"/>
      <c r="H382" s="19" t="str">
        <f aca="false">IFERROR(INDEX(Exercícios!$C$7:$C$206,MATCH($G382,Exercícios!$B$7:$B$206,0)),"")</f>
        <v/>
      </c>
      <c r="I382" s="19" t="str">
        <f aca="false">IFERROR(INDEX(Exercícios!$D$7:$D$206,MATCH($G382,Exercícios!$B$7:$B$206,0)),"")</f>
        <v/>
      </c>
      <c r="J382" s="19" t="str">
        <f aca="false">IFERROR(INDEX(Exercícios!$E$7:$E$206,MATCH($G382,Exercícios!$B$7:$B$206,0)),"")</f>
        <v/>
      </c>
      <c r="K382" s="22"/>
      <c r="L382" s="22"/>
      <c r="M382" s="20"/>
      <c r="N382" s="22"/>
      <c r="O382" s="22"/>
      <c r="P382" s="22"/>
      <c r="Q382" s="19" t="n">
        <f aca="false">IFERROR($K382*$L382,"")</f>
        <v>0</v>
      </c>
      <c r="R382" s="48" t="n">
        <f aca="false">IF(OR($O382="",$P382=""),0,$O382*$P382)</f>
        <v>0</v>
      </c>
      <c r="S382" s="20"/>
      <c r="T382" s="20"/>
      <c r="U382" s="33" t="n">
        <f aca="false">IF($A382="",0,IF(AND(OR($E382=Atleta!$C$4,$E382="Equipe (todos)"),$A382&gt;=Atleta!$C$5),MAX($U$7:U381)+1,0))</f>
        <v>0</v>
      </c>
    </row>
    <row r="383" customFormat="false" ht="15" hidden="false" customHeight="false" outlineLevel="0" collapsed="false">
      <c r="A383" s="21"/>
      <c r="B383" s="33" t="n">
        <f aca="false">IF($A383="",0,INT(($A383-Macrociclo!$C$11)/7)+1)</f>
        <v>0</v>
      </c>
      <c r="C383" s="22"/>
      <c r="D383" s="22"/>
      <c r="E383" s="20"/>
      <c r="F383" s="22"/>
      <c r="G383" s="20"/>
      <c r="H383" s="19" t="str">
        <f aca="false">IFERROR(INDEX(Exercícios!$C$7:$C$206,MATCH($G383,Exercícios!$B$7:$B$206,0)),"")</f>
        <v/>
      </c>
      <c r="I383" s="19" t="str">
        <f aca="false">IFERROR(INDEX(Exercícios!$D$7:$D$206,MATCH($G383,Exercícios!$B$7:$B$206,0)),"")</f>
        <v/>
      </c>
      <c r="J383" s="19" t="str">
        <f aca="false">IFERROR(INDEX(Exercícios!$E$7:$E$206,MATCH($G383,Exercícios!$B$7:$B$206,0)),"")</f>
        <v/>
      </c>
      <c r="K383" s="22"/>
      <c r="L383" s="22"/>
      <c r="M383" s="20"/>
      <c r="N383" s="22"/>
      <c r="O383" s="22"/>
      <c r="P383" s="22"/>
      <c r="Q383" s="19" t="n">
        <f aca="false">IFERROR($K383*$L383,"")</f>
        <v>0</v>
      </c>
      <c r="R383" s="48" t="n">
        <f aca="false">IF(OR($O383="",$P383=""),0,$O383*$P383)</f>
        <v>0</v>
      </c>
      <c r="S383" s="20"/>
      <c r="T383" s="20"/>
      <c r="U383" s="33" t="n">
        <f aca="false">IF($A383="",0,IF(AND(OR($E383=Atleta!$C$4,$E383="Equipe (todos)"),$A383&gt;=Atleta!$C$5),MAX($U$7:U382)+1,0))</f>
        <v>0</v>
      </c>
    </row>
    <row r="384" customFormat="false" ht="15" hidden="false" customHeight="false" outlineLevel="0" collapsed="false">
      <c r="A384" s="21"/>
      <c r="B384" s="33" t="n">
        <f aca="false">IF($A384="",0,INT(($A384-Macrociclo!$C$11)/7)+1)</f>
        <v>0</v>
      </c>
      <c r="C384" s="22"/>
      <c r="D384" s="22"/>
      <c r="E384" s="20"/>
      <c r="F384" s="22"/>
      <c r="G384" s="20"/>
      <c r="H384" s="19" t="str">
        <f aca="false">IFERROR(INDEX(Exercícios!$C$7:$C$206,MATCH($G384,Exercícios!$B$7:$B$206,0)),"")</f>
        <v/>
      </c>
      <c r="I384" s="19" t="str">
        <f aca="false">IFERROR(INDEX(Exercícios!$D$7:$D$206,MATCH($G384,Exercícios!$B$7:$B$206,0)),"")</f>
        <v/>
      </c>
      <c r="J384" s="19" t="str">
        <f aca="false">IFERROR(INDEX(Exercícios!$E$7:$E$206,MATCH($G384,Exercícios!$B$7:$B$206,0)),"")</f>
        <v/>
      </c>
      <c r="K384" s="22"/>
      <c r="L384" s="22"/>
      <c r="M384" s="20"/>
      <c r="N384" s="22"/>
      <c r="O384" s="22"/>
      <c r="P384" s="22"/>
      <c r="Q384" s="19" t="n">
        <f aca="false">IFERROR($K384*$L384,"")</f>
        <v>0</v>
      </c>
      <c r="R384" s="48" t="n">
        <f aca="false">IF(OR($O384="",$P384=""),0,$O384*$P384)</f>
        <v>0</v>
      </c>
      <c r="S384" s="20"/>
      <c r="T384" s="20"/>
      <c r="U384" s="33" t="n">
        <f aca="false">IF($A384="",0,IF(AND(OR($E384=Atleta!$C$4,$E384="Equipe (todos)"),$A384&gt;=Atleta!$C$5),MAX($U$7:U383)+1,0))</f>
        <v>0</v>
      </c>
    </row>
    <row r="385" customFormat="false" ht="15" hidden="false" customHeight="false" outlineLevel="0" collapsed="false">
      <c r="A385" s="21"/>
      <c r="B385" s="33" t="n">
        <f aca="false">IF($A385="",0,INT(($A385-Macrociclo!$C$11)/7)+1)</f>
        <v>0</v>
      </c>
      <c r="C385" s="22"/>
      <c r="D385" s="22"/>
      <c r="E385" s="20"/>
      <c r="F385" s="22"/>
      <c r="G385" s="20"/>
      <c r="H385" s="19" t="str">
        <f aca="false">IFERROR(INDEX(Exercícios!$C$7:$C$206,MATCH($G385,Exercícios!$B$7:$B$206,0)),"")</f>
        <v/>
      </c>
      <c r="I385" s="19" t="str">
        <f aca="false">IFERROR(INDEX(Exercícios!$D$7:$D$206,MATCH($G385,Exercícios!$B$7:$B$206,0)),"")</f>
        <v/>
      </c>
      <c r="J385" s="19" t="str">
        <f aca="false">IFERROR(INDEX(Exercícios!$E$7:$E$206,MATCH($G385,Exercícios!$B$7:$B$206,0)),"")</f>
        <v/>
      </c>
      <c r="K385" s="22"/>
      <c r="L385" s="22"/>
      <c r="M385" s="20"/>
      <c r="N385" s="22"/>
      <c r="O385" s="22"/>
      <c r="P385" s="22"/>
      <c r="Q385" s="19" t="n">
        <f aca="false">IFERROR($K385*$L385,"")</f>
        <v>0</v>
      </c>
      <c r="R385" s="48" t="n">
        <f aca="false">IF(OR($O385="",$P385=""),0,$O385*$P385)</f>
        <v>0</v>
      </c>
      <c r="S385" s="20"/>
      <c r="T385" s="20"/>
      <c r="U385" s="33" t="n">
        <f aca="false">IF($A385="",0,IF(AND(OR($E385=Atleta!$C$4,$E385="Equipe (todos)"),$A385&gt;=Atleta!$C$5),MAX($U$7:U384)+1,0))</f>
        <v>0</v>
      </c>
    </row>
    <row r="386" customFormat="false" ht="15" hidden="false" customHeight="false" outlineLevel="0" collapsed="false">
      <c r="A386" s="21"/>
      <c r="B386" s="33" t="n">
        <f aca="false">IF($A386="",0,INT(($A386-Macrociclo!$C$11)/7)+1)</f>
        <v>0</v>
      </c>
      <c r="C386" s="22"/>
      <c r="D386" s="22"/>
      <c r="E386" s="20"/>
      <c r="F386" s="22"/>
      <c r="G386" s="20"/>
      <c r="H386" s="19" t="str">
        <f aca="false">IFERROR(INDEX(Exercícios!$C$7:$C$206,MATCH($G386,Exercícios!$B$7:$B$206,0)),"")</f>
        <v/>
      </c>
      <c r="I386" s="19" t="str">
        <f aca="false">IFERROR(INDEX(Exercícios!$D$7:$D$206,MATCH($G386,Exercícios!$B$7:$B$206,0)),"")</f>
        <v/>
      </c>
      <c r="J386" s="19" t="str">
        <f aca="false">IFERROR(INDEX(Exercícios!$E$7:$E$206,MATCH($G386,Exercícios!$B$7:$B$206,0)),"")</f>
        <v/>
      </c>
      <c r="K386" s="22"/>
      <c r="L386" s="22"/>
      <c r="M386" s="20"/>
      <c r="N386" s="22"/>
      <c r="O386" s="22"/>
      <c r="P386" s="22"/>
      <c r="Q386" s="19" t="n">
        <f aca="false">IFERROR($K386*$L386,"")</f>
        <v>0</v>
      </c>
      <c r="R386" s="48" t="n">
        <f aca="false">IF(OR($O386="",$P386=""),0,$O386*$P386)</f>
        <v>0</v>
      </c>
      <c r="S386" s="20"/>
      <c r="T386" s="20"/>
      <c r="U386" s="33" t="n">
        <f aca="false">IF($A386="",0,IF(AND(OR($E386=Atleta!$C$4,$E386="Equipe (todos)"),$A386&gt;=Atleta!$C$5),MAX($U$7:U385)+1,0))</f>
        <v>0</v>
      </c>
    </row>
    <row r="387" customFormat="false" ht="15" hidden="false" customHeight="false" outlineLevel="0" collapsed="false">
      <c r="A387" s="21"/>
      <c r="B387" s="33" t="n">
        <f aca="false">IF($A387="",0,INT(($A387-Macrociclo!$C$11)/7)+1)</f>
        <v>0</v>
      </c>
      <c r="C387" s="22"/>
      <c r="D387" s="22"/>
      <c r="E387" s="20"/>
      <c r="F387" s="22"/>
      <c r="G387" s="20"/>
      <c r="H387" s="19" t="str">
        <f aca="false">IFERROR(INDEX(Exercícios!$C$7:$C$206,MATCH($G387,Exercícios!$B$7:$B$206,0)),"")</f>
        <v/>
      </c>
      <c r="I387" s="19" t="str">
        <f aca="false">IFERROR(INDEX(Exercícios!$D$7:$D$206,MATCH($G387,Exercícios!$B$7:$B$206,0)),"")</f>
        <v/>
      </c>
      <c r="J387" s="19" t="str">
        <f aca="false">IFERROR(INDEX(Exercícios!$E$7:$E$206,MATCH($G387,Exercícios!$B$7:$B$206,0)),"")</f>
        <v/>
      </c>
      <c r="K387" s="22"/>
      <c r="L387" s="22"/>
      <c r="M387" s="20"/>
      <c r="N387" s="22"/>
      <c r="O387" s="22"/>
      <c r="P387" s="22"/>
      <c r="Q387" s="19" t="n">
        <f aca="false">IFERROR($K387*$L387,"")</f>
        <v>0</v>
      </c>
      <c r="R387" s="48" t="n">
        <f aca="false">IF(OR($O387="",$P387=""),0,$O387*$P387)</f>
        <v>0</v>
      </c>
      <c r="S387" s="20"/>
      <c r="T387" s="20"/>
      <c r="U387" s="33" t="n">
        <f aca="false">IF($A387="",0,IF(AND(OR($E387=Atleta!$C$4,$E387="Equipe (todos)"),$A387&gt;=Atleta!$C$5),MAX($U$7:U386)+1,0))</f>
        <v>0</v>
      </c>
    </row>
    <row r="388" customFormat="false" ht="15" hidden="false" customHeight="false" outlineLevel="0" collapsed="false">
      <c r="A388" s="21"/>
      <c r="B388" s="33" t="n">
        <f aca="false">IF($A388="",0,INT(($A388-Macrociclo!$C$11)/7)+1)</f>
        <v>0</v>
      </c>
      <c r="C388" s="22"/>
      <c r="D388" s="22"/>
      <c r="E388" s="20"/>
      <c r="F388" s="22"/>
      <c r="G388" s="20"/>
      <c r="H388" s="19" t="str">
        <f aca="false">IFERROR(INDEX(Exercícios!$C$7:$C$206,MATCH($G388,Exercícios!$B$7:$B$206,0)),"")</f>
        <v/>
      </c>
      <c r="I388" s="19" t="str">
        <f aca="false">IFERROR(INDEX(Exercícios!$D$7:$D$206,MATCH($G388,Exercícios!$B$7:$B$206,0)),"")</f>
        <v/>
      </c>
      <c r="J388" s="19" t="str">
        <f aca="false">IFERROR(INDEX(Exercícios!$E$7:$E$206,MATCH($G388,Exercícios!$B$7:$B$206,0)),"")</f>
        <v/>
      </c>
      <c r="K388" s="22"/>
      <c r="L388" s="22"/>
      <c r="M388" s="20"/>
      <c r="N388" s="22"/>
      <c r="O388" s="22"/>
      <c r="P388" s="22"/>
      <c r="Q388" s="19" t="n">
        <f aca="false">IFERROR($K388*$L388,"")</f>
        <v>0</v>
      </c>
      <c r="R388" s="48" t="n">
        <f aca="false">IF(OR($O388="",$P388=""),0,$O388*$P388)</f>
        <v>0</v>
      </c>
      <c r="S388" s="20"/>
      <c r="T388" s="20"/>
      <c r="U388" s="33" t="n">
        <f aca="false">IF($A388="",0,IF(AND(OR($E388=Atleta!$C$4,$E388="Equipe (todos)"),$A388&gt;=Atleta!$C$5),MAX($U$7:U387)+1,0))</f>
        <v>0</v>
      </c>
    </row>
    <row r="389" customFormat="false" ht="15" hidden="false" customHeight="false" outlineLevel="0" collapsed="false">
      <c r="A389" s="21"/>
      <c r="B389" s="33" t="n">
        <f aca="false">IF($A389="",0,INT(($A389-Macrociclo!$C$11)/7)+1)</f>
        <v>0</v>
      </c>
      <c r="C389" s="22"/>
      <c r="D389" s="22"/>
      <c r="E389" s="20"/>
      <c r="F389" s="22"/>
      <c r="G389" s="20"/>
      <c r="H389" s="19" t="str">
        <f aca="false">IFERROR(INDEX(Exercícios!$C$7:$C$206,MATCH($G389,Exercícios!$B$7:$B$206,0)),"")</f>
        <v/>
      </c>
      <c r="I389" s="19" t="str">
        <f aca="false">IFERROR(INDEX(Exercícios!$D$7:$D$206,MATCH($G389,Exercícios!$B$7:$B$206,0)),"")</f>
        <v/>
      </c>
      <c r="J389" s="19" t="str">
        <f aca="false">IFERROR(INDEX(Exercícios!$E$7:$E$206,MATCH($G389,Exercícios!$B$7:$B$206,0)),"")</f>
        <v/>
      </c>
      <c r="K389" s="22"/>
      <c r="L389" s="22"/>
      <c r="M389" s="20"/>
      <c r="N389" s="22"/>
      <c r="O389" s="22"/>
      <c r="P389" s="22"/>
      <c r="Q389" s="19" t="n">
        <f aca="false">IFERROR($K389*$L389,"")</f>
        <v>0</v>
      </c>
      <c r="R389" s="48" t="n">
        <f aca="false">IF(OR($O389="",$P389=""),0,$O389*$P389)</f>
        <v>0</v>
      </c>
      <c r="S389" s="20"/>
      <c r="T389" s="20"/>
      <c r="U389" s="33" t="n">
        <f aca="false">IF($A389="",0,IF(AND(OR($E389=Atleta!$C$4,$E389="Equipe (todos)"),$A389&gt;=Atleta!$C$5),MAX($U$7:U388)+1,0))</f>
        <v>0</v>
      </c>
    </row>
    <row r="390" customFormat="false" ht="15" hidden="false" customHeight="false" outlineLevel="0" collapsed="false">
      <c r="A390" s="21"/>
      <c r="B390" s="33" t="n">
        <f aca="false">IF($A390="",0,INT(($A390-Macrociclo!$C$11)/7)+1)</f>
        <v>0</v>
      </c>
      <c r="C390" s="22"/>
      <c r="D390" s="22"/>
      <c r="E390" s="20"/>
      <c r="F390" s="22"/>
      <c r="G390" s="20"/>
      <c r="H390" s="19" t="str">
        <f aca="false">IFERROR(INDEX(Exercícios!$C$7:$C$206,MATCH($G390,Exercícios!$B$7:$B$206,0)),"")</f>
        <v/>
      </c>
      <c r="I390" s="19" t="str">
        <f aca="false">IFERROR(INDEX(Exercícios!$D$7:$D$206,MATCH($G390,Exercícios!$B$7:$B$206,0)),"")</f>
        <v/>
      </c>
      <c r="J390" s="19" t="str">
        <f aca="false">IFERROR(INDEX(Exercícios!$E$7:$E$206,MATCH($G390,Exercícios!$B$7:$B$206,0)),"")</f>
        <v/>
      </c>
      <c r="K390" s="22"/>
      <c r="L390" s="22"/>
      <c r="M390" s="20"/>
      <c r="N390" s="22"/>
      <c r="O390" s="22"/>
      <c r="P390" s="22"/>
      <c r="Q390" s="19" t="n">
        <f aca="false">IFERROR($K390*$L390,"")</f>
        <v>0</v>
      </c>
      <c r="R390" s="48" t="n">
        <f aca="false">IF(OR($O390="",$P390=""),0,$O390*$P390)</f>
        <v>0</v>
      </c>
      <c r="S390" s="20"/>
      <c r="T390" s="20"/>
      <c r="U390" s="33" t="n">
        <f aca="false">IF($A390="",0,IF(AND(OR($E390=Atleta!$C$4,$E390="Equipe (todos)"),$A390&gt;=Atleta!$C$5),MAX($U$7:U389)+1,0))</f>
        <v>0</v>
      </c>
    </row>
    <row r="391" customFormat="false" ht="15" hidden="false" customHeight="false" outlineLevel="0" collapsed="false">
      <c r="A391" s="21"/>
      <c r="B391" s="33" t="n">
        <f aca="false">IF($A391="",0,INT(($A391-Macrociclo!$C$11)/7)+1)</f>
        <v>0</v>
      </c>
      <c r="C391" s="22"/>
      <c r="D391" s="22"/>
      <c r="E391" s="20"/>
      <c r="F391" s="22"/>
      <c r="G391" s="20"/>
      <c r="H391" s="19" t="str">
        <f aca="false">IFERROR(INDEX(Exercícios!$C$7:$C$206,MATCH($G391,Exercícios!$B$7:$B$206,0)),"")</f>
        <v/>
      </c>
      <c r="I391" s="19" t="str">
        <f aca="false">IFERROR(INDEX(Exercícios!$D$7:$D$206,MATCH($G391,Exercícios!$B$7:$B$206,0)),"")</f>
        <v/>
      </c>
      <c r="J391" s="19" t="str">
        <f aca="false">IFERROR(INDEX(Exercícios!$E$7:$E$206,MATCH($G391,Exercícios!$B$7:$B$206,0)),"")</f>
        <v/>
      </c>
      <c r="K391" s="22"/>
      <c r="L391" s="22"/>
      <c r="M391" s="20"/>
      <c r="N391" s="22"/>
      <c r="O391" s="22"/>
      <c r="P391" s="22"/>
      <c r="Q391" s="19" t="n">
        <f aca="false">IFERROR($K391*$L391,"")</f>
        <v>0</v>
      </c>
      <c r="R391" s="48" t="n">
        <f aca="false">IF(OR($O391="",$P391=""),0,$O391*$P391)</f>
        <v>0</v>
      </c>
      <c r="S391" s="20"/>
      <c r="T391" s="20"/>
      <c r="U391" s="33" t="n">
        <f aca="false">IF($A391="",0,IF(AND(OR($E391=Atleta!$C$4,$E391="Equipe (todos)"),$A391&gt;=Atleta!$C$5),MAX($U$7:U390)+1,0))</f>
        <v>0</v>
      </c>
    </row>
    <row r="392" customFormat="false" ht="15" hidden="false" customHeight="false" outlineLevel="0" collapsed="false">
      <c r="A392" s="21"/>
      <c r="B392" s="33" t="n">
        <f aca="false">IF($A392="",0,INT(($A392-Macrociclo!$C$11)/7)+1)</f>
        <v>0</v>
      </c>
      <c r="C392" s="22"/>
      <c r="D392" s="22"/>
      <c r="E392" s="20"/>
      <c r="F392" s="22"/>
      <c r="G392" s="20"/>
      <c r="H392" s="19" t="str">
        <f aca="false">IFERROR(INDEX(Exercícios!$C$7:$C$206,MATCH($G392,Exercícios!$B$7:$B$206,0)),"")</f>
        <v/>
      </c>
      <c r="I392" s="19" t="str">
        <f aca="false">IFERROR(INDEX(Exercícios!$D$7:$D$206,MATCH($G392,Exercícios!$B$7:$B$206,0)),"")</f>
        <v/>
      </c>
      <c r="J392" s="19" t="str">
        <f aca="false">IFERROR(INDEX(Exercícios!$E$7:$E$206,MATCH($G392,Exercícios!$B$7:$B$206,0)),"")</f>
        <v/>
      </c>
      <c r="K392" s="22"/>
      <c r="L392" s="22"/>
      <c r="M392" s="20"/>
      <c r="N392" s="22"/>
      <c r="O392" s="22"/>
      <c r="P392" s="22"/>
      <c r="Q392" s="19" t="n">
        <f aca="false">IFERROR($K392*$L392,"")</f>
        <v>0</v>
      </c>
      <c r="R392" s="48" t="n">
        <f aca="false">IF(OR($O392="",$P392=""),0,$O392*$P392)</f>
        <v>0</v>
      </c>
      <c r="S392" s="20"/>
      <c r="T392" s="20"/>
      <c r="U392" s="33" t="n">
        <f aca="false">IF($A392="",0,IF(AND(OR($E392=Atleta!$C$4,$E392="Equipe (todos)"),$A392&gt;=Atleta!$C$5),MAX($U$7:U391)+1,0))</f>
        <v>0</v>
      </c>
    </row>
    <row r="393" customFormat="false" ht="15" hidden="false" customHeight="false" outlineLevel="0" collapsed="false">
      <c r="A393" s="21"/>
      <c r="B393" s="33" t="n">
        <f aca="false">IF($A393="",0,INT(($A393-Macrociclo!$C$11)/7)+1)</f>
        <v>0</v>
      </c>
      <c r="C393" s="22"/>
      <c r="D393" s="22"/>
      <c r="E393" s="20"/>
      <c r="F393" s="22"/>
      <c r="G393" s="20"/>
      <c r="H393" s="19" t="str">
        <f aca="false">IFERROR(INDEX(Exercícios!$C$7:$C$206,MATCH($G393,Exercícios!$B$7:$B$206,0)),"")</f>
        <v/>
      </c>
      <c r="I393" s="19" t="str">
        <f aca="false">IFERROR(INDEX(Exercícios!$D$7:$D$206,MATCH($G393,Exercícios!$B$7:$B$206,0)),"")</f>
        <v/>
      </c>
      <c r="J393" s="19" t="str">
        <f aca="false">IFERROR(INDEX(Exercícios!$E$7:$E$206,MATCH($G393,Exercícios!$B$7:$B$206,0)),"")</f>
        <v/>
      </c>
      <c r="K393" s="22"/>
      <c r="L393" s="22"/>
      <c r="M393" s="20"/>
      <c r="N393" s="22"/>
      <c r="O393" s="22"/>
      <c r="P393" s="22"/>
      <c r="Q393" s="19" t="n">
        <f aca="false">IFERROR($K393*$L393,"")</f>
        <v>0</v>
      </c>
      <c r="R393" s="48" t="n">
        <f aca="false">IF(OR($O393="",$P393=""),0,$O393*$P393)</f>
        <v>0</v>
      </c>
      <c r="S393" s="20"/>
      <c r="T393" s="20"/>
      <c r="U393" s="33" t="n">
        <f aca="false">IF($A393="",0,IF(AND(OR($E393=Atleta!$C$4,$E393="Equipe (todos)"),$A393&gt;=Atleta!$C$5),MAX($U$7:U392)+1,0))</f>
        <v>0</v>
      </c>
    </row>
    <row r="394" customFormat="false" ht="15" hidden="false" customHeight="false" outlineLevel="0" collapsed="false">
      <c r="A394" s="21"/>
      <c r="B394" s="33" t="n">
        <f aca="false">IF($A394="",0,INT(($A394-Macrociclo!$C$11)/7)+1)</f>
        <v>0</v>
      </c>
      <c r="C394" s="22"/>
      <c r="D394" s="22"/>
      <c r="E394" s="20"/>
      <c r="F394" s="22"/>
      <c r="G394" s="20"/>
      <c r="H394" s="19" t="str">
        <f aca="false">IFERROR(INDEX(Exercícios!$C$7:$C$206,MATCH($G394,Exercícios!$B$7:$B$206,0)),"")</f>
        <v/>
      </c>
      <c r="I394" s="19" t="str">
        <f aca="false">IFERROR(INDEX(Exercícios!$D$7:$D$206,MATCH($G394,Exercícios!$B$7:$B$206,0)),"")</f>
        <v/>
      </c>
      <c r="J394" s="19" t="str">
        <f aca="false">IFERROR(INDEX(Exercícios!$E$7:$E$206,MATCH($G394,Exercícios!$B$7:$B$206,0)),"")</f>
        <v/>
      </c>
      <c r="K394" s="22"/>
      <c r="L394" s="22"/>
      <c r="M394" s="20"/>
      <c r="N394" s="22"/>
      <c r="O394" s="22"/>
      <c r="P394" s="22"/>
      <c r="Q394" s="19" t="n">
        <f aca="false">IFERROR($K394*$L394,"")</f>
        <v>0</v>
      </c>
      <c r="R394" s="48" t="n">
        <f aca="false">IF(OR($O394="",$P394=""),0,$O394*$P394)</f>
        <v>0</v>
      </c>
      <c r="S394" s="20"/>
      <c r="T394" s="20"/>
      <c r="U394" s="33" t="n">
        <f aca="false">IF($A394="",0,IF(AND(OR($E394=Atleta!$C$4,$E394="Equipe (todos)"),$A394&gt;=Atleta!$C$5),MAX($U$7:U393)+1,0))</f>
        <v>0</v>
      </c>
    </row>
    <row r="395" customFormat="false" ht="15" hidden="false" customHeight="false" outlineLevel="0" collapsed="false">
      <c r="A395" s="21"/>
      <c r="B395" s="33" t="n">
        <f aca="false">IF($A395="",0,INT(($A395-Macrociclo!$C$11)/7)+1)</f>
        <v>0</v>
      </c>
      <c r="C395" s="22"/>
      <c r="D395" s="22"/>
      <c r="E395" s="20"/>
      <c r="F395" s="22"/>
      <c r="G395" s="20"/>
      <c r="H395" s="19" t="str">
        <f aca="false">IFERROR(INDEX(Exercícios!$C$7:$C$206,MATCH($G395,Exercícios!$B$7:$B$206,0)),"")</f>
        <v/>
      </c>
      <c r="I395" s="19" t="str">
        <f aca="false">IFERROR(INDEX(Exercícios!$D$7:$D$206,MATCH($G395,Exercícios!$B$7:$B$206,0)),"")</f>
        <v/>
      </c>
      <c r="J395" s="19" t="str">
        <f aca="false">IFERROR(INDEX(Exercícios!$E$7:$E$206,MATCH($G395,Exercícios!$B$7:$B$206,0)),"")</f>
        <v/>
      </c>
      <c r="K395" s="22"/>
      <c r="L395" s="22"/>
      <c r="M395" s="20"/>
      <c r="N395" s="22"/>
      <c r="O395" s="22"/>
      <c r="P395" s="22"/>
      <c r="Q395" s="19" t="n">
        <f aca="false">IFERROR($K395*$L395,"")</f>
        <v>0</v>
      </c>
      <c r="R395" s="48" t="n">
        <f aca="false">IF(OR($O395="",$P395=""),0,$O395*$P395)</f>
        <v>0</v>
      </c>
      <c r="S395" s="20"/>
      <c r="T395" s="20"/>
      <c r="U395" s="33" t="n">
        <f aca="false">IF($A395="",0,IF(AND(OR($E395=Atleta!$C$4,$E395="Equipe (todos)"),$A395&gt;=Atleta!$C$5),MAX($U$7:U394)+1,0))</f>
        <v>0</v>
      </c>
    </row>
    <row r="396" customFormat="false" ht="15" hidden="false" customHeight="false" outlineLevel="0" collapsed="false">
      <c r="A396" s="21"/>
      <c r="B396" s="33" t="n">
        <f aca="false">IF($A396="",0,INT(($A396-Macrociclo!$C$11)/7)+1)</f>
        <v>0</v>
      </c>
      <c r="C396" s="22"/>
      <c r="D396" s="22"/>
      <c r="E396" s="20"/>
      <c r="F396" s="22"/>
      <c r="G396" s="20"/>
      <c r="H396" s="19" t="str">
        <f aca="false">IFERROR(INDEX(Exercícios!$C$7:$C$206,MATCH($G396,Exercícios!$B$7:$B$206,0)),"")</f>
        <v/>
      </c>
      <c r="I396" s="19" t="str">
        <f aca="false">IFERROR(INDEX(Exercícios!$D$7:$D$206,MATCH($G396,Exercícios!$B$7:$B$206,0)),"")</f>
        <v/>
      </c>
      <c r="J396" s="19" t="str">
        <f aca="false">IFERROR(INDEX(Exercícios!$E$7:$E$206,MATCH($G396,Exercícios!$B$7:$B$206,0)),"")</f>
        <v/>
      </c>
      <c r="K396" s="22"/>
      <c r="L396" s="22"/>
      <c r="M396" s="20"/>
      <c r="N396" s="22"/>
      <c r="O396" s="22"/>
      <c r="P396" s="22"/>
      <c r="Q396" s="19" t="n">
        <f aca="false">IFERROR($K396*$L396,"")</f>
        <v>0</v>
      </c>
      <c r="R396" s="48" t="n">
        <f aca="false">IF(OR($O396="",$P396=""),0,$O396*$P396)</f>
        <v>0</v>
      </c>
      <c r="S396" s="20"/>
      <c r="T396" s="20"/>
      <c r="U396" s="33" t="n">
        <f aca="false">IF($A396="",0,IF(AND(OR($E396=Atleta!$C$4,$E396="Equipe (todos)"),$A396&gt;=Atleta!$C$5),MAX($U$7:U395)+1,0))</f>
        <v>0</v>
      </c>
    </row>
    <row r="397" customFormat="false" ht="15" hidden="false" customHeight="false" outlineLevel="0" collapsed="false">
      <c r="A397" s="21"/>
      <c r="B397" s="33" t="n">
        <f aca="false">IF($A397="",0,INT(($A397-Macrociclo!$C$11)/7)+1)</f>
        <v>0</v>
      </c>
      <c r="C397" s="22"/>
      <c r="D397" s="22"/>
      <c r="E397" s="20"/>
      <c r="F397" s="22"/>
      <c r="G397" s="20"/>
      <c r="H397" s="19" t="str">
        <f aca="false">IFERROR(INDEX(Exercícios!$C$7:$C$206,MATCH($G397,Exercícios!$B$7:$B$206,0)),"")</f>
        <v/>
      </c>
      <c r="I397" s="19" t="str">
        <f aca="false">IFERROR(INDEX(Exercícios!$D$7:$D$206,MATCH($G397,Exercícios!$B$7:$B$206,0)),"")</f>
        <v/>
      </c>
      <c r="J397" s="19" t="str">
        <f aca="false">IFERROR(INDEX(Exercícios!$E$7:$E$206,MATCH($G397,Exercícios!$B$7:$B$206,0)),"")</f>
        <v/>
      </c>
      <c r="K397" s="22"/>
      <c r="L397" s="22"/>
      <c r="M397" s="20"/>
      <c r="N397" s="22"/>
      <c r="O397" s="22"/>
      <c r="P397" s="22"/>
      <c r="Q397" s="19" t="n">
        <f aca="false">IFERROR($K397*$L397,"")</f>
        <v>0</v>
      </c>
      <c r="R397" s="48" t="n">
        <f aca="false">IF(OR($O397="",$P397=""),0,$O397*$P397)</f>
        <v>0</v>
      </c>
      <c r="S397" s="20"/>
      <c r="T397" s="20"/>
      <c r="U397" s="33" t="n">
        <f aca="false">IF($A397="",0,IF(AND(OR($E397=Atleta!$C$4,$E397="Equipe (todos)"),$A397&gt;=Atleta!$C$5),MAX($U$7:U396)+1,0))</f>
        <v>0</v>
      </c>
    </row>
    <row r="398" customFormat="false" ht="15" hidden="false" customHeight="false" outlineLevel="0" collapsed="false">
      <c r="A398" s="21"/>
      <c r="B398" s="33" t="n">
        <f aca="false">IF($A398="",0,INT(($A398-Macrociclo!$C$11)/7)+1)</f>
        <v>0</v>
      </c>
      <c r="C398" s="22"/>
      <c r="D398" s="22"/>
      <c r="E398" s="20"/>
      <c r="F398" s="22"/>
      <c r="G398" s="20"/>
      <c r="H398" s="19" t="str">
        <f aca="false">IFERROR(INDEX(Exercícios!$C$7:$C$206,MATCH($G398,Exercícios!$B$7:$B$206,0)),"")</f>
        <v/>
      </c>
      <c r="I398" s="19" t="str">
        <f aca="false">IFERROR(INDEX(Exercícios!$D$7:$D$206,MATCH($G398,Exercícios!$B$7:$B$206,0)),"")</f>
        <v/>
      </c>
      <c r="J398" s="19" t="str">
        <f aca="false">IFERROR(INDEX(Exercícios!$E$7:$E$206,MATCH($G398,Exercícios!$B$7:$B$206,0)),"")</f>
        <v/>
      </c>
      <c r="K398" s="22"/>
      <c r="L398" s="22"/>
      <c r="M398" s="20"/>
      <c r="N398" s="22"/>
      <c r="O398" s="22"/>
      <c r="P398" s="22"/>
      <c r="Q398" s="19" t="n">
        <f aca="false">IFERROR($K398*$L398,"")</f>
        <v>0</v>
      </c>
      <c r="R398" s="48" t="n">
        <f aca="false">IF(OR($O398="",$P398=""),0,$O398*$P398)</f>
        <v>0</v>
      </c>
      <c r="S398" s="20"/>
      <c r="T398" s="20"/>
      <c r="U398" s="33" t="n">
        <f aca="false">IF($A398="",0,IF(AND(OR($E398=Atleta!$C$4,$E398="Equipe (todos)"),$A398&gt;=Atleta!$C$5),MAX($U$7:U397)+1,0))</f>
        <v>0</v>
      </c>
    </row>
    <row r="399" customFormat="false" ht="15" hidden="false" customHeight="false" outlineLevel="0" collapsed="false">
      <c r="A399" s="21"/>
      <c r="B399" s="33" t="n">
        <f aca="false">IF($A399="",0,INT(($A399-Macrociclo!$C$11)/7)+1)</f>
        <v>0</v>
      </c>
      <c r="C399" s="22"/>
      <c r="D399" s="22"/>
      <c r="E399" s="20"/>
      <c r="F399" s="22"/>
      <c r="G399" s="20"/>
      <c r="H399" s="19" t="str">
        <f aca="false">IFERROR(INDEX(Exercícios!$C$7:$C$206,MATCH($G399,Exercícios!$B$7:$B$206,0)),"")</f>
        <v/>
      </c>
      <c r="I399" s="19" t="str">
        <f aca="false">IFERROR(INDEX(Exercícios!$D$7:$D$206,MATCH($G399,Exercícios!$B$7:$B$206,0)),"")</f>
        <v/>
      </c>
      <c r="J399" s="19" t="str">
        <f aca="false">IFERROR(INDEX(Exercícios!$E$7:$E$206,MATCH($G399,Exercícios!$B$7:$B$206,0)),"")</f>
        <v/>
      </c>
      <c r="K399" s="22"/>
      <c r="L399" s="22"/>
      <c r="M399" s="20"/>
      <c r="N399" s="22"/>
      <c r="O399" s="22"/>
      <c r="P399" s="22"/>
      <c r="Q399" s="19" t="n">
        <f aca="false">IFERROR($K399*$L399,"")</f>
        <v>0</v>
      </c>
      <c r="R399" s="48" t="n">
        <f aca="false">IF(OR($O399="",$P399=""),0,$O399*$P399)</f>
        <v>0</v>
      </c>
      <c r="S399" s="20"/>
      <c r="T399" s="20"/>
      <c r="U399" s="33" t="n">
        <f aca="false">IF($A399="",0,IF(AND(OR($E399=Atleta!$C$4,$E399="Equipe (todos)"),$A399&gt;=Atleta!$C$5),MAX($U$7:U398)+1,0))</f>
        <v>0</v>
      </c>
    </row>
    <row r="400" customFormat="false" ht="15" hidden="false" customHeight="false" outlineLevel="0" collapsed="false">
      <c r="A400" s="21"/>
      <c r="B400" s="33" t="n">
        <f aca="false">IF($A400="",0,INT(($A400-Macrociclo!$C$11)/7)+1)</f>
        <v>0</v>
      </c>
      <c r="C400" s="22"/>
      <c r="D400" s="22"/>
      <c r="E400" s="20"/>
      <c r="F400" s="22"/>
      <c r="G400" s="20"/>
      <c r="H400" s="19" t="str">
        <f aca="false">IFERROR(INDEX(Exercícios!$C$7:$C$206,MATCH($G400,Exercícios!$B$7:$B$206,0)),"")</f>
        <v/>
      </c>
      <c r="I400" s="19" t="str">
        <f aca="false">IFERROR(INDEX(Exercícios!$D$7:$D$206,MATCH($G400,Exercícios!$B$7:$B$206,0)),"")</f>
        <v/>
      </c>
      <c r="J400" s="19" t="str">
        <f aca="false">IFERROR(INDEX(Exercícios!$E$7:$E$206,MATCH($G400,Exercícios!$B$7:$B$206,0)),"")</f>
        <v/>
      </c>
      <c r="K400" s="22"/>
      <c r="L400" s="22"/>
      <c r="M400" s="20"/>
      <c r="N400" s="22"/>
      <c r="O400" s="22"/>
      <c r="P400" s="22"/>
      <c r="Q400" s="19" t="n">
        <f aca="false">IFERROR($K400*$L400,"")</f>
        <v>0</v>
      </c>
      <c r="R400" s="48" t="n">
        <f aca="false">IF(OR($O400="",$P400=""),0,$O400*$P400)</f>
        <v>0</v>
      </c>
      <c r="S400" s="20"/>
      <c r="T400" s="20"/>
      <c r="U400" s="33" t="n">
        <f aca="false">IF($A400="",0,IF(AND(OR($E400=Atleta!$C$4,$E400="Equipe (todos)"),$A400&gt;=Atleta!$C$5),MAX($U$7:U399)+1,0))</f>
        <v>0</v>
      </c>
    </row>
    <row r="401" customFormat="false" ht="15" hidden="false" customHeight="false" outlineLevel="0" collapsed="false">
      <c r="A401" s="21"/>
      <c r="B401" s="33" t="n">
        <f aca="false">IF($A401="",0,INT(($A401-Macrociclo!$C$11)/7)+1)</f>
        <v>0</v>
      </c>
      <c r="C401" s="22"/>
      <c r="D401" s="22"/>
      <c r="E401" s="20"/>
      <c r="F401" s="22"/>
      <c r="G401" s="20"/>
      <c r="H401" s="19" t="str">
        <f aca="false">IFERROR(INDEX(Exercícios!$C$7:$C$206,MATCH($G401,Exercícios!$B$7:$B$206,0)),"")</f>
        <v/>
      </c>
      <c r="I401" s="19" t="str">
        <f aca="false">IFERROR(INDEX(Exercícios!$D$7:$D$206,MATCH($G401,Exercícios!$B$7:$B$206,0)),"")</f>
        <v/>
      </c>
      <c r="J401" s="19" t="str">
        <f aca="false">IFERROR(INDEX(Exercícios!$E$7:$E$206,MATCH($G401,Exercícios!$B$7:$B$206,0)),"")</f>
        <v/>
      </c>
      <c r="K401" s="22"/>
      <c r="L401" s="22"/>
      <c r="M401" s="20"/>
      <c r="N401" s="22"/>
      <c r="O401" s="22"/>
      <c r="P401" s="22"/>
      <c r="Q401" s="19" t="n">
        <f aca="false">IFERROR($K401*$L401,"")</f>
        <v>0</v>
      </c>
      <c r="R401" s="48" t="n">
        <f aca="false">IF(OR($O401="",$P401=""),0,$O401*$P401)</f>
        <v>0</v>
      </c>
      <c r="S401" s="20"/>
      <c r="T401" s="20"/>
      <c r="U401" s="33" t="n">
        <f aca="false">IF($A401="",0,IF(AND(OR($E401=Atleta!$C$4,$E401="Equipe (todos)"),$A401&gt;=Atleta!$C$5),MAX($U$7:U400)+1,0))</f>
        <v>0</v>
      </c>
    </row>
    <row r="402" customFormat="false" ht="15" hidden="false" customHeight="false" outlineLevel="0" collapsed="false">
      <c r="A402" s="21"/>
      <c r="B402" s="33" t="n">
        <f aca="false">IF($A402="",0,INT(($A402-Macrociclo!$C$11)/7)+1)</f>
        <v>0</v>
      </c>
      <c r="C402" s="22"/>
      <c r="D402" s="22"/>
      <c r="E402" s="20"/>
      <c r="F402" s="22"/>
      <c r="G402" s="20"/>
      <c r="H402" s="19" t="str">
        <f aca="false">IFERROR(INDEX(Exercícios!$C$7:$C$206,MATCH($G402,Exercícios!$B$7:$B$206,0)),"")</f>
        <v/>
      </c>
      <c r="I402" s="19" t="str">
        <f aca="false">IFERROR(INDEX(Exercícios!$D$7:$D$206,MATCH($G402,Exercícios!$B$7:$B$206,0)),"")</f>
        <v/>
      </c>
      <c r="J402" s="19" t="str">
        <f aca="false">IFERROR(INDEX(Exercícios!$E$7:$E$206,MATCH($G402,Exercícios!$B$7:$B$206,0)),"")</f>
        <v/>
      </c>
      <c r="K402" s="22"/>
      <c r="L402" s="22"/>
      <c r="M402" s="20"/>
      <c r="N402" s="22"/>
      <c r="O402" s="22"/>
      <c r="P402" s="22"/>
      <c r="Q402" s="19" t="n">
        <f aca="false">IFERROR($K402*$L402,"")</f>
        <v>0</v>
      </c>
      <c r="R402" s="48" t="n">
        <f aca="false">IF(OR($O402="",$P402=""),0,$O402*$P402)</f>
        <v>0</v>
      </c>
      <c r="S402" s="20"/>
      <c r="T402" s="20"/>
      <c r="U402" s="33" t="n">
        <f aca="false">IF($A402="",0,IF(AND(OR($E402=Atleta!$C$4,$E402="Equipe (todos)"),$A402&gt;=Atleta!$C$5),MAX($U$7:U401)+1,0))</f>
        <v>0</v>
      </c>
    </row>
    <row r="403" customFormat="false" ht="15" hidden="false" customHeight="false" outlineLevel="0" collapsed="false">
      <c r="A403" s="21"/>
      <c r="B403" s="33" t="n">
        <f aca="false">IF($A403="",0,INT(($A403-Macrociclo!$C$11)/7)+1)</f>
        <v>0</v>
      </c>
      <c r="C403" s="22"/>
      <c r="D403" s="22"/>
      <c r="E403" s="20"/>
      <c r="F403" s="22"/>
      <c r="G403" s="20"/>
      <c r="H403" s="19" t="str">
        <f aca="false">IFERROR(INDEX(Exercícios!$C$7:$C$206,MATCH($G403,Exercícios!$B$7:$B$206,0)),"")</f>
        <v/>
      </c>
      <c r="I403" s="19" t="str">
        <f aca="false">IFERROR(INDEX(Exercícios!$D$7:$D$206,MATCH($G403,Exercícios!$B$7:$B$206,0)),"")</f>
        <v/>
      </c>
      <c r="J403" s="19" t="str">
        <f aca="false">IFERROR(INDEX(Exercícios!$E$7:$E$206,MATCH($G403,Exercícios!$B$7:$B$206,0)),"")</f>
        <v/>
      </c>
      <c r="K403" s="22"/>
      <c r="L403" s="22"/>
      <c r="M403" s="20"/>
      <c r="N403" s="22"/>
      <c r="O403" s="22"/>
      <c r="P403" s="22"/>
      <c r="Q403" s="19" t="n">
        <f aca="false">IFERROR($K403*$L403,"")</f>
        <v>0</v>
      </c>
      <c r="R403" s="48" t="n">
        <f aca="false">IF(OR($O403="",$P403=""),0,$O403*$P403)</f>
        <v>0</v>
      </c>
      <c r="S403" s="20"/>
      <c r="T403" s="20"/>
      <c r="U403" s="33" t="n">
        <f aca="false">IF($A403="",0,IF(AND(OR($E403=Atleta!$C$4,$E403="Equipe (todos)"),$A403&gt;=Atleta!$C$5),MAX($U$7:U402)+1,0))</f>
        <v>0</v>
      </c>
    </row>
    <row r="404" customFormat="false" ht="15" hidden="false" customHeight="false" outlineLevel="0" collapsed="false">
      <c r="A404" s="21"/>
      <c r="B404" s="33" t="n">
        <f aca="false">IF($A404="",0,INT(($A404-Macrociclo!$C$11)/7)+1)</f>
        <v>0</v>
      </c>
      <c r="C404" s="22"/>
      <c r="D404" s="22"/>
      <c r="E404" s="20"/>
      <c r="F404" s="22"/>
      <c r="G404" s="20"/>
      <c r="H404" s="19" t="str">
        <f aca="false">IFERROR(INDEX(Exercícios!$C$7:$C$206,MATCH($G404,Exercícios!$B$7:$B$206,0)),"")</f>
        <v/>
      </c>
      <c r="I404" s="19" t="str">
        <f aca="false">IFERROR(INDEX(Exercícios!$D$7:$D$206,MATCH($G404,Exercícios!$B$7:$B$206,0)),"")</f>
        <v/>
      </c>
      <c r="J404" s="19" t="str">
        <f aca="false">IFERROR(INDEX(Exercícios!$E$7:$E$206,MATCH($G404,Exercícios!$B$7:$B$206,0)),"")</f>
        <v/>
      </c>
      <c r="K404" s="22"/>
      <c r="L404" s="22"/>
      <c r="M404" s="20"/>
      <c r="N404" s="22"/>
      <c r="O404" s="22"/>
      <c r="P404" s="22"/>
      <c r="Q404" s="19" t="n">
        <f aca="false">IFERROR($K404*$L404,"")</f>
        <v>0</v>
      </c>
      <c r="R404" s="48" t="n">
        <f aca="false">IF(OR($O404="",$P404=""),0,$O404*$P404)</f>
        <v>0</v>
      </c>
      <c r="S404" s="20"/>
      <c r="T404" s="20"/>
      <c r="U404" s="33" t="n">
        <f aca="false">IF($A404="",0,IF(AND(OR($E404=Atleta!$C$4,$E404="Equipe (todos)"),$A404&gt;=Atleta!$C$5),MAX($U$7:U403)+1,0))</f>
        <v>0</v>
      </c>
    </row>
    <row r="405" customFormat="false" ht="15" hidden="false" customHeight="false" outlineLevel="0" collapsed="false">
      <c r="A405" s="21"/>
      <c r="B405" s="33" t="n">
        <f aca="false">IF($A405="",0,INT(($A405-Macrociclo!$C$11)/7)+1)</f>
        <v>0</v>
      </c>
      <c r="C405" s="22"/>
      <c r="D405" s="22"/>
      <c r="E405" s="20"/>
      <c r="F405" s="22"/>
      <c r="G405" s="20"/>
      <c r="H405" s="19" t="str">
        <f aca="false">IFERROR(INDEX(Exercícios!$C$7:$C$206,MATCH($G405,Exercícios!$B$7:$B$206,0)),"")</f>
        <v/>
      </c>
      <c r="I405" s="19" t="str">
        <f aca="false">IFERROR(INDEX(Exercícios!$D$7:$D$206,MATCH($G405,Exercícios!$B$7:$B$206,0)),"")</f>
        <v/>
      </c>
      <c r="J405" s="19" t="str">
        <f aca="false">IFERROR(INDEX(Exercícios!$E$7:$E$206,MATCH($G405,Exercícios!$B$7:$B$206,0)),"")</f>
        <v/>
      </c>
      <c r="K405" s="22"/>
      <c r="L405" s="22"/>
      <c r="M405" s="20"/>
      <c r="N405" s="22"/>
      <c r="O405" s="22"/>
      <c r="P405" s="22"/>
      <c r="Q405" s="19" t="n">
        <f aca="false">IFERROR($K405*$L405,"")</f>
        <v>0</v>
      </c>
      <c r="R405" s="48" t="n">
        <f aca="false">IF(OR($O405="",$P405=""),0,$O405*$P405)</f>
        <v>0</v>
      </c>
      <c r="S405" s="20"/>
      <c r="T405" s="20"/>
      <c r="U405" s="33" t="n">
        <f aca="false">IF($A405="",0,IF(AND(OR($E405=Atleta!$C$4,$E405="Equipe (todos)"),$A405&gt;=Atleta!$C$5),MAX($U$7:U404)+1,0))</f>
        <v>0</v>
      </c>
    </row>
    <row r="406" customFormat="false" ht="15" hidden="false" customHeight="false" outlineLevel="0" collapsed="false">
      <c r="A406" s="21"/>
      <c r="B406" s="33" t="n">
        <f aca="false">IF($A406="",0,INT(($A406-Macrociclo!$C$11)/7)+1)</f>
        <v>0</v>
      </c>
      <c r="C406" s="22"/>
      <c r="D406" s="22"/>
      <c r="E406" s="20"/>
      <c r="F406" s="22"/>
      <c r="G406" s="20"/>
      <c r="H406" s="19" t="str">
        <f aca="false">IFERROR(INDEX(Exercícios!$C$7:$C$206,MATCH($G406,Exercícios!$B$7:$B$206,0)),"")</f>
        <v/>
      </c>
      <c r="I406" s="19" t="str">
        <f aca="false">IFERROR(INDEX(Exercícios!$D$7:$D$206,MATCH($G406,Exercícios!$B$7:$B$206,0)),"")</f>
        <v/>
      </c>
      <c r="J406" s="19" t="str">
        <f aca="false">IFERROR(INDEX(Exercícios!$E$7:$E$206,MATCH($G406,Exercícios!$B$7:$B$206,0)),"")</f>
        <v/>
      </c>
      <c r="K406" s="22"/>
      <c r="L406" s="22"/>
      <c r="M406" s="20"/>
      <c r="N406" s="22"/>
      <c r="O406" s="22"/>
      <c r="P406" s="22"/>
      <c r="Q406" s="19" t="n">
        <f aca="false">IFERROR($K406*$L406,"")</f>
        <v>0</v>
      </c>
      <c r="R406" s="48" t="n">
        <f aca="false">IF(OR($O406="",$P406=""),0,$O406*$P406)</f>
        <v>0</v>
      </c>
      <c r="S406" s="20"/>
      <c r="T406" s="20"/>
      <c r="U406" s="33" t="n">
        <f aca="false">IF($A406="",0,IF(AND(OR($E406=Atleta!$C$4,$E406="Equipe (todos)"),$A406&gt;=Atleta!$C$5),MAX($U$7:U405)+1,0))</f>
        <v>0</v>
      </c>
    </row>
    <row r="407" customFormat="false" ht="15" hidden="false" customHeight="false" outlineLevel="0" collapsed="false">
      <c r="A407" s="21"/>
      <c r="B407" s="33" t="n">
        <f aca="false">IF($A407="",0,INT(($A407-Macrociclo!$C$11)/7)+1)</f>
        <v>0</v>
      </c>
      <c r="C407" s="22"/>
      <c r="D407" s="22"/>
      <c r="E407" s="20"/>
      <c r="F407" s="22"/>
      <c r="G407" s="20"/>
      <c r="H407" s="19" t="str">
        <f aca="false">IFERROR(INDEX(Exercícios!$C$7:$C$206,MATCH($G407,Exercícios!$B$7:$B$206,0)),"")</f>
        <v/>
      </c>
      <c r="I407" s="19" t="str">
        <f aca="false">IFERROR(INDEX(Exercícios!$D$7:$D$206,MATCH($G407,Exercícios!$B$7:$B$206,0)),"")</f>
        <v/>
      </c>
      <c r="J407" s="19" t="str">
        <f aca="false">IFERROR(INDEX(Exercícios!$E$7:$E$206,MATCH($G407,Exercícios!$B$7:$B$206,0)),"")</f>
        <v/>
      </c>
      <c r="K407" s="22"/>
      <c r="L407" s="22"/>
      <c r="M407" s="20"/>
      <c r="N407" s="22"/>
      <c r="O407" s="22"/>
      <c r="P407" s="22"/>
      <c r="Q407" s="19" t="n">
        <f aca="false">IFERROR($K407*$L407,"")</f>
        <v>0</v>
      </c>
      <c r="R407" s="48" t="n">
        <f aca="false">IF(OR($O407="",$P407=""),0,$O407*$P407)</f>
        <v>0</v>
      </c>
      <c r="S407" s="20"/>
      <c r="T407" s="20"/>
      <c r="U407" s="33" t="n">
        <f aca="false">IF($A407="",0,IF(AND(OR($E407=Atleta!$C$4,$E407="Equipe (todos)"),$A407&gt;=Atleta!$C$5),MAX($U$7:U406)+1,0))</f>
        <v>0</v>
      </c>
    </row>
    <row r="408" customFormat="false" ht="15" hidden="false" customHeight="false" outlineLevel="0" collapsed="false">
      <c r="A408" s="21"/>
      <c r="B408" s="33" t="n">
        <f aca="false">IF($A408="",0,INT(($A408-Macrociclo!$C$11)/7)+1)</f>
        <v>0</v>
      </c>
      <c r="C408" s="22"/>
      <c r="D408" s="22"/>
      <c r="E408" s="20"/>
      <c r="F408" s="22"/>
      <c r="G408" s="20"/>
      <c r="H408" s="19" t="str">
        <f aca="false">IFERROR(INDEX(Exercícios!$C$7:$C$206,MATCH($G408,Exercícios!$B$7:$B$206,0)),"")</f>
        <v/>
      </c>
      <c r="I408" s="19" t="str">
        <f aca="false">IFERROR(INDEX(Exercícios!$D$7:$D$206,MATCH($G408,Exercícios!$B$7:$B$206,0)),"")</f>
        <v/>
      </c>
      <c r="J408" s="19" t="str">
        <f aca="false">IFERROR(INDEX(Exercícios!$E$7:$E$206,MATCH($G408,Exercícios!$B$7:$B$206,0)),"")</f>
        <v/>
      </c>
      <c r="K408" s="22"/>
      <c r="L408" s="22"/>
      <c r="M408" s="20"/>
      <c r="N408" s="22"/>
      <c r="O408" s="22"/>
      <c r="P408" s="22"/>
      <c r="Q408" s="19" t="n">
        <f aca="false">IFERROR($K408*$L408,"")</f>
        <v>0</v>
      </c>
      <c r="R408" s="48" t="n">
        <f aca="false">IF(OR($O408="",$P408=""),0,$O408*$P408)</f>
        <v>0</v>
      </c>
      <c r="S408" s="20"/>
      <c r="T408" s="20"/>
      <c r="U408" s="33" t="n">
        <f aca="false">IF($A408="",0,IF(AND(OR($E408=Atleta!$C$4,$E408="Equipe (todos)"),$A408&gt;=Atleta!$C$5),MAX($U$7:U407)+1,0))</f>
        <v>0</v>
      </c>
    </row>
    <row r="409" customFormat="false" ht="15" hidden="false" customHeight="false" outlineLevel="0" collapsed="false">
      <c r="A409" s="21"/>
      <c r="B409" s="33" t="n">
        <f aca="false">IF($A409="",0,INT(($A409-Macrociclo!$C$11)/7)+1)</f>
        <v>0</v>
      </c>
      <c r="C409" s="22"/>
      <c r="D409" s="22"/>
      <c r="E409" s="20"/>
      <c r="F409" s="22"/>
      <c r="G409" s="20"/>
      <c r="H409" s="19" t="str">
        <f aca="false">IFERROR(INDEX(Exercícios!$C$7:$C$206,MATCH($G409,Exercícios!$B$7:$B$206,0)),"")</f>
        <v/>
      </c>
      <c r="I409" s="19" t="str">
        <f aca="false">IFERROR(INDEX(Exercícios!$D$7:$D$206,MATCH($G409,Exercícios!$B$7:$B$206,0)),"")</f>
        <v/>
      </c>
      <c r="J409" s="19" t="str">
        <f aca="false">IFERROR(INDEX(Exercícios!$E$7:$E$206,MATCH($G409,Exercícios!$B$7:$B$206,0)),"")</f>
        <v/>
      </c>
      <c r="K409" s="22"/>
      <c r="L409" s="22"/>
      <c r="M409" s="20"/>
      <c r="N409" s="22"/>
      <c r="O409" s="22"/>
      <c r="P409" s="22"/>
      <c r="Q409" s="19" t="n">
        <f aca="false">IFERROR($K409*$L409,"")</f>
        <v>0</v>
      </c>
      <c r="R409" s="48" t="n">
        <f aca="false">IF(OR($O409="",$P409=""),0,$O409*$P409)</f>
        <v>0</v>
      </c>
      <c r="S409" s="20"/>
      <c r="T409" s="20"/>
      <c r="U409" s="33" t="n">
        <f aca="false">IF($A409="",0,IF(AND(OR($E409=Atleta!$C$4,$E409="Equipe (todos)"),$A409&gt;=Atleta!$C$5),MAX($U$7:U408)+1,0))</f>
        <v>0</v>
      </c>
    </row>
    <row r="410" customFormat="false" ht="15" hidden="false" customHeight="false" outlineLevel="0" collapsed="false">
      <c r="A410" s="21"/>
      <c r="B410" s="33" t="n">
        <f aca="false">IF($A410="",0,INT(($A410-Macrociclo!$C$11)/7)+1)</f>
        <v>0</v>
      </c>
      <c r="C410" s="22"/>
      <c r="D410" s="22"/>
      <c r="E410" s="20"/>
      <c r="F410" s="22"/>
      <c r="G410" s="20"/>
      <c r="H410" s="19" t="str">
        <f aca="false">IFERROR(INDEX(Exercícios!$C$7:$C$206,MATCH($G410,Exercícios!$B$7:$B$206,0)),"")</f>
        <v/>
      </c>
      <c r="I410" s="19" t="str">
        <f aca="false">IFERROR(INDEX(Exercícios!$D$7:$D$206,MATCH($G410,Exercícios!$B$7:$B$206,0)),"")</f>
        <v/>
      </c>
      <c r="J410" s="19" t="str">
        <f aca="false">IFERROR(INDEX(Exercícios!$E$7:$E$206,MATCH($G410,Exercícios!$B$7:$B$206,0)),"")</f>
        <v/>
      </c>
      <c r="K410" s="22"/>
      <c r="L410" s="22"/>
      <c r="M410" s="20"/>
      <c r="N410" s="22"/>
      <c r="O410" s="22"/>
      <c r="P410" s="22"/>
      <c r="Q410" s="19" t="n">
        <f aca="false">IFERROR($K410*$L410,"")</f>
        <v>0</v>
      </c>
      <c r="R410" s="48" t="n">
        <f aca="false">IF(OR($O410="",$P410=""),0,$O410*$P410)</f>
        <v>0</v>
      </c>
      <c r="S410" s="20"/>
      <c r="T410" s="20"/>
      <c r="U410" s="33" t="n">
        <f aca="false">IF($A410="",0,IF(AND(OR($E410=Atleta!$C$4,$E410="Equipe (todos)"),$A410&gt;=Atleta!$C$5),MAX($U$7:U409)+1,0))</f>
        <v>0</v>
      </c>
    </row>
    <row r="411" customFormat="false" ht="15" hidden="false" customHeight="false" outlineLevel="0" collapsed="false">
      <c r="A411" s="21"/>
      <c r="B411" s="33" t="n">
        <f aca="false">IF($A411="",0,INT(($A411-Macrociclo!$C$11)/7)+1)</f>
        <v>0</v>
      </c>
      <c r="C411" s="22"/>
      <c r="D411" s="22"/>
      <c r="E411" s="20"/>
      <c r="F411" s="22"/>
      <c r="G411" s="20"/>
      <c r="H411" s="19" t="str">
        <f aca="false">IFERROR(INDEX(Exercícios!$C$7:$C$206,MATCH($G411,Exercícios!$B$7:$B$206,0)),"")</f>
        <v/>
      </c>
      <c r="I411" s="19" t="str">
        <f aca="false">IFERROR(INDEX(Exercícios!$D$7:$D$206,MATCH($G411,Exercícios!$B$7:$B$206,0)),"")</f>
        <v/>
      </c>
      <c r="J411" s="19" t="str">
        <f aca="false">IFERROR(INDEX(Exercícios!$E$7:$E$206,MATCH($G411,Exercícios!$B$7:$B$206,0)),"")</f>
        <v/>
      </c>
      <c r="K411" s="22"/>
      <c r="L411" s="22"/>
      <c r="M411" s="20"/>
      <c r="N411" s="22"/>
      <c r="O411" s="22"/>
      <c r="P411" s="22"/>
      <c r="Q411" s="19" t="n">
        <f aca="false">IFERROR($K411*$L411,"")</f>
        <v>0</v>
      </c>
      <c r="R411" s="48" t="n">
        <f aca="false">IF(OR($O411="",$P411=""),0,$O411*$P411)</f>
        <v>0</v>
      </c>
      <c r="S411" s="20"/>
      <c r="T411" s="20"/>
      <c r="U411" s="33" t="n">
        <f aca="false">IF($A411="",0,IF(AND(OR($E411=Atleta!$C$4,$E411="Equipe (todos)"),$A411&gt;=Atleta!$C$5),MAX($U$7:U410)+1,0))</f>
        <v>0</v>
      </c>
    </row>
    <row r="412" customFormat="false" ht="15" hidden="false" customHeight="false" outlineLevel="0" collapsed="false">
      <c r="A412" s="21"/>
      <c r="B412" s="33" t="n">
        <f aca="false">IF($A412="",0,INT(($A412-Macrociclo!$C$11)/7)+1)</f>
        <v>0</v>
      </c>
      <c r="C412" s="22"/>
      <c r="D412" s="22"/>
      <c r="E412" s="20"/>
      <c r="F412" s="22"/>
      <c r="G412" s="20"/>
      <c r="H412" s="19" t="str">
        <f aca="false">IFERROR(INDEX(Exercícios!$C$7:$C$206,MATCH($G412,Exercícios!$B$7:$B$206,0)),"")</f>
        <v/>
      </c>
      <c r="I412" s="19" t="str">
        <f aca="false">IFERROR(INDEX(Exercícios!$D$7:$D$206,MATCH($G412,Exercícios!$B$7:$B$206,0)),"")</f>
        <v/>
      </c>
      <c r="J412" s="19" t="str">
        <f aca="false">IFERROR(INDEX(Exercícios!$E$7:$E$206,MATCH($G412,Exercícios!$B$7:$B$206,0)),"")</f>
        <v/>
      </c>
      <c r="K412" s="22"/>
      <c r="L412" s="22"/>
      <c r="M412" s="20"/>
      <c r="N412" s="22"/>
      <c r="O412" s="22"/>
      <c r="P412" s="22"/>
      <c r="Q412" s="19" t="n">
        <f aca="false">IFERROR($K412*$L412,"")</f>
        <v>0</v>
      </c>
      <c r="R412" s="48" t="n">
        <f aca="false">IF(OR($O412="",$P412=""),0,$O412*$P412)</f>
        <v>0</v>
      </c>
      <c r="S412" s="20"/>
      <c r="T412" s="20"/>
      <c r="U412" s="33" t="n">
        <f aca="false">IF($A412="",0,IF(AND(OR($E412=Atleta!$C$4,$E412="Equipe (todos)"),$A412&gt;=Atleta!$C$5),MAX($U$7:U411)+1,0))</f>
        <v>0</v>
      </c>
    </row>
    <row r="413" customFormat="false" ht="15" hidden="false" customHeight="false" outlineLevel="0" collapsed="false">
      <c r="A413" s="21"/>
      <c r="B413" s="33" t="n">
        <f aca="false">IF($A413="",0,INT(($A413-Macrociclo!$C$11)/7)+1)</f>
        <v>0</v>
      </c>
      <c r="C413" s="22"/>
      <c r="D413" s="22"/>
      <c r="E413" s="20"/>
      <c r="F413" s="22"/>
      <c r="G413" s="20"/>
      <c r="H413" s="19" t="str">
        <f aca="false">IFERROR(INDEX(Exercícios!$C$7:$C$206,MATCH($G413,Exercícios!$B$7:$B$206,0)),"")</f>
        <v/>
      </c>
      <c r="I413" s="19" t="str">
        <f aca="false">IFERROR(INDEX(Exercícios!$D$7:$D$206,MATCH($G413,Exercícios!$B$7:$B$206,0)),"")</f>
        <v/>
      </c>
      <c r="J413" s="19" t="str">
        <f aca="false">IFERROR(INDEX(Exercícios!$E$7:$E$206,MATCH($G413,Exercícios!$B$7:$B$206,0)),"")</f>
        <v/>
      </c>
      <c r="K413" s="22"/>
      <c r="L413" s="22"/>
      <c r="M413" s="20"/>
      <c r="N413" s="22"/>
      <c r="O413" s="22"/>
      <c r="P413" s="22"/>
      <c r="Q413" s="19" t="n">
        <f aca="false">IFERROR($K413*$L413,"")</f>
        <v>0</v>
      </c>
      <c r="R413" s="48" t="n">
        <f aca="false">IF(OR($O413="",$P413=""),0,$O413*$P413)</f>
        <v>0</v>
      </c>
      <c r="S413" s="20"/>
      <c r="T413" s="20"/>
      <c r="U413" s="33" t="n">
        <f aca="false">IF($A413="",0,IF(AND(OR($E413=Atleta!$C$4,$E413="Equipe (todos)"),$A413&gt;=Atleta!$C$5),MAX($U$7:U412)+1,0))</f>
        <v>0</v>
      </c>
    </row>
    <row r="414" customFormat="false" ht="15" hidden="false" customHeight="false" outlineLevel="0" collapsed="false">
      <c r="A414" s="21"/>
      <c r="B414" s="33" t="n">
        <f aca="false">IF($A414="",0,INT(($A414-Macrociclo!$C$11)/7)+1)</f>
        <v>0</v>
      </c>
      <c r="C414" s="22"/>
      <c r="D414" s="22"/>
      <c r="E414" s="20"/>
      <c r="F414" s="22"/>
      <c r="G414" s="20"/>
      <c r="H414" s="19" t="str">
        <f aca="false">IFERROR(INDEX(Exercícios!$C$7:$C$206,MATCH($G414,Exercícios!$B$7:$B$206,0)),"")</f>
        <v/>
      </c>
      <c r="I414" s="19" t="str">
        <f aca="false">IFERROR(INDEX(Exercícios!$D$7:$D$206,MATCH($G414,Exercícios!$B$7:$B$206,0)),"")</f>
        <v/>
      </c>
      <c r="J414" s="19" t="str">
        <f aca="false">IFERROR(INDEX(Exercícios!$E$7:$E$206,MATCH($G414,Exercícios!$B$7:$B$206,0)),"")</f>
        <v/>
      </c>
      <c r="K414" s="22"/>
      <c r="L414" s="22"/>
      <c r="M414" s="20"/>
      <c r="N414" s="22"/>
      <c r="O414" s="22"/>
      <c r="P414" s="22"/>
      <c r="Q414" s="19" t="n">
        <f aca="false">IFERROR($K414*$L414,"")</f>
        <v>0</v>
      </c>
      <c r="R414" s="48" t="n">
        <f aca="false">IF(OR($O414="",$P414=""),0,$O414*$P414)</f>
        <v>0</v>
      </c>
      <c r="S414" s="20"/>
      <c r="T414" s="20"/>
      <c r="U414" s="33" t="n">
        <f aca="false">IF($A414="",0,IF(AND(OR($E414=Atleta!$C$4,$E414="Equipe (todos)"),$A414&gt;=Atleta!$C$5),MAX($U$7:U413)+1,0))</f>
        <v>0</v>
      </c>
    </row>
    <row r="415" customFormat="false" ht="15" hidden="false" customHeight="false" outlineLevel="0" collapsed="false">
      <c r="A415" s="21"/>
      <c r="B415" s="33" t="n">
        <f aca="false">IF($A415="",0,INT(($A415-Macrociclo!$C$11)/7)+1)</f>
        <v>0</v>
      </c>
      <c r="C415" s="22"/>
      <c r="D415" s="22"/>
      <c r="E415" s="20"/>
      <c r="F415" s="22"/>
      <c r="G415" s="20"/>
      <c r="H415" s="19" t="str">
        <f aca="false">IFERROR(INDEX(Exercícios!$C$7:$C$206,MATCH($G415,Exercícios!$B$7:$B$206,0)),"")</f>
        <v/>
      </c>
      <c r="I415" s="19" t="str">
        <f aca="false">IFERROR(INDEX(Exercícios!$D$7:$D$206,MATCH($G415,Exercícios!$B$7:$B$206,0)),"")</f>
        <v/>
      </c>
      <c r="J415" s="19" t="str">
        <f aca="false">IFERROR(INDEX(Exercícios!$E$7:$E$206,MATCH($G415,Exercícios!$B$7:$B$206,0)),"")</f>
        <v/>
      </c>
      <c r="K415" s="22"/>
      <c r="L415" s="22"/>
      <c r="M415" s="20"/>
      <c r="N415" s="22"/>
      <c r="O415" s="22"/>
      <c r="P415" s="22"/>
      <c r="Q415" s="19" t="n">
        <f aca="false">IFERROR($K415*$L415,"")</f>
        <v>0</v>
      </c>
      <c r="R415" s="48" t="n">
        <f aca="false">IF(OR($O415="",$P415=""),0,$O415*$P415)</f>
        <v>0</v>
      </c>
      <c r="S415" s="20"/>
      <c r="T415" s="20"/>
      <c r="U415" s="33" t="n">
        <f aca="false">IF($A415="",0,IF(AND(OR($E415=Atleta!$C$4,$E415="Equipe (todos)"),$A415&gt;=Atleta!$C$5),MAX($U$7:U414)+1,0))</f>
        <v>0</v>
      </c>
    </row>
    <row r="416" customFormat="false" ht="15" hidden="false" customHeight="false" outlineLevel="0" collapsed="false">
      <c r="A416" s="21"/>
      <c r="B416" s="33" t="n">
        <f aca="false">IF($A416="",0,INT(($A416-Macrociclo!$C$11)/7)+1)</f>
        <v>0</v>
      </c>
      <c r="C416" s="22"/>
      <c r="D416" s="22"/>
      <c r="E416" s="20"/>
      <c r="F416" s="22"/>
      <c r="G416" s="20"/>
      <c r="H416" s="19" t="str">
        <f aca="false">IFERROR(INDEX(Exercícios!$C$7:$C$206,MATCH($G416,Exercícios!$B$7:$B$206,0)),"")</f>
        <v/>
      </c>
      <c r="I416" s="19" t="str">
        <f aca="false">IFERROR(INDEX(Exercícios!$D$7:$D$206,MATCH($G416,Exercícios!$B$7:$B$206,0)),"")</f>
        <v/>
      </c>
      <c r="J416" s="19" t="str">
        <f aca="false">IFERROR(INDEX(Exercícios!$E$7:$E$206,MATCH($G416,Exercícios!$B$7:$B$206,0)),"")</f>
        <v/>
      </c>
      <c r="K416" s="22"/>
      <c r="L416" s="22"/>
      <c r="M416" s="20"/>
      <c r="N416" s="22"/>
      <c r="O416" s="22"/>
      <c r="P416" s="22"/>
      <c r="Q416" s="19" t="n">
        <f aca="false">IFERROR($K416*$L416,"")</f>
        <v>0</v>
      </c>
      <c r="R416" s="48" t="n">
        <f aca="false">IF(OR($O416="",$P416=""),0,$O416*$P416)</f>
        <v>0</v>
      </c>
      <c r="S416" s="20"/>
      <c r="T416" s="20"/>
      <c r="U416" s="33" t="n">
        <f aca="false">IF($A416="",0,IF(AND(OR($E416=Atleta!$C$4,$E416="Equipe (todos)"),$A416&gt;=Atleta!$C$5),MAX($U$7:U415)+1,0))</f>
        <v>0</v>
      </c>
    </row>
    <row r="417" customFormat="false" ht="15" hidden="false" customHeight="false" outlineLevel="0" collapsed="false">
      <c r="A417" s="21"/>
      <c r="B417" s="33" t="n">
        <f aca="false">IF($A417="",0,INT(($A417-Macrociclo!$C$11)/7)+1)</f>
        <v>0</v>
      </c>
      <c r="C417" s="22"/>
      <c r="D417" s="22"/>
      <c r="E417" s="20"/>
      <c r="F417" s="22"/>
      <c r="G417" s="20"/>
      <c r="H417" s="19" t="str">
        <f aca="false">IFERROR(INDEX(Exercícios!$C$7:$C$206,MATCH($G417,Exercícios!$B$7:$B$206,0)),"")</f>
        <v/>
      </c>
      <c r="I417" s="19" t="str">
        <f aca="false">IFERROR(INDEX(Exercícios!$D$7:$D$206,MATCH($G417,Exercícios!$B$7:$B$206,0)),"")</f>
        <v/>
      </c>
      <c r="J417" s="19" t="str">
        <f aca="false">IFERROR(INDEX(Exercícios!$E$7:$E$206,MATCH($G417,Exercícios!$B$7:$B$206,0)),"")</f>
        <v/>
      </c>
      <c r="K417" s="22"/>
      <c r="L417" s="22"/>
      <c r="M417" s="20"/>
      <c r="N417" s="22"/>
      <c r="O417" s="22"/>
      <c r="P417" s="22"/>
      <c r="Q417" s="19" t="n">
        <f aca="false">IFERROR($K417*$L417,"")</f>
        <v>0</v>
      </c>
      <c r="R417" s="48" t="n">
        <f aca="false">IF(OR($O417="",$P417=""),0,$O417*$P417)</f>
        <v>0</v>
      </c>
      <c r="S417" s="20"/>
      <c r="T417" s="20"/>
      <c r="U417" s="33" t="n">
        <f aca="false">IF($A417="",0,IF(AND(OR($E417=Atleta!$C$4,$E417="Equipe (todos)"),$A417&gt;=Atleta!$C$5),MAX($U$7:U416)+1,0))</f>
        <v>0</v>
      </c>
    </row>
    <row r="418" customFormat="false" ht="15" hidden="false" customHeight="false" outlineLevel="0" collapsed="false">
      <c r="A418" s="21"/>
      <c r="B418" s="33" t="n">
        <f aca="false">IF($A418="",0,INT(($A418-Macrociclo!$C$11)/7)+1)</f>
        <v>0</v>
      </c>
      <c r="C418" s="22"/>
      <c r="D418" s="22"/>
      <c r="E418" s="20"/>
      <c r="F418" s="22"/>
      <c r="G418" s="20"/>
      <c r="H418" s="19" t="str">
        <f aca="false">IFERROR(INDEX(Exercícios!$C$7:$C$206,MATCH($G418,Exercícios!$B$7:$B$206,0)),"")</f>
        <v/>
      </c>
      <c r="I418" s="19" t="str">
        <f aca="false">IFERROR(INDEX(Exercícios!$D$7:$D$206,MATCH($G418,Exercícios!$B$7:$B$206,0)),"")</f>
        <v/>
      </c>
      <c r="J418" s="19" t="str">
        <f aca="false">IFERROR(INDEX(Exercícios!$E$7:$E$206,MATCH($G418,Exercícios!$B$7:$B$206,0)),"")</f>
        <v/>
      </c>
      <c r="K418" s="22"/>
      <c r="L418" s="22"/>
      <c r="M418" s="20"/>
      <c r="N418" s="22"/>
      <c r="O418" s="22"/>
      <c r="P418" s="22"/>
      <c r="Q418" s="19" t="n">
        <f aca="false">IFERROR($K418*$L418,"")</f>
        <v>0</v>
      </c>
      <c r="R418" s="48" t="n">
        <f aca="false">IF(OR($O418="",$P418=""),0,$O418*$P418)</f>
        <v>0</v>
      </c>
      <c r="S418" s="20"/>
      <c r="T418" s="20"/>
      <c r="U418" s="33" t="n">
        <f aca="false">IF($A418="",0,IF(AND(OR($E418=Atleta!$C$4,$E418="Equipe (todos)"),$A418&gt;=Atleta!$C$5),MAX($U$7:U417)+1,0))</f>
        <v>0</v>
      </c>
    </row>
    <row r="419" customFormat="false" ht="15" hidden="false" customHeight="false" outlineLevel="0" collapsed="false">
      <c r="A419" s="21"/>
      <c r="B419" s="33" t="n">
        <f aca="false">IF($A419="",0,INT(($A419-Macrociclo!$C$11)/7)+1)</f>
        <v>0</v>
      </c>
      <c r="C419" s="22"/>
      <c r="D419" s="22"/>
      <c r="E419" s="20"/>
      <c r="F419" s="22"/>
      <c r="G419" s="20"/>
      <c r="H419" s="19" t="str">
        <f aca="false">IFERROR(INDEX(Exercícios!$C$7:$C$206,MATCH($G419,Exercícios!$B$7:$B$206,0)),"")</f>
        <v/>
      </c>
      <c r="I419" s="19" t="str">
        <f aca="false">IFERROR(INDEX(Exercícios!$D$7:$D$206,MATCH($G419,Exercícios!$B$7:$B$206,0)),"")</f>
        <v/>
      </c>
      <c r="J419" s="19" t="str">
        <f aca="false">IFERROR(INDEX(Exercícios!$E$7:$E$206,MATCH($G419,Exercícios!$B$7:$B$206,0)),"")</f>
        <v/>
      </c>
      <c r="K419" s="22"/>
      <c r="L419" s="22"/>
      <c r="M419" s="20"/>
      <c r="N419" s="22"/>
      <c r="O419" s="22"/>
      <c r="P419" s="22"/>
      <c r="Q419" s="19" t="n">
        <f aca="false">IFERROR($K419*$L419,"")</f>
        <v>0</v>
      </c>
      <c r="R419" s="48" t="n">
        <f aca="false">IF(OR($O419="",$P419=""),0,$O419*$P419)</f>
        <v>0</v>
      </c>
      <c r="S419" s="20"/>
      <c r="T419" s="20"/>
      <c r="U419" s="33" t="n">
        <f aca="false">IF($A419="",0,IF(AND(OR($E419=Atleta!$C$4,$E419="Equipe (todos)"),$A419&gt;=Atleta!$C$5),MAX($U$7:U418)+1,0))</f>
        <v>0</v>
      </c>
    </row>
    <row r="420" customFormat="false" ht="15" hidden="false" customHeight="false" outlineLevel="0" collapsed="false">
      <c r="A420" s="21"/>
      <c r="B420" s="33" t="n">
        <f aca="false">IF($A420="",0,INT(($A420-Macrociclo!$C$11)/7)+1)</f>
        <v>0</v>
      </c>
      <c r="C420" s="22"/>
      <c r="D420" s="22"/>
      <c r="E420" s="20"/>
      <c r="F420" s="22"/>
      <c r="G420" s="20"/>
      <c r="H420" s="19" t="str">
        <f aca="false">IFERROR(INDEX(Exercícios!$C$7:$C$206,MATCH($G420,Exercícios!$B$7:$B$206,0)),"")</f>
        <v/>
      </c>
      <c r="I420" s="19" t="str">
        <f aca="false">IFERROR(INDEX(Exercícios!$D$7:$D$206,MATCH($G420,Exercícios!$B$7:$B$206,0)),"")</f>
        <v/>
      </c>
      <c r="J420" s="19" t="str">
        <f aca="false">IFERROR(INDEX(Exercícios!$E$7:$E$206,MATCH($G420,Exercícios!$B$7:$B$206,0)),"")</f>
        <v/>
      </c>
      <c r="K420" s="22"/>
      <c r="L420" s="22"/>
      <c r="M420" s="20"/>
      <c r="N420" s="22"/>
      <c r="O420" s="22"/>
      <c r="P420" s="22"/>
      <c r="Q420" s="19" t="n">
        <f aca="false">IFERROR($K420*$L420,"")</f>
        <v>0</v>
      </c>
      <c r="R420" s="48" t="n">
        <f aca="false">IF(OR($O420="",$P420=""),0,$O420*$P420)</f>
        <v>0</v>
      </c>
      <c r="S420" s="20"/>
      <c r="T420" s="20"/>
      <c r="U420" s="33" t="n">
        <f aca="false">IF($A420="",0,IF(AND(OR($E420=Atleta!$C$4,$E420="Equipe (todos)"),$A420&gt;=Atleta!$C$5),MAX($U$7:U419)+1,0))</f>
        <v>0</v>
      </c>
    </row>
    <row r="421" customFormat="false" ht="15" hidden="false" customHeight="false" outlineLevel="0" collapsed="false">
      <c r="A421" s="21"/>
      <c r="B421" s="33" t="n">
        <f aca="false">IF($A421="",0,INT(($A421-Macrociclo!$C$11)/7)+1)</f>
        <v>0</v>
      </c>
      <c r="C421" s="22"/>
      <c r="D421" s="22"/>
      <c r="E421" s="20"/>
      <c r="F421" s="22"/>
      <c r="G421" s="20"/>
      <c r="H421" s="19" t="str">
        <f aca="false">IFERROR(INDEX(Exercícios!$C$7:$C$206,MATCH($G421,Exercícios!$B$7:$B$206,0)),"")</f>
        <v/>
      </c>
      <c r="I421" s="19" t="str">
        <f aca="false">IFERROR(INDEX(Exercícios!$D$7:$D$206,MATCH($G421,Exercícios!$B$7:$B$206,0)),"")</f>
        <v/>
      </c>
      <c r="J421" s="19" t="str">
        <f aca="false">IFERROR(INDEX(Exercícios!$E$7:$E$206,MATCH($G421,Exercícios!$B$7:$B$206,0)),"")</f>
        <v/>
      </c>
      <c r="K421" s="22"/>
      <c r="L421" s="22"/>
      <c r="M421" s="20"/>
      <c r="N421" s="22"/>
      <c r="O421" s="22"/>
      <c r="P421" s="22"/>
      <c r="Q421" s="19" t="n">
        <f aca="false">IFERROR($K421*$L421,"")</f>
        <v>0</v>
      </c>
      <c r="R421" s="48" t="n">
        <f aca="false">IF(OR($O421="",$P421=""),0,$O421*$P421)</f>
        <v>0</v>
      </c>
      <c r="S421" s="20"/>
      <c r="T421" s="20"/>
      <c r="U421" s="33" t="n">
        <f aca="false">IF($A421="",0,IF(AND(OR($E421=Atleta!$C$4,$E421="Equipe (todos)"),$A421&gt;=Atleta!$C$5),MAX($U$7:U420)+1,0))</f>
        <v>0</v>
      </c>
    </row>
    <row r="422" customFormat="false" ht="15" hidden="false" customHeight="false" outlineLevel="0" collapsed="false">
      <c r="A422" s="21"/>
      <c r="B422" s="33" t="n">
        <f aca="false">IF($A422="",0,INT(($A422-Macrociclo!$C$11)/7)+1)</f>
        <v>0</v>
      </c>
      <c r="C422" s="22"/>
      <c r="D422" s="22"/>
      <c r="E422" s="20"/>
      <c r="F422" s="22"/>
      <c r="G422" s="20"/>
      <c r="H422" s="19" t="str">
        <f aca="false">IFERROR(INDEX(Exercícios!$C$7:$C$206,MATCH($G422,Exercícios!$B$7:$B$206,0)),"")</f>
        <v/>
      </c>
      <c r="I422" s="19" t="str">
        <f aca="false">IFERROR(INDEX(Exercícios!$D$7:$D$206,MATCH($G422,Exercícios!$B$7:$B$206,0)),"")</f>
        <v/>
      </c>
      <c r="J422" s="19" t="str">
        <f aca="false">IFERROR(INDEX(Exercícios!$E$7:$E$206,MATCH($G422,Exercícios!$B$7:$B$206,0)),"")</f>
        <v/>
      </c>
      <c r="K422" s="22"/>
      <c r="L422" s="22"/>
      <c r="M422" s="20"/>
      <c r="N422" s="22"/>
      <c r="O422" s="22"/>
      <c r="P422" s="22"/>
      <c r="Q422" s="19" t="n">
        <f aca="false">IFERROR($K422*$L422,"")</f>
        <v>0</v>
      </c>
      <c r="R422" s="48" t="n">
        <f aca="false">IF(OR($O422="",$P422=""),0,$O422*$P422)</f>
        <v>0</v>
      </c>
      <c r="S422" s="20"/>
      <c r="T422" s="20"/>
      <c r="U422" s="33" t="n">
        <f aca="false">IF($A422="",0,IF(AND(OR($E422=Atleta!$C$4,$E422="Equipe (todos)"),$A422&gt;=Atleta!$C$5),MAX($U$7:U421)+1,0))</f>
        <v>0</v>
      </c>
    </row>
    <row r="423" customFormat="false" ht="15" hidden="false" customHeight="false" outlineLevel="0" collapsed="false">
      <c r="A423" s="21"/>
      <c r="B423" s="33" t="n">
        <f aca="false">IF($A423="",0,INT(($A423-Macrociclo!$C$11)/7)+1)</f>
        <v>0</v>
      </c>
      <c r="C423" s="22"/>
      <c r="D423" s="22"/>
      <c r="E423" s="20"/>
      <c r="F423" s="22"/>
      <c r="G423" s="20"/>
      <c r="H423" s="19" t="str">
        <f aca="false">IFERROR(INDEX(Exercícios!$C$7:$C$206,MATCH($G423,Exercícios!$B$7:$B$206,0)),"")</f>
        <v/>
      </c>
      <c r="I423" s="19" t="str">
        <f aca="false">IFERROR(INDEX(Exercícios!$D$7:$D$206,MATCH($G423,Exercícios!$B$7:$B$206,0)),"")</f>
        <v/>
      </c>
      <c r="J423" s="19" t="str">
        <f aca="false">IFERROR(INDEX(Exercícios!$E$7:$E$206,MATCH($G423,Exercícios!$B$7:$B$206,0)),"")</f>
        <v/>
      </c>
      <c r="K423" s="22"/>
      <c r="L423" s="22"/>
      <c r="M423" s="20"/>
      <c r="N423" s="22"/>
      <c r="O423" s="22"/>
      <c r="P423" s="22"/>
      <c r="Q423" s="19" t="n">
        <f aca="false">IFERROR($K423*$L423,"")</f>
        <v>0</v>
      </c>
      <c r="R423" s="48" t="n">
        <f aca="false">IF(OR($O423="",$P423=""),0,$O423*$P423)</f>
        <v>0</v>
      </c>
      <c r="S423" s="20"/>
      <c r="T423" s="20"/>
      <c r="U423" s="33" t="n">
        <f aca="false">IF($A423="",0,IF(AND(OR($E423=Atleta!$C$4,$E423="Equipe (todos)"),$A423&gt;=Atleta!$C$5),MAX($U$7:U422)+1,0))</f>
        <v>0</v>
      </c>
    </row>
    <row r="424" customFormat="false" ht="15" hidden="false" customHeight="false" outlineLevel="0" collapsed="false">
      <c r="A424" s="21"/>
      <c r="B424" s="33" t="n">
        <f aca="false">IF($A424="",0,INT(($A424-Macrociclo!$C$11)/7)+1)</f>
        <v>0</v>
      </c>
      <c r="C424" s="22"/>
      <c r="D424" s="22"/>
      <c r="E424" s="20"/>
      <c r="F424" s="22"/>
      <c r="G424" s="20"/>
      <c r="H424" s="19" t="str">
        <f aca="false">IFERROR(INDEX(Exercícios!$C$7:$C$206,MATCH($G424,Exercícios!$B$7:$B$206,0)),"")</f>
        <v/>
      </c>
      <c r="I424" s="19" t="str">
        <f aca="false">IFERROR(INDEX(Exercícios!$D$7:$D$206,MATCH($G424,Exercícios!$B$7:$B$206,0)),"")</f>
        <v/>
      </c>
      <c r="J424" s="19" t="str">
        <f aca="false">IFERROR(INDEX(Exercícios!$E$7:$E$206,MATCH($G424,Exercícios!$B$7:$B$206,0)),"")</f>
        <v/>
      </c>
      <c r="K424" s="22"/>
      <c r="L424" s="22"/>
      <c r="M424" s="20"/>
      <c r="N424" s="22"/>
      <c r="O424" s="22"/>
      <c r="P424" s="22"/>
      <c r="Q424" s="19" t="n">
        <f aca="false">IFERROR($K424*$L424,"")</f>
        <v>0</v>
      </c>
      <c r="R424" s="48" t="n">
        <f aca="false">IF(OR($O424="",$P424=""),0,$O424*$P424)</f>
        <v>0</v>
      </c>
      <c r="S424" s="20"/>
      <c r="T424" s="20"/>
      <c r="U424" s="33" t="n">
        <f aca="false">IF($A424="",0,IF(AND(OR($E424=Atleta!$C$4,$E424="Equipe (todos)"),$A424&gt;=Atleta!$C$5),MAX($U$7:U423)+1,0))</f>
        <v>0</v>
      </c>
    </row>
    <row r="425" customFormat="false" ht="15" hidden="false" customHeight="false" outlineLevel="0" collapsed="false">
      <c r="A425" s="21"/>
      <c r="B425" s="33" t="n">
        <f aca="false">IF($A425="",0,INT(($A425-Macrociclo!$C$11)/7)+1)</f>
        <v>0</v>
      </c>
      <c r="C425" s="22"/>
      <c r="D425" s="22"/>
      <c r="E425" s="20"/>
      <c r="F425" s="22"/>
      <c r="G425" s="20"/>
      <c r="H425" s="19" t="str">
        <f aca="false">IFERROR(INDEX(Exercícios!$C$7:$C$206,MATCH($G425,Exercícios!$B$7:$B$206,0)),"")</f>
        <v/>
      </c>
      <c r="I425" s="19" t="str">
        <f aca="false">IFERROR(INDEX(Exercícios!$D$7:$D$206,MATCH($G425,Exercícios!$B$7:$B$206,0)),"")</f>
        <v/>
      </c>
      <c r="J425" s="19" t="str">
        <f aca="false">IFERROR(INDEX(Exercícios!$E$7:$E$206,MATCH($G425,Exercícios!$B$7:$B$206,0)),"")</f>
        <v/>
      </c>
      <c r="K425" s="22"/>
      <c r="L425" s="22"/>
      <c r="M425" s="20"/>
      <c r="N425" s="22"/>
      <c r="O425" s="22"/>
      <c r="P425" s="22"/>
      <c r="Q425" s="19" t="n">
        <f aca="false">IFERROR($K425*$L425,"")</f>
        <v>0</v>
      </c>
      <c r="R425" s="48" t="n">
        <f aca="false">IF(OR($O425="",$P425=""),0,$O425*$P425)</f>
        <v>0</v>
      </c>
      <c r="S425" s="20"/>
      <c r="T425" s="20"/>
      <c r="U425" s="33" t="n">
        <f aca="false">IF($A425="",0,IF(AND(OR($E425=Atleta!$C$4,$E425="Equipe (todos)"),$A425&gt;=Atleta!$C$5),MAX($U$7:U424)+1,0))</f>
        <v>0</v>
      </c>
    </row>
    <row r="426" customFormat="false" ht="15" hidden="false" customHeight="false" outlineLevel="0" collapsed="false">
      <c r="A426" s="21"/>
      <c r="B426" s="33" t="n">
        <f aca="false">IF($A426="",0,INT(($A426-Macrociclo!$C$11)/7)+1)</f>
        <v>0</v>
      </c>
      <c r="C426" s="22"/>
      <c r="D426" s="22"/>
      <c r="E426" s="20"/>
      <c r="F426" s="22"/>
      <c r="G426" s="20"/>
      <c r="H426" s="19" t="str">
        <f aca="false">IFERROR(INDEX(Exercícios!$C$7:$C$206,MATCH($G426,Exercícios!$B$7:$B$206,0)),"")</f>
        <v/>
      </c>
      <c r="I426" s="19" t="str">
        <f aca="false">IFERROR(INDEX(Exercícios!$D$7:$D$206,MATCH($G426,Exercícios!$B$7:$B$206,0)),"")</f>
        <v/>
      </c>
      <c r="J426" s="19" t="str">
        <f aca="false">IFERROR(INDEX(Exercícios!$E$7:$E$206,MATCH($G426,Exercícios!$B$7:$B$206,0)),"")</f>
        <v/>
      </c>
      <c r="K426" s="22"/>
      <c r="L426" s="22"/>
      <c r="M426" s="20"/>
      <c r="N426" s="22"/>
      <c r="O426" s="22"/>
      <c r="P426" s="22"/>
      <c r="Q426" s="19" t="n">
        <f aca="false">IFERROR($K426*$L426,"")</f>
        <v>0</v>
      </c>
      <c r="R426" s="48" t="n">
        <f aca="false">IF(OR($O426="",$P426=""),0,$O426*$P426)</f>
        <v>0</v>
      </c>
      <c r="S426" s="20"/>
      <c r="T426" s="20"/>
      <c r="U426" s="33" t="n">
        <f aca="false">IF($A426="",0,IF(AND(OR($E426=Atleta!$C$4,$E426="Equipe (todos)"),$A426&gt;=Atleta!$C$5),MAX($U$7:U425)+1,0))</f>
        <v>0</v>
      </c>
    </row>
    <row r="427" customFormat="false" ht="15" hidden="false" customHeight="false" outlineLevel="0" collapsed="false">
      <c r="A427" s="21"/>
      <c r="B427" s="33" t="n">
        <f aca="false">IF($A427="",0,INT(($A427-Macrociclo!$C$11)/7)+1)</f>
        <v>0</v>
      </c>
      <c r="C427" s="22"/>
      <c r="D427" s="22"/>
      <c r="E427" s="20"/>
      <c r="F427" s="22"/>
      <c r="G427" s="20"/>
      <c r="H427" s="19" t="str">
        <f aca="false">IFERROR(INDEX(Exercícios!$C$7:$C$206,MATCH($G427,Exercícios!$B$7:$B$206,0)),"")</f>
        <v/>
      </c>
      <c r="I427" s="19" t="str">
        <f aca="false">IFERROR(INDEX(Exercícios!$D$7:$D$206,MATCH($G427,Exercícios!$B$7:$B$206,0)),"")</f>
        <v/>
      </c>
      <c r="J427" s="19" t="str">
        <f aca="false">IFERROR(INDEX(Exercícios!$E$7:$E$206,MATCH($G427,Exercícios!$B$7:$B$206,0)),"")</f>
        <v/>
      </c>
      <c r="K427" s="22"/>
      <c r="L427" s="22"/>
      <c r="M427" s="20"/>
      <c r="N427" s="22"/>
      <c r="O427" s="22"/>
      <c r="P427" s="22"/>
      <c r="Q427" s="19" t="n">
        <f aca="false">IFERROR($K427*$L427,"")</f>
        <v>0</v>
      </c>
      <c r="R427" s="48" t="n">
        <f aca="false">IF(OR($O427="",$P427=""),0,$O427*$P427)</f>
        <v>0</v>
      </c>
      <c r="S427" s="20"/>
      <c r="T427" s="20"/>
      <c r="U427" s="33" t="n">
        <f aca="false">IF($A427="",0,IF(AND(OR($E427=Atleta!$C$4,$E427="Equipe (todos)"),$A427&gt;=Atleta!$C$5),MAX($U$7:U426)+1,0))</f>
        <v>0</v>
      </c>
    </row>
    <row r="428" customFormat="false" ht="15" hidden="false" customHeight="false" outlineLevel="0" collapsed="false">
      <c r="A428" s="21"/>
      <c r="B428" s="33" t="n">
        <f aca="false">IF($A428="",0,INT(($A428-Macrociclo!$C$11)/7)+1)</f>
        <v>0</v>
      </c>
      <c r="C428" s="22"/>
      <c r="D428" s="22"/>
      <c r="E428" s="20"/>
      <c r="F428" s="22"/>
      <c r="G428" s="20"/>
      <c r="H428" s="19" t="str">
        <f aca="false">IFERROR(INDEX(Exercícios!$C$7:$C$206,MATCH($G428,Exercícios!$B$7:$B$206,0)),"")</f>
        <v/>
      </c>
      <c r="I428" s="19" t="str">
        <f aca="false">IFERROR(INDEX(Exercícios!$D$7:$D$206,MATCH($G428,Exercícios!$B$7:$B$206,0)),"")</f>
        <v/>
      </c>
      <c r="J428" s="19" t="str">
        <f aca="false">IFERROR(INDEX(Exercícios!$E$7:$E$206,MATCH($G428,Exercícios!$B$7:$B$206,0)),"")</f>
        <v/>
      </c>
      <c r="K428" s="22"/>
      <c r="L428" s="22"/>
      <c r="M428" s="20"/>
      <c r="N428" s="22"/>
      <c r="O428" s="22"/>
      <c r="P428" s="22"/>
      <c r="Q428" s="19" t="n">
        <f aca="false">IFERROR($K428*$L428,"")</f>
        <v>0</v>
      </c>
      <c r="R428" s="48" t="n">
        <f aca="false">IF(OR($O428="",$P428=""),0,$O428*$P428)</f>
        <v>0</v>
      </c>
      <c r="S428" s="20"/>
      <c r="T428" s="20"/>
      <c r="U428" s="33" t="n">
        <f aca="false">IF($A428="",0,IF(AND(OR($E428=Atleta!$C$4,$E428="Equipe (todos)"),$A428&gt;=Atleta!$C$5),MAX($U$7:U427)+1,0))</f>
        <v>0</v>
      </c>
    </row>
    <row r="429" customFormat="false" ht="15" hidden="false" customHeight="false" outlineLevel="0" collapsed="false">
      <c r="A429" s="21"/>
      <c r="B429" s="33" t="n">
        <f aca="false">IF($A429="",0,INT(($A429-Macrociclo!$C$11)/7)+1)</f>
        <v>0</v>
      </c>
      <c r="C429" s="22"/>
      <c r="D429" s="22"/>
      <c r="E429" s="20"/>
      <c r="F429" s="22"/>
      <c r="G429" s="20"/>
      <c r="H429" s="19" t="str">
        <f aca="false">IFERROR(INDEX(Exercícios!$C$7:$C$206,MATCH($G429,Exercícios!$B$7:$B$206,0)),"")</f>
        <v/>
      </c>
      <c r="I429" s="19" t="str">
        <f aca="false">IFERROR(INDEX(Exercícios!$D$7:$D$206,MATCH($G429,Exercícios!$B$7:$B$206,0)),"")</f>
        <v/>
      </c>
      <c r="J429" s="19" t="str">
        <f aca="false">IFERROR(INDEX(Exercícios!$E$7:$E$206,MATCH($G429,Exercícios!$B$7:$B$206,0)),"")</f>
        <v/>
      </c>
      <c r="K429" s="22"/>
      <c r="L429" s="22"/>
      <c r="M429" s="20"/>
      <c r="N429" s="22"/>
      <c r="O429" s="22"/>
      <c r="P429" s="22"/>
      <c r="Q429" s="19" t="n">
        <f aca="false">IFERROR($K429*$L429,"")</f>
        <v>0</v>
      </c>
      <c r="R429" s="48" t="n">
        <f aca="false">IF(OR($O429="",$P429=""),0,$O429*$P429)</f>
        <v>0</v>
      </c>
      <c r="S429" s="20"/>
      <c r="T429" s="20"/>
      <c r="U429" s="33" t="n">
        <f aca="false">IF($A429="",0,IF(AND(OR($E429=Atleta!$C$4,$E429="Equipe (todos)"),$A429&gt;=Atleta!$C$5),MAX($U$7:U428)+1,0))</f>
        <v>0</v>
      </c>
    </row>
    <row r="430" customFormat="false" ht="15" hidden="false" customHeight="false" outlineLevel="0" collapsed="false">
      <c r="A430" s="21"/>
      <c r="B430" s="33" t="n">
        <f aca="false">IF($A430="",0,INT(($A430-Macrociclo!$C$11)/7)+1)</f>
        <v>0</v>
      </c>
      <c r="C430" s="22"/>
      <c r="D430" s="22"/>
      <c r="E430" s="20"/>
      <c r="F430" s="22"/>
      <c r="G430" s="20"/>
      <c r="H430" s="19" t="str">
        <f aca="false">IFERROR(INDEX(Exercícios!$C$7:$C$206,MATCH($G430,Exercícios!$B$7:$B$206,0)),"")</f>
        <v/>
      </c>
      <c r="I430" s="19" t="str">
        <f aca="false">IFERROR(INDEX(Exercícios!$D$7:$D$206,MATCH($G430,Exercícios!$B$7:$B$206,0)),"")</f>
        <v/>
      </c>
      <c r="J430" s="19" t="str">
        <f aca="false">IFERROR(INDEX(Exercícios!$E$7:$E$206,MATCH($G430,Exercícios!$B$7:$B$206,0)),"")</f>
        <v/>
      </c>
      <c r="K430" s="22"/>
      <c r="L430" s="22"/>
      <c r="M430" s="20"/>
      <c r="N430" s="22"/>
      <c r="O430" s="22"/>
      <c r="P430" s="22"/>
      <c r="Q430" s="19" t="n">
        <f aca="false">IFERROR($K430*$L430,"")</f>
        <v>0</v>
      </c>
      <c r="R430" s="48" t="n">
        <f aca="false">IF(OR($O430="",$P430=""),0,$O430*$P430)</f>
        <v>0</v>
      </c>
      <c r="S430" s="20"/>
      <c r="T430" s="20"/>
      <c r="U430" s="33" t="n">
        <f aca="false">IF($A430="",0,IF(AND(OR($E430=Atleta!$C$4,$E430="Equipe (todos)"),$A430&gt;=Atleta!$C$5),MAX($U$7:U429)+1,0))</f>
        <v>0</v>
      </c>
    </row>
    <row r="431" customFormat="false" ht="15" hidden="false" customHeight="false" outlineLevel="0" collapsed="false">
      <c r="A431" s="21"/>
      <c r="B431" s="33" t="n">
        <f aca="false">IF($A431="",0,INT(($A431-Macrociclo!$C$11)/7)+1)</f>
        <v>0</v>
      </c>
      <c r="C431" s="22"/>
      <c r="D431" s="22"/>
      <c r="E431" s="20"/>
      <c r="F431" s="22"/>
      <c r="G431" s="20"/>
      <c r="H431" s="19" t="str">
        <f aca="false">IFERROR(INDEX(Exercícios!$C$7:$C$206,MATCH($G431,Exercícios!$B$7:$B$206,0)),"")</f>
        <v/>
      </c>
      <c r="I431" s="19" t="str">
        <f aca="false">IFERROR(INDEX(Exercícios!$D$7:$D$206,MATCH($G431,Exercícios!$B$7:$B$206,0)),"")</f>
        <v/>
      </c>
      <c r="J431" s="19" t="str">
        <f aca="false">IFERROR(INDEX(Exercícios!$E$7:$E$206,MATCH($G431,Exercícios!$B$7:$B$206,0)),"")</f>
        <v/>
      </c>
      <c r="K431" s="22"/>
      <c r="L431" s="22"/>
      <c r="M431" s="20"/>
      <c r="N431" s="22"/>
      <c r="O431" s="22"/>
      <c r="P431" s="22"/>
      <c r="Q431" s="19" t="n">
        <f aca="false">IFERROR($K431*$L431,"")</f>
        <v>0</v>
      </c>
      <c r="R431" s="48" t="n">
        <f aca="false">IF(OR($O431="",$P431=""),0,$O431*$P431)</f>
        <v>0</v>
      </c>
      <c r="S431" s="20"/>
      <c r="T431" s="20"/>
      <c r="U431" s="33" t="n">
        <f aca="false">IF($A431="",0,IF(AND(OR($E431=Atleta!$C$4,$E431="Equipe (todos)"),$A431&gt;=Atleta!$C$5),MAX($U$7:U430)+1,0))</f>
        <v>0</v>
      </c>
    </row>
    <row r="432" customFormat="false" ht="15" hidden="false" customHeight="false" outlineLevel="0" collapsed="false">
      <c r="A432" s="21"/>
      <c r="B432" s="33" t="n">
        <f aca="false">IF($A432="",0,INT(($A432-Macrociclo!$C$11)/7)+1)</f>
        <v>0</v>
      </c>
      <c r="C432" s="22"/>
      <c r="D432" s="22"/>
      <c r="E432" s="20"/>
      <c r="F432" s="22"/>
      <c r="G432" s="20"/>
      <c r="H432" s="19" t="str">
        <f aca="false">IFERROR(INDEX(Exercícios!$C$7:$C$206,MATCH($G432,Exercícios!$B$7:$B$206,0)),"")</f>
        <v/>
      </c>
      <c r="I432" s="19" t="str">
        <f aca="false">IFERROR(INDEX(Exercícios!$D$7:$D$206,MATCH($G432,Exercícios!$B$7:$B$206,0)),"")</f>
        <v/>
      </c>
      <c r="J432" s="19" t="str">
        <f aca="false">IFERROR(INDEX(Exercícios!$E$7:$E$206,MATCH($G432,Exercícios!$B$7:$B$206,0)),"")</f>
        <v/>
      </c>
      <c r="K432" s="22"/>
      <c r="L432" s="22"/>
      <c r="M432" s="20"/>
      <c r="N432" s="22"/>
      <c r="O432" s="22"/>
      <c r="P432" s="22"/>
      <c r="Q432" s="19" t="n">
        <f aca="false">IFERROR($K432*$L432,"")</f>
        <v>0</v>
      </c>
      <c r="R432" s="48" t="n">
        <f aca="false">IF(OR($O432="",$P432=""),0,$O432*$P432)</f>
        <v>0</v>
      </c>
      <c r="S432" s="20"/>
      <c r="T432" s="20"/>
      <c r="U432" s="33" t="n">
        <f aca="false">IF($A432="",0,IF(AND(OR($E432=Atleta!$C$4,$E432="Equipe (todos)"),$A432&gt;=Atleta!$C$5),MAX($U$7:U431)+1,0))</f>
        <v>0</v>
      </c>
    </row>
    <row r="433" customFormat="false" ht="15" hidden="false" customHeight="false" outlineLevel="0" collapsed="false">
      <c r="A433" s="21"/>
      <c r="B433" s="33" t="n">
        <f aca="false">IF($A433="",0,INT(($A433-Macrociclo!$C$11)/7)+1)</f>
        <v>0</v>
      </c>
      <c r="C433" s="22"/>
      <c r="D433" s="22"/>
      <c r="E433" s="20"/>
      <c r="F433" s="22"/>
      <c r="G433" s="20"/>
      <c r="H433" s="19" t="str">
        <f aca="false">IFERROR(INDEX(Exercícios!$C$7:$C$206,MATCH($G433,Exercícios!$B$7:$B$206,0)),"")</f>
        <v/>
      </c>
      <c r="I433" s="19" t="str">
        <f aca="false">IFERROR(INDEX(Exercícios!$D$7:$D$206,MATCH($G433,Exercícios!$B$7:$B$206,0)),"")</f>
        <v/>
      </c>
      <c r="J433" s="19" t="str">
        <f aca="false">IFERROR(INDEX(Exercícios!$E$7:$E$206,MATCH($G433,Exercícios!$B$7:$B$206,0)),"")</f>
        <v/>
      </c>
      <c r="K433" s="22"/>
      <c r="L433" s="22"/>
      <c r="M433" s="20"/>
      <c r="N433" s="22"/>
      <c r="O433" s="22"/>
      <c r="P433" s="22"/>
      <c r="Q433" s="19" t="n">
        <f aca="false">IFERROR($K433*$L433,"")</f>
        <v>0</v>
      </c>
      <c r="R433" s="48" t="n">
        <f aca="false">IF(OR($O433="",$P433=""),0,$O433*$P433)</f>
        <v>0</v>
      </c>
      <c r="S433" s="20"/>
      <c r="T433" s="20"/>
      <c r="U433" s="33" t="n">
        <f aca="false">IF($A433="",0,IF(AND(OR($E433=Atleta!$C$4,$E433="Equipe (todos)"),$A433&gt;=Atleta!$C$5),MAX($U$7:U432)+1,0))</f>
        <v>0</v>
      </c>
    </row>
    <row r="434" customFormat="false" ht="15" hidden="false" customHeight="false" outlineLevel="0" collapsed="false">
      <c r="A434" s="21"/>
      <c r="B434" s="33" t="n">
        <f aca="false">IF($A434="",0,INT(($A434-Macrociclo!$C$11)/7)+1)</f>
        <v>0</v>
      </c>
      <c r="C434" s="22"/>
      <c r="D434" s="22"/>
      <c r="E434" s="20"/>
      <c r="F434" s="22"/>
      <c r="G434" s="20"/>
      <c r="H434" s="19" t="str">
        <f aca="false">IFERROR(INDEX(Exercícios!$C$7:$C$206,MATCH($G434,Exercícios!$B$7:$B$206,0)),"")</f>
        <v/>
      </c>
      <c r="I434" s="19" t="str">
        <f aca="false">IFERROR(INDEX(Exercícios!$D$7:$D$206,MATCH($G434,Exercícios!$B$7:$B$206,0)),"")</f>
        <v/>
      </c>
      <c r="J434" s="19" t="str">
        <f aca="false">IFERROR(INDEX(Exercícios!$E$7:$E$206,MATCH($G434,Exercícios!$B$7:$B$206,0)),"")</f>
        <v/>
      </c>
      <c r="K434" s="22"/>
      <c r="L434" s="22"/>
      <c r="M434" s="20"/>
      <c r="N434" s="22"/>
      <c r="O434" s="22"/>
      <c r="P434" s="22"/>
      <c r="Q434" s="19" t="n">
        <f aca="false">IFERROR($K434*$L434,"")</f>
        <v>0</v>
      </c>
      <c r="R434" s="48" t="n">
        <f aca="false">IF(OR($O434="",$P434=""),0,$O434*$P434)</f>
        <v>0</v>
      </c>
      <c r="S434" s="20"/>
      <c r="T434" s="20"/>
      <c r="U434" s="33" t="n">
        <f aca="false">IF($A434="",0,IF(AND(OR($E434=Atleta!$C$4,$E434="Equipe (todos)"),$A434&gt;=Atleta!$C$5),MAX($U$7:U433)+1,0))</f>
        <v>0</v>
      </c>
    </row>
    <row r="435" customFormat="false" ht="15" hidden="false" customHeight="false" outlineLevel="0" collapsed="false">
      <c r="A435" s="21"/>
      <c r="B435" s="33" t="n">
        <f aca="false">IF($A435="",0,INT(($A435-Macrociclo!$C$11)/7)+1)</f>
        <v>0</v>
      </c>
      <c r="C435" s="22"/>
      <c r="D435" s="22"/>
      <c r="E435" s="20"/>
      <c r="F435" s="22"/>
      <c r="G435" s="20"/>
      <c r="H435" s="19" t="str">
        <f aca="false">IFERROR(INDEX(Exercícios!$C$7:$C$206,MATCH($G435,Exercícios!$B$7:$B$206,0)),"")</f>
        <v/>
      </c>
      <c r="I435" s="19" t="str">
        <f aca="false">IFERROR(INDEX(Exercícios!$D$7:$D$206,MATCH($G435,Exercícios!$B$7:$B$206,0)),"")</f>
        <v/>
      </c>
      <c r="J435" s="19" t="str">
        <f aca="false">IFERROR(INDEX(Exercícios!$E$7:$E$206,MATCH($G435,Exercícios!$B$7:$B$206,0)),"")</f>
        <v/>
      </c>
      <c r="K435" s="22"/>
      <c r="L435" s="22"/>
      <c r="M435" s="20"/>
      <c r="N435" s="22"/>
      <c r="O435" s="22"/>
      <c r="P435" s="22"/>
      <c r="Q435" s="19" t="n">
        <f aca="false">IFERROR($K435*$L435,"")</f>
        <v>0</v>
      </c>
      <c r="R435" s="48" t="n">
        <f aca="false">IF(OR($O435="",$P435=""),0,$O435*$P435)</f>
        <v>0</v>
      </c>
      <c r="S435" s="20"/>
      <c r="T435" s="20"/>
      <c r="U435" s="33" t="n">
        <f aca="false">IF($A435="",0,IF(AND(OR($E435=Atleta!$C$4,$E435="Equipe (todos)"),$A435&gt;=Atleta!$C$5),MAX($U$7:U434)+1,0))</f>
        <v>0</v>
      </c>
    </row>
    <row r="436" customFormat="false" ht="15" hidden="false" customHeight="false" outlineLevel="0" collapsed="false">
      <c r="A436" s="21"/>
      <c r="B436" s="33" t="n">
        <f aca="false">IF($A436="",0,INT(($A436-Macrociclo!$C$11)/7)+1)</f>
        <v>0</v>
      </c>
      <c r="C436" s="22"/>
      <c r="D436" s="22"/>
      <c r="E436" s="20"/>
      <c r="F436" s="22"/>
      <c r="G436" s="20"/>
      <c r="H436" s="19" t="str">
        <f aca="false">IFERROR(INDEX(Exercícios!$C$7:$C$206,MATCH($G436,Exercícios!$B$7:$B$206,0)),"")</f>
        <v/>
      </c>
      <c r="I436" s="19" t="str">
        <f aca="false">IFERROR(INDEX(Exercícios!$D$7:$D$206,MATCH($G436,Exercícios!$B$7:$B$206,0)),"")</f>
        <v/>
      </c>
      <c r="J436" s="19" t="str">
        <f aca="false">IFERROR(INDEX(Exercícios!$E$7:$E$206,MATCH($G436,Exercícios!$B$7:$B$206,0)),"")</f>
        <v/>
      </c>
      <c r="K436" s="22"/>
      <c r="L436" s="22"/>
      <c r="M436" s="20"/>
      <c r="N436" s="22"/>
      <c r="O436" s="22"/>
      <c r="P436" s="22"/>
      <c r="Q436" s="19" t="n">
        <f aca="false">IFERROR($K436*$L436,"")</f>
        <v>0</v>
      </c>
      <c r="R436" s="48" t="n">
        <f aca="false">IF(OR($O436="",$P436=""),0,$O436*$P436)</f>
        <v>0</v>
      </c>
      <c r="S436" s="20"/>
      <c r="T436" s="20"/>
      <c r="U436" s="33" t="n">
        <f aca="false">IF($A436="",0,IF(AND(OR($E436=Atleta!$C$4,$E436="Equipe (todos)"),$A436&gt;=Atleta!$C$5),MAX($U$7:U435)+1,0))</f>
        <v>0</v>
      </c>
    </row>
    <row r="437" customFormat="false" ht="15" hidden="false" customHeight="false" outlineLevel="0" collapsed="false">
      <c r="A437" s="21"/>
      <c r="B437" s="33" t="n">
        <f aca="false">IF($A437="",0,INT(($A437-Macrociclo!$C$11)/7)+1)</f>
        <v>0</v>
      </c>
      <c r="C437" s="22"/>
      <c r="D437" s="22"/>
      <c r="E437" s="20"/>
      <c r="F437" s="22"/>
      <c r="G437" s="20"/>
      <c r="H437" s="19" t="str">
        <f aca="false">IFERROR(INDEX(Exercícios!$C$7:$C$206,MATCH($G437,Exercícios!$B$7:$B$206,0)),"")</f>
        <v/>
      </c>
      <c r="I437" s="19" t="str">
        <f aca="false">IFERROR(INDEX(Exercícios!$D$7:$D$206,MATCH($G437,Exercícios!$B$7:$B$206,0)),"")</f>
        <v/>
      </c>
      <c r="J437" s="19" t="str">
        <f aca="false">IFERROR(INDEX(Exercícios!$E$7:$E$206,MATCH($G437,Exercícios!$B$7:$B$206,0)),"")</f>
        <v/>
      </c>
      <c r="K437" s="22"/>
      <c r="L437" s="22"/>
      <c r="M437" s="20"/>
      <c r="N437" s="22"/>
      <c r="O437" s="22"/>
      <c r="P437" s="22"/>
      <c r="Q437" s="19" t="n">
        <f aca="false">IFERROR($K437*$L437,"")</f>
        <v>0</v>
      </c>
      <c r="R437" s="48" t="n">
        <f aca="false">IF(OR($O437="",$P437=""),0,$O437*$P437)</f>
        <v>0</v>
      </c>
      <c r="S437" s="20"/>
      <c r="T437" s="20"/>
      <c r="U437" s="33" t="n">
        <f aca="false">IF($A437="",0,IF(AND(OR($E437=Atleta!$C$4,$E437="Equipe (todos)"),$A437&gt;=Atleta!$C$5),MAX($U$7:U436)+1,0))</f>
        <v>0</v>
      </c>
    </row>
    <row r="438" customFormat="false" ht="15" hidden="false" customHeight="false" outlineLevel="0" collapsed="false">
      <c r="A438" s="21"/>
      <c r="B438" s="33" t="n">
        <f aca="false">IF($A438="",0,INT(($A438-Macrociclo!$C$11)/7)+1)</f>
        <v>0</v>
      </c>
      <c r="C438" s="22"/>
      <c r="D438" s="22"/>
      <c r="E438" s="20"/>
      <c r="F438" s="22"/>
      <c r="G438" s="20"/>
      <c r="H438" s="19" t="str">
        <f aca="false">IFERROR(INDEX(Exercícios!$C$7:$C$206,MATCH($G438,Exercícios!$B$7:$B$206,0)),"")</f>
        <v/>
      </c>
      <c r="I438" s="19" t="str">
        <f aca="false">IFERROR(INDEX(Exercícios!$D$7:$D$206,MATCH($G438,Exercícios!$B$7:$B$206,0)),"")</f>
        <v/>
      </c>
      <c r="J438" s="19" t="str">
        <f aca="false">IFERROR(INDEX(Exercícios!$E$7:$E$206,MATCH($G438,Exercícios!$B$7:$B$206,0)),"")</f>
        <v/>
      </c>
      <c r="K438" s="22"/>
      <c r="L438" s="22"/>
      <c r="M438" s="20"/>
      <c r="N438" s="22"/>
      <c r="O438" s="22"/>
      <c r="P438" s="22"/>
      <c r="Q438" s="19" t="n">
        <f aca="false">IFERROR($K438*$L438,"")</f>
        <v>0</v>
      </c>
      <c r="R438" s="48" t="n">
        <f aca="false">IF(OR($O438="",$P438=""),0,$O438*$P438)</f>
        <v>0</v>
      </c>
      <c r="S438" s="20"/>
      <c r="T438" s="20"/>
      <c r="U438" s="33" t="n">
        <f aca="false">IF($A438="",0,IF(AND(OR($E438=Atleta!$C$4,$E438="Equipe (todos)"),$A438&gt;=Atleta!$C$5),MAX($U$7:U437)+1,0))</f>
        <v>0</v>
      </c>
    </row>
    <row r="439" customFormat="false" ht="15" hidden="false" customHeight="false" outlineLevel="0" collapsed="false">
      <c r="A439" s="21"/>
      <c r="B439" s="33" t="n">
        <f aca="false">IF($A439="",0,INT(($A439-Macrociclo!$C$11)/7)+1)</f>
        <v>0</v>
      </c>
      <c r="C439" s="22"/>
      <c r="D439" s="22"/>
      <c r="E439" s="20"/>
      <c r="F439" s="22"/>
      <c r="G439" s="20"/>
      <c r="H439" s="19" t="str">
        <f aca="false">IFERROR(INDEX(Exercícios!$C$7:$C$206,MATCH($G439,Exercícios!$B$7:$B$206,0)),"")</f>
        <v/>
      </c>
      <c r="I439" s="19" t="str">
        <f aca="false">IFERROR(INDEX(Exercícios!$D$7:$D$206,MATCH($G439,Exercícios!$B$7:$B$206,0)),"")</f>
        <v/>
      </c>
      <c r="J439" s="19" t="str">
        <f aca="false">IFERROR(INDEX(Exercícios!$E$7:$E$206,MATCH($G439,Exercícios!$B$7:$B$206,0)),"")</f>
        <v/>
      </c>
      <c r="K439" s="22"/>
      <c r="L439" s="22"/>
      <c r="M439" s="20"/>
      <c r="N439" s="22"/>
      <c r="O439" s="22"/>
      <c r="P439" s="22"/>
      <c r="Q439" s="19" t="n">
        <f aca="false">IFERROR($K439*$L439,"")</f>
        <v>0</v>
      </c>
      <c r="R439" s="48" t="n">
        <f aca="false">IF(OR($O439="",$P439=""),0,$O439*$P439)</f>
        <v>0</v>
      </c>
      <c r="S439" s="20"/>
      <c r="T439" s="20"/>
      <c r="U439" s="33" t="n">
        <f aca="false">IF($A439="",0,IF(AND(OR($E439=Atleta!$C$4,$E439="Equipe (todos)"),$A439&gt;=Atleta!$C$5),MAX($U$7:U438)+1,0))</f>
        <v>0</v>
      </c>
    </row>
    <row r="440" customFormat="false" ht="15" hidden="false" customHeight="false" outlineLevel="0" collapsed="false">
      <c r="A440" s="21"/>
      <c r="B440" s="33" t="n">
        <f aca="false">IF($A440="",0,INT(($A440-Macrociclo!$C$11)/7)+1)</f>
        <v>0</v>
      </c>
      <c r="C440" s="22"/>
      <c r="D440" s="22"/>
      <c r="E440" s="20"/>
      <c r="F440" s="22"/>
      <c r="G440" s="20"/>
      <c r="H440" s="19" t="str">
        <f aca="false">IFERROR(INDEX(Exercícios!$C$7:$C$206,MATCH($G440,Exercícios!$B$7:$B$206,0)),"")</f>
        <v/>
      </c>
      <c r="I440" s="19" t="str">
        <f aca="false">IFERROR(INDEX(Exercícios!$D$7:$D$206,MATCH($G440,Exercícios!$B$7:$B$206,0)),"")</f>
        <v/>
      </c>
      <c r="J440" s="19" t="str">
        <f aca="false">IFERROR(INDEX(Exercícios!$E$7:$E$206,MATCH($G440,Exercícios!$B$7:$B$206,0)),"")</f>
        <v/>
      </c>
      <c r="K440" s="22"/>
      <c r="L440" s="22"/>
      <c r="M440" s="20"/>
      <c r="N440" s="22"/>
      <c r="O440" s="22"/>
      <c r="P440" s="22"/>
      <c r="Q440" s="19" t="n">
        <f aca="false">IFERROR($K440*$L440,"")</f>
        <v>0</v>
      </c>
      <c r="R440" s="48" t="n">
        <f aca="false">IF(OR($O440="",$P440=""),0,$O440*$P440)</f>
        <v>0</v>
      </c>
      <c r="S440" s="20"/>
      <c r="T440" s="20"/>
      <c r="U440" s="33" t="n">
        <f aca="false">IF($A440="",0,IF(AND(OR($E440=Atleta!$C$4,$E440="Equipe (todos)"),$A440&gt;=Atleta!$C$5),MAX($U$7:U439)+1,0))</f>
        <v>0</v>
      </c>
    </row>
    <row r="441" customFormat="false" ht="15" hidden="false" customHeight="false" outlineLevel="0" collapsed="false">
      <c r="A441" s="21"/>
      <c r="B441" s="33" t="n">
        <f aca="false">IF($A441="",0,INT(($A441-Macrociclo!$C$11)/7)+1)</f>
        <v>0</v>
      </c>
      <c r="C441" s="22"/>
      <c r="D441" s="22"/>
      <c r="E441" s="20"/>
      <c r="F441" s="22"/>
      <c r="G441" s="20"/>
      <c r="H441" s="19" t="str">
        <f aca="false">IFERROR(INDEX(Exercícios!$C$7:$C$206,MATCH($G441,Exercícios!$B$7:$B$206,0)),"")</f>
        <v/>
      </c>
      <c r="I441" s="19" t="str">
        <f aca="false">IFERROR(INDEX(Exercícios!$D$7:$D$206,MATCH($G441,Exercícios!$B$7:$B$206,0)),"")</f>
        <v/>
      </c>
      <c r="J441" s="19" t="str">
        <f aca="false">IFERROR(INDEX(Exercícios!$E$7:$E$206,MATCH($G441,Exercícios!$B$7:$B$206,0)),"")</f>
        <v/>
      </c>
      <c r="K441" s="22"/>
      <c r="L441" s="22"/>
      <c r="M441" s="20"/>
      <c r="N441" s="22"/>
      <c r="O441" s="22"/>
      <c r="P441" s="22"/>
      <c r="Q441" s="19" t="n">
        <f aca="false">IFERROR($K441*$L441,"")</f>
        <v>0</v>
      </c>
      <c r="R441" s="48" t="n">
        <f aca="false">IF(OR($O441="",$P441=""),0,$O441*$P441)</f>
        <v>0</v>
      </c>
      <c r="S441" s="20"/>
      <c r="T441" s="20"/>
      <c r="U441" s="33" t="n">
        <f aca="false">IF($A441="",0,IF(AND(OR($E441=Atleta!$C$4,$E441="Equipe (todos)"),$A441&gt;=Atleta!$C$5),MAX($U$7:U440)+1,0))</f>
        <v>0</v>
      </c>
    </row>
    <row r="442" customFormat="false" ht="15" hidden="false" customHeight="false" outlineLevel="0" collapsed="false">
      <c r="A442" s="21"/>
      <c r="B442" s="33" t="n">
        <f aca="false">IF($A442="",0,INT(($A442-Macrociclo!$C$11)/7)+1)</f>
        <v>0</v>
      </c>
      <c r="C442" s="22"/>
      <c r="D442" s="22"/>
      <c r="E442" s="20"/>
      <c r="F442" s="22"/>
      <c r="G442" s="20"/>
      <c r="H442" s="19" t="str">
        <f aca="false">IFERROR(INDEX(Exercícios!$C$7:$C$206,MATCH($G442,Exercícios!$B$7:$B$206,0)),"")</f>
        <v/>
      </c>
      <c r="I442" s="19" t="str">
        <f aca="false">IFERROR(INDEX(Exercícios!$D$7:$D$206,MATCH($G442,Exercícios!$B$7:$B$206,0)),"")</f>
        <v/>
      </c>
      <c r="J442" s="19" t="str">
        <f aca="false">IFERROR(INDEX(Exercícios!$E$7:$E$206,MATCH($G442,Exercícios!$B$7:$B$206,0)),"")</f>
        <v/>
      </c>
      <c r="K442" s="22"/>
      <c r="L442" s="22"/>
      <c r="M442" s="20"/>
      <c r="N442" s="22"/>
      <c r="O442" s="22"/>
      <c r="P442" s="22"/>
      <c r="Q442" s="19" t="n">
        <f aca="false">IFERROR($K442*$L442,"")</f>
        <v>0</v>
      </c>
      <c r="R442" s="48" t="n">
        <f aca="false">IF(OR($O442="",$P442=""),0,$O442*$P442)</f>
        <v>0</v>
      </c>
      <c r="S442" s="20"/>
      <c r="T442" s="20"/>
      <c r="U442" s="33" t="n">
        <f aca="false">IF($A442="",0,IF(AND(OR($E442=Atleta!$C$4,$E442="Equipe (todos)"),$A442&gt;=Atleta!$C$5),MAX($U$7:U441)+1,0))</f>
        <v>0</v>
      </c>
    </row>
    <row r="443" customFormat="false" ht="15" hidden="false" customHeight="false" outlineLevel="0" collapsed="false">
      <c r="A443" s="21"/>
      <c r="B443" s="33" t="n">
        <f aca="false">IF($A443="",0,INT(($A443-Macrociclo!$C$11)/7)+1)</f>
        <v>0</v>
      </c>
      <c r="C443" s="22"/>
      <c r="D443" s="22"/>
      <c r="E443" s="20"/>
      <c r="F443" s="22"/>
      <c r="G443" s="20"/>
      <c r="H443" s="19" t="str">
        <f aca="false">IFERROR(INDEX(Exercícios!$C$7:$C$206,MATCH($G443,Exercícios!$B$7:$B$206,0)),"")</f>
        <v/>
      </c>
      <c r="I443" s="19" t="str">
        <f aca="false">IFERROR(INDEX(Exercícios!$D$7:$D$206,MATCH($G443,Exercícios!$B$7:$B$206,0)),"")</f>
        <v/>
      </c>
      <c r="J443" s="19" t="str">
        <f aca="false">IFERROR(INDEX(Exercícios!$E$7:$E$206,MATCH($G443,Exercícios!$B$7:$B$206,0)),"")</f>
        <v/>
      </c>
      <c r="K443" s="22"/>
      <c r="L443" s="22"/>
      <c r="M443" s="20"/>
      <c r="N443" s="22"/>
      <c r="O443" s="22"/>
      <c r="P443" s="22"/>
      <c r="Q443" s="19" t="n">
        <f aca="false">IFERROR($K443*$L443,"")</f>
        <v>0</v>
      </c>
      <c r="R443" s="48" t="n">
        <f aca="false">IF(OR($O443="",$P443=""),0,$O443*$P443)</f>
        <v>0</v>
      </c>
      <c r="S443" s="20"/>
      <c r="T443" s="20"/>
      <c r="U443" s="33" t="n">
        <f aca="false">IF($A443="",0,IF(AND(OR($E443=Atleta!$C$4,$E443="Equipe (todos)"),$A443&gt;=Atleta!$C$5),MAX($U$7:U442)+1,0))</f>
        <v>0</v>
      </c>
    </row>
    <row r="444" customFormat="false" ht="15" hidden="false" customHeight="false" outlineLevel="0" collapsed="false">
      <c r="A444" s="21"/>
      <c r="B444" s="33" t="n">
        <f aca="false">IF($A444="",0,INT(($A444-Macrociclo!$C$11)/7)+1)</f>
        <v>0</v>
      </c>
      <c r="C444" s="22"/>
      <c r="D444" s="22"/>
      <c r="E444" s="20"/>
      <c r="F444" s="22"/>
      <c r="G444" s="20"/>
      <c r="H444" s="19" t="str">
        <f aca="false">IFERROR(INDEX(Exercícios!$C$7:$C$206,MATCH($G444,Exercícios!$B$7:$B$206,0)),"")</f>
        <v/>
      </c>
      <c r="I444" s="19" t="str">
        <f aca="false">IFERROR(INDEX(Exercícios!$D$7:$D$206,MATCH($G444,Exercícios!$B$7:$B$206,0)),"")</f>
        <v/>
      </c>
      <c r="J444" s="19" t="str">
        <f aca="false">IFERROR(INDEX(Exercícios!$E$7:$E$206,MATCH($G444,Exercícios!$B$7:$B$206,0)),"")</f>
        <v/>
      </c>
      <c r="K444" s="22"/>
      <c r="L444" s="22"/>
      <c r="M444" s="20"/>
      <c r="N444" s="22"/>
      <c r="O444" s="22"/>
      <c r="P444" s="22"/>
      <c r="Q444" s="19" t="n">
        <f aca="false">IFERROR($K444*$L444,"")</f>
        <v>0</v>
      </c>
      <c r="R444" s="48" t="n">
        <f aca="false">IF(OR($O444="",$P444=""),0,$O444*$P444)</f>
        <v>0</v>
      </c>
      <c r="S444" s="20"/>
      <c r="T444" s="20"/>
      <c r="U444" s="33" t="n">
        <f aca="false">IF($A444="",0,IF(AND(OR($E444=Atleta!$C$4,$E444="Equipe (todos)"),$A444&gt;=Atleta!$C$5),MAX($U$7:U443)+1,0))</f>
        <v>0</v>
      </c>
    </row>
    <row r="445" customFormat="false" ht="15" hidden="false" customHeight="false" outlineLevel="0" collapsed="false">
      <c r="A445" s="21"/>
      <c r="B445" s="33" t="n">
        <f aca="false">IF($A445="",0,INT(($A445-Macrociclo!$C$11)/7)+1)</f>
        <v>0</v>
      </c>
      <c r="C445" s="22"/>
      <c r="D445" s="22"/>
      <c r="E445" s="20"/>
      <c r="F445" s="22"/>
      <c r="G445" s="20"/>
      <c r="H445" s="19" t="str">
        <f aca="false">IFERROR(INDEX(Exercícios!$C$7:$C$206,MATCH($G445,Exercícios!$B$7:$B$206,0)),"")</f>
        <v/>
      </c>
      <c r="I445" s="19" t="str">
        <f aca="false">IFERROR(INDEX(Exercícios!$D$7:$D$206,MATCH($G445,Exercícios!$B$7:$B$206,0)),"")</f>
        <v/>
      </c>
      <c r="J445" s="19" t="str">
        <f aca="false">IFERROR(INDEX(Exercícios!$E$7:$E$206,MATCH($G445,Exercícios!$B$7:$B$206,0)),"")</f>
        <v/>
      </c>
      <c r="K445" s="22"/>
      <c r="L445" s="22"/>
      <c r="M445" s="20"/>
      <c r="N445" s="22"/>
      <c r="O445" s="22"/>
      <c r="P445" s="22"/>
      <c r="Q445" s="19" t="n">
        <f aca="false">IFERROR($K445*$L445,"")</f>
        <v>0</v>
      </c>
      <c r="R445" s="48" t="n">
        <f aca="false">IF(OR($O445="",$P445=""),0,$O445*$P445)</f>
        <v>0</v>
      </c>
      <c r="S445" s="20"/>
      <c r="T445" s="20"/>
      <c r="U445" s="33" t="n">
        <f aca="false">IF($A445="",0,IF(AND(OR($E445=Atleta!$C$4,$E445="Equipe (todos)"),$A445&gt;=Atleta!$C$5),MAX($U$7:U444)+1,0))</f>
        <v>0</v>
      </c>
    </row>
    <row r="446" customFormat="false" ht="15" hidden="false" customHeight="false" outlineLevel="0" collapsed="false">
      <c r="A446" s="21"/>
      <c r="B446" s="33" t="n">
        <f aca="false">IF($A446="",0,INT(($A446-Macrociclo!$C$11)/7)+1)</f>
        <v>0</v>
      </c>
      <c r="C446" s="22"/>
      <c r="D446" s="22"/>
      <c r="E446" s="20"/>
      <c r="F446" s="22"/>
      <c r="G446" s="20"/>
      <c r="H446" s="19" t="str">
        <f aca="false">IFERROR(INDEX(Exercícios!$C$7:$C$206,MATCH($G446,Exercícios!$B$7:$B$206,0)),"")</f>
        <v/>
      </c>
      <c r="I446" s="19" t="str">
        <f aca="false">IFERROR(INDEX(Exercícios!$D$7:$D$206,MATCH($G446,Exercícios!$B$7:$B$206,0)),"")</f>
        <v/>
      </c>
      <c r="J446" s="19" t="str">
        <f aca="false">IFERROR(INDEX(Exercícios!$E$7:$E$206,MATCH($G446,Exercícios!$B$7:$B$206,0)),"")</f>
        <v/>
      </c>
      <c r="K446" s="22"/>
      <c r="L446" s="22"/>
      <c r="M446" s="20"/>
      <c r="N446" s="22"/>
      <c r="O446" s="22"/>
      <c r="P446" s="22"/>
      <c r="Q446" s="19" t="n">
        <f aca="false">IFERROR($K446*$L446,"")</f>
        <v>0</v>
      </c>
      <c r="R446" s="48" t="n">
        <f aca="false">IF(OR($O446="",$P446=""),0,$O446*$P446)</f>
        <v>0</v>
      </c>
      <c r="S446" s="20"/>
      <c r="T446" s="20"/>
      <c r="U446" s="33" t="n">
        <f aca="false">IF($A446="",0,IF(AND(OR($E446=Atleta!$C$4,$E446="Equipe (todos)"),$A446&gt;=Atleta!$C$5),MAX($U$7:U445)+1,0))</f>
        <v>0</v>
      </c>
    </row>
    <row r="447" customFormat="false" ht="15" hidden="false" customHeight="false" outlineLevel="0" collapsed="false">
      <c r="A447" s="21"/>
      <c r="B447" s="33" t="n">
        <f aca="false">IF($A447="",0,INT(($A447-Macrociclo!$C$11)/7)+1)</f>
        <v>0</v>
      </c>
      <c r="C447" s="22"/>
      <c r="D447" s="22"/>
      <c r="E447" s="20"/>
      <c r="F447" s="22"/>
      <c r="G447" s="20"/>
      <c r="H447" s="19" t="str">
        <f aca="false">IFERROR(INDEX(Exercícios!$C$7:$C$206,MATCH($G447,Exercícios!$B$7:$B$206,0)),"")</f>
        <v/>
      </c>
      <c r="I447" s="19" t="str">
        <f aca="false">IFERROR(INDEX(Exercícios!$D$7:$D$206,MATCH($G447,Exercícios!$B$7:$B$206,0)),"")</f>
        <v/>
      </c>
      <c r="J447" s="19" t="str">
        <f aca="false">IFERROR(INDEX(Exercícios!$E$7:$E$206,MATCH($G447,Exercícios!$B$7:$B$206,0)),"")</f>
        <v/>
      </c>
      <c r="K447" s="22"/>
      <c r="L447" s="22"/>
      <c r="M447" s="20"/>
      <c r="N447" s="22"/>
      <c r="O447" s="22"/>
      <c r="P447" s="22"/>
      <c r="Q447" s="19" t="n">
        <f aca="false">IFERROR($K447*$L447,"")</f>
        <v>0</v>
      </c>
      <c r="R447" s="48" t="n">
        <f aca="false">IF(OR($O447="",$P447=""),0,$O447*$P447)</f>
        <v>0</v>
      </c>
      <c r="S447" s="20"/>
      <c r="T447" s="20"/>
      <c r="U447" s="33" t="n">
        <f aca="false">IF($A447="",0,IF(AND(OR($E447=Atleta!$C$4,$E447="Equipe (todos)"),$A447&gt;=Atleta!$C$5),MAX($U$7:U446)+1,0))</f>
        <v>0</v>
      </c>
    </row>
    <row r="448" customFormat="false" ht="15" hidden="false" customHeight="false" outlineLevel="0" collapsed="false">
      <c r="A448" s="21"/>
      <c r="B448" s="33" t="n">
        <f aca="false">IF($A448="",0,INT(($A448-Macrociclo!$C$11)/7)+1)</f>
        <v>0</v>
      </c>
      <c r="C448" s="22"/>
      <c r="D448" s="22"/>
      <c r="E448" s="20"/>
      <c r="F448" s="22"/>
      <c r="G448" s="20"/>
      <c r="H448" s="19" t="str">
        <f aca="false">IFERROR(INDEX(Exercícios!$C$7:$C$206,MATCH($G448,Exercícios!$B$7:$B$206,0)),"")</f>
        <v/>
      </c>
      <c r="I448" s="19" t="str">
        <f aca="false">IFERROR(INDEX(Exercícios!$D$7:$D$206,MATCH($G448,Exercícios!$B$7:$B$206,0)),"")</f>
        <v/>
      </c>
      <c r="J448" s="19" t="str">
        <f aca="false">IFERROR(INDEX(Exercícios!$E$7:$E$206,MATCH($G448,Exercícios!$B$7:$B$206,0)),"")</f>
        <v/>
      </c>
      <c r="K448" s="22"/>
      <c r="L448" s="22"/>
      <c r="M448" s="20"/>
      <c r="N448" s="22"/>
      <c r="O448" s="22"/>
      <c r="P448" s="22"/>
      <c r="Q448" s="19" t="n">
        <f aca="false">IFERROR($K448*$L448,"")</f>
        <v>0</v>
      </c>
      <c r="R448" s="48" t="n">
        <f aca="false">IF(OR($O448="",$P448=""),0,$O448*$P448)</f>
        <v>0</v>
      </c>
      <c r="S448" s="20"/>
      <c r="T448" s="20"/>
      <c r="U448" s="33" t="n">
        <f aca="false">IF($A448="",0,IF(AND(OR($E448=Atleta!$C$4,$E448="Equipe (todos)"),$A448&gt;=Atleta!$C$5),MAX($U$7:U447)+1,0))</f>
        <v>0</v>
      </c>
    </row>
    <row r="449" customFormat="false" ht="15" hidden="false" customHeight="false" outlineLevel="0" collapsed="false">
      <c r="A449" s="21"/>
      <c r="B449" s="33" t="n">
        <f aca="false">IF($A449="",0,INT(($A449-Macrociclo!$C$11)/7)+1)</f>
        <v>0</v>
      </c>
      <c r="C449" s="22"/>
      <c r="D449" s="22"/>
      <c r="E449" s="20"/>
      <c r="F449" s="22"/>
      <c r="G449" s="20"/>
      <c r="H449" s="19" t="str">
        <f aca="false">IFERROR(INDEX(Exercícios!$C$7:$C$206,MATCH($G449,Exercícios!$B$7:$B$206,0)),"")</f>
        <v/>
      </c>
      <c r="I449" s="19" t="str">
        <f aca="false">IFERROR(INDEX(Exercícios!$D$7:$D$206,MATCH($G449,Exercícios!$B$7:$B$206,0)),"")</f>
        <v/>
      </c>
      <c r="J449" s="19" t="str">
        <f aca="false">IFERROR(INDEX(Exercícios!$E$7:$E$206,MATCH($G449,Exercícios!$B$7:$B$206,0)),"")</f>
        <v/>
      </c>
      <c r="K449" s="22"/>
      <c r="L449" s="22"/>
      <c r="M449" s="20"/>
      <c r="N449" s="22"/>
      <c r="O449" s="22"/>
      <c r="P449" s="22"/>
      <c r="Q449" s="19" t="n">
        <f aca="false">IFERROR($K449*$L449,"")</f>
        <v>0</v>
      </c>
      <c r="R449" s="48" t="n">
        <f aca="false">IF(OR($O449="",$P449=""),0,$O449*$P449)</f>
        <v>0</v>
      </c>
      <c r="S449" s="20"/>
      <c r="T449" s="20"/>
      <c r="U449" s="33" t="n">
        <f aca="false">IF($A449="",0,IF(AND(OR($E449=Atleta!$C$4,$E449="Equipe (todos)"),$A449&gt;=Atleta!$C$5),MAX($U$7:U448)+1,0))</f>
        <v>0</v>
      </c>
    </row>
    <row r="450" customFormat="false" ht="15" hidden="false" customHeight="false" outlineLevel="0" collapsed="false">
      <c r="A450" s="21"/>
      <c r="B450" s="33" t="n">
        <f aca="false">IF($A450="",0,INT(($A450-Macrociclo!$C$11)/7)+1)</f>
        <v>0</v>
      </c>
      <c r="C450" s="22"/>
      <c r="D450" s="22"/>
      <c r="E450" s="20"/>
      <c r="F450" s="22"/>
      <c r="G450" s="20"/>
      <c r="H450" s="19" t="str">
        <f aca="false">IFERROR(INDEX(Exercícios!$C$7:$C$206,MATCH($G450,Exercícios!$B$7:$B$206,0)),"")</f>
        <v/>
      </c>
      <c r="I450" s="19" t="str">
        <f aca="false">IFERROR(INDEX(Exercícios!$D$7:$D$206,MATCH($G450,Exercícios!$B$7:$B$206,0)),"")</f>
        <v/>
      </c>
      <c r="J450" s="19" t="str">
        <f aca="false">IFERROR(INDEX(Exercícios!$E$7:$E$206,MATCH($G450,Exercícios!$B$7:$B$206,0)),"")</f>
        <v/>
      </c>
      <c r="K450" s="22"/>
      <c r="L450" s="22"/>
      <c r="M450" s="20"/>
      <c r="N450" s="22"/>
      <c r="O450" s="22"/>
      <c r="P450" s="22"/>
      <c r="Q450" s="19" t="n">
        <f aca="false">IFERROR($K450*$L450,"")</f>
        <v>0</v>
      </c>
      <c r="R450" s="48" t="n">
        <f aca="false">IF(OR($O450="",$P450=""),0,$O450*$P450)</f>
        <v>0</v>
      </c>
      <c r="S450" s="20"/>
      <c r="T450" s="20"/>
      <c r="U450" s="33" t="n">
        <f aca="false">IF($A450="",0,IF(AND(OR($E450=Atleta!$C$4,$E450="Equipe (todos)"),$A450&gt;=Atleta!$C$5),MAX($U$7:U449)+1,0))</f>
        <v>0</v>
      </c>
    </row>
    <row r="451" customFormat="false" ht="15" hidden="false" customHeight="false" outlineLevel="0" collapsed="false">
      <c r="A451" s="21"/>
      <c r="B451" s="33" t="n">
        <f aca="false">IF($A451="",0,INT(($A451-Macrociclo!$C$11)/7)+1)</f>
        <v>0</v>
      </c>
      <c r="C451" s="22"/>
      <c r="D451" s="22"/>
      <c r="E451" s="20"/>
      <c r="F451" s="22"/>
      <c r="G451" s="20"/>
      <c r="H451" s="19" t="str">
        <f aca="false">IFERROR(INDEX(Exercícios!$C$7:$C$206,MATCH($G451,Exercícios!$B$7:$B$206,0)),"")</f>
        <v/>
      </c>
      <c r="I451" s="19" t="str">
        <f aca="false">IFERROR(INDEX(Exercícios!$D$7:$D$206,MATCH($G451,Exercícios!$B$7:$B$206,0)),"")</f>
        <v/>
      </c>
      <c r="J451" s="19" t="str">
        <f aca="false">IFERROR(INDEX(Exercícios!$E$7:$E$206,MATCH($G451,Exercícios!$B$7:$B$206,0)),"")</f>
        <v/>
      </c>
      <c r="K451" s="22"/>
      <c r="L451" s="22"/>
      <c r="M451" s="20"/>
      <c r="N451" s="22"/>
      <c r="O451" s="22"/>
      <c r="P451" s="22"/>
      <c r="Q451" s="19" t="n">
        <f aca="false">IFERROR($K451*$L451,"")</f>
        <v>0</v>
      </c>
      <c r="R451" s="48" t="n">
        <f aca="false">IF(OR($O451="",$P451=""),0,$O451*$P451)</f>
        <v>0</v>
      </c>
      <c r="S451" s="20"/>
      <c r="T451" s="20"/>
      <c r="U451" s="33" t="n">
        <f aca="false">IF($A451="",0,IF(AND(OR($E451=Atleta!$C$4,$E451="Equipe (todos)"),$A451&gt;=Atleta!$C$5),MAX($U$7:U450)+1,0))</f>
        <v>0</v>
      </c>
    </row>
    <row r="452" customFormat="false" ht="15" hidden="false" customHeight="false" outlineLevel="0" collapsed="false">
      <c r="A452" s="21"/>
      <c r="B452" s="33" t="n">
        <f aca="false">IF($A452="",0,INT(($A452-Macrociclo!$C$11)/7)+1)</f>
        <v>0</v>
      </c>
      <c r="C452" s="22"/>
      <c r="D452" s="22"/>
      <c r="E452" s="20"/>
      <c r="F452" s="22"/>
      <c r="G452" s="20"/>
      <c r="H452" s="19" t="str">
        <f aca="false">IFERROR(INDEX(Exercícios!$C$7:$C$206,MATCH($G452,Exercícios!$B$7:$B$206,0)),"")</f>
        <v/>
      </c>
      <c r="I452" s="19" t="str">
        <f aca="false">IFERROR(INDEX(Exercícios!$D$7:$D$206,MATCH($G452,Exercícios!$B$7:$B$206,0)),"")</f>
        <v/>
      </c>
      <c r="J452" s="19" t="str">
        <f aca="false">IFERROR(INDEX(Exercícios!$E$7:$E$206,MATCH($G452,Exercícios!$B$7:$B$206,0)),"")</f>
        <v/>
      </c>
      <c r="K452" s="22"/>
      <c r="L452" s="22"/>
      <c r="M452" s="20"/>
      <c r="N452" s="22"/>
      <c r="O452" s="22"/>
      <c r="P452" s="22"/>
      <c r="Q452" s="19" t="n">
        <f aca="false">IFERROR($K452*$L452,"")</f>
        <v>0</v>
      </c>
      <c r="R452" s="48" t="n">
        <f aca="false">IF(OR($O452="",$P452=""),0,$O452*$P452)</f>
        <v>0</v>
      </c>
      <c r="S452" s="20"/>
      <c r="T452" s="20"/>
      <c r="U452" s="33" t="n">
        <f aca="false">IF($A452="",0,IF(AND(OR($E452=Atleta!$C$4,$E452="Equipe (todos)"),$A452&gt;=Atleta!$C$5),MAX($U$7:U451)+1,0))</f>
        <v>0</v>
      </c>
    </row>
    <row r="453" customFormat="false" ht="15" hidden="false" customHeight="false" outlineLevel="0" collapsed="false">
      <c r="A453" s="21"/>
      <c r="B453" s="33" t="n">
        <f aca="false">IF($A453="",0,INT(($A453-Macrociclo!$C$11)/7)+1)</f>
        <v>0</v>
      </c>
      <c r="C453" s="22"/>
      <c r="D453" s="22"/>
      <c r="E453" s="20"/>
      <c r="F453" s="22"/>
      <c r="G453" s="20"/>
      <c r="H453" s="19" t="str">
        <f aca="false">IFERROR(INDEX(Exercícios!$C$7:$C$206,MATCH($G453,Exercícios!$B$7:$B$206,0)),"")</f>
        <v/>
      </c>
      <c r="I453" s="19" t="str">
        <f aca="false">IFERROR(INDEX(Exercícios!$D$7:$D$206,MATCH($G453,Exercícios!$B$7:$B$206,0)),"")</f>
        <v/>
      </c>
      <c r="J453" s="19" t="str">
        <f aca="false">IFERROR(INDEX(Exercícios!$E$7:$E$206,MATCH($G453,Exercícios!$B$7:$B$206,0)),"")</f>
        <v/>
      </c>
      <c r="K453" s="22"/>
      <c r="L453" s="22"/>
      <c r="M453" s="20"/>
      <c r="N453" s="22"/>
      <c r="O453" s="22"/>
      <c r="P453" s="22"/>
      <c r="Q453" s="19" t="n">
        <f aca="false">IFERROR($K453*$L453,"")</f>
        <v>0</v>
      </c>
      <c r="R453" s="48" t="n">
        <f aca="false">IF(OR($O453="",$P453=""),0,$O453*$P453)</f>
        <v>0</v>
      </c>
      <c r="S453" s="20"/>
      <c r="T453" s="20"/>
      <c r="U453" s="33" t="n">
        <f aca="false">IF($A453="",0,IF(AND(OR($E453=Atleta!$C$4,$E453="Equipe (todos)"),$A453&gt;=Atleta!$C$5),MAX($U$7:U452)+1,0))</f>
        <v>0</v>
      </c>
    </row>
    <row r="454" customFormat="false" ht="15" hidden="false" customHeight="false" outlineLevel="0" collapsed="false">
      <c r="A454" s="21"/>
      <c r="B454" s="33" t="n">
        <f aca="false">IF($A454="",0,INT(($A454-Macrociclo!$C$11)/7)+1)</f>
        <v>0</v>
      </c>
      <c r="C454" s="22"/>
      <c r="D454" s="22"/>
      <c r="E454" s="20"/>
      <c r="F454" s="22"/>
      <c r="G454" s="20"/>
      <c r="H454" s="19" t="str">
        <f aca="false">IFERROR(INDEX(Exercícios!$C$7:$C$206,MATCH($G454,Exercícios!$B$7:$B$206,0)),"")</f>
        <v/>
      </c>
      <c r="I454" s="19" t="str">
        <f aca="false">IFERROR(INDEX(Exercícios!$D$7:$D$206,MATCH($G454,Exercícios!$B$7:$B$206,0)),"")</f>
        <v/>
      </c>
      <c r="J454" s="19" t="str">
        <f aca="false">IFERROR(INDEX(Exercícios!$E$7:$E$206,MATCH($G454,Exercícios!$B$7:$B$206,0)),"")</f>
        <v/>
      </c>
      <c r="K454" s="22"/>
      <c r="L454" s="22"/>
      <c r="M454" s="20"/>
      <c r="N454" s="22"/>
      <c r="O454" s="22"/>
      <c r="P454" s="22"/>
      <c r="Q454" s="19" t="n">
        <f aca="false">IFERROR($K454*$L454,"")</f>
        <v>0</v>
      </c>
      <c r="R454" s="48" t="n">
        <f aca="false">IF(OR($O454="",$P454=""),0,$O454*$P454)</f>
        <v>0</v>
      </c>
      <c r="S454" s="20"/>
      <c r="T454" s="20"/>
      <c r="U454" s="33" t="n">
        <f aca="false">IF($A454="",0,IF(AND(OR($E454=Atleta!$C$4,$E454="Equipe (todos)"),$A454&gt;=Atleta!$C$5),MAX($U$7:U453)+1,0))</f>
        <v>0</v>
      </c>
    </row>
    <row r="455" customFormat="false" ht="15" hidden="false" customHeight="false" outlineLevel="0" collapsed="false">
      <c r="A455" s="21"/>
      <c r="B455" s="33" t="n">
        <f aca="false">IF($A455="",0,INT(($A455-Macrociclo!$C$11)/7)+1)</f>
        <v>0</v>
      </c>
      <c r="C455" s="22"/>
      <c r="D455" s="22"/>
      <c r="E455" s="20"/>
      <c r="F455" s="22"/>
      <c r="G455" s="20"/>
      <c r="H455" s="19" t="str">
        <f aca="false">IFERROR(INDEX(Exercícios!$C$7:$C$206,MATCH($G455,Exercícios!$B$7:$B$206,0)),"")</f>
        <v/>
      </c>
      <c r="I455" s="19" t="str">
        <f aca="false">IFERROR(INDEX(Exercícios!$D$7:$D$206,MATCH($G455,Exercícios!$B$7:$B$206,0)),"")</f>
        <v/>
      </c>
      <c r="J455" s="19" t="str">
        <f aca="false">IFERROR(INDEX(Exercícios!$E$7:$E$206,MATCH($G455,Exercícios!$B$7:$B$206,0)),"")</f>
        <v/>
      </c>
      <c r="K455" s="22"/>
      <c r="L455" s="22"/>
      <c r="M455" s="20"/>
      <c r="N455" s="22"/>
      <c r="O455" s="22"/>
      <c r="P455" s="22"/>
      <c r="Q455" s="19" t="n">
        <f aca="false">IFERROR($K455*$L455,"")</f>
        <v>0</v>
      </c>
      <c r="R455" s="48" t="n">
        <f aca="false">IF(OR($O455="",$P455=""),0,$O455*$P455)</f>
        <v>0</v>
      </c>
      <c r="S455" s="20"/>
      <c r="T455" s="20"/>
      <c r="U455" s="33" t="n">
        <f aca="false">IF($A455="",0,IF(AND(OR($E455=Atleta!$C$4,$E455="Equipe (todos)"),$A455&gt;=Atleta!$C$5),MAX($U$7:U454)+1,0))</f>
        <v>0</v>
      </c>
    </row>
    <row r="456" customFormat="false" ht="15" hidden="false" customHeight="false" outlineLevel="0" collapsed="false">
      <c r="A456" s="21"/>
      <c r="B456" s="33" t="n">
        <f aca="false">IF($A456="",0,INT(($A456-Macrociclo!$C$11)/7)+1)</f>
        <v>0</v>
      </c>
      <c r="C456" s="22"/>
      <c r="D456" s="22"/>
      <c r="E456" s="20"/>
      <c r="F456" s="22"/>
      <c r="G456" s="20"/>
      <c r="H456" s="19" t="str">
        <f aca="false">IFERROR(INDEX(Exercícios!$C$7:$C$206,MATCH($G456,Exercícios!$B$7:$B$206,0)),"")</f>
        <v/>
      </c>
      <c r="I456" s="19" t="str">
        <f aca="false">IFERROR(INDEX(Exercícios!$D$7:$D$206,MATCH($G456,Exercícios!$B$7:$B$206,0)),"")</f>
        <v/>
      </c>
      <c r="J456" s="19" t="str">
        <f aca="false">IFERROR(INDEX(Exercícios!$E$7:$E$206,MATCH($G456,Exercícios!$B$7:$B$206,0)),"")</f>
        <v/>
      </c>
      <c r="K456" s="22"/>
      <c r="L456" s="22"/>
      <c r="M456" s="20"/>
      <c r="N456" s="22"/>
      <c r="O456" s="22"/>
      <c r="P456" s="22"/>
      <c r="Q456" s="19" t="n">
        <f aca="false">IFERROR($K456*$L456,"")</f>
        <v>0</v>
      </c>
      <c r="R456" s="48" t="n">
        <f aca="false">IF(OR($O456="",$P456=""),0,$O456*$P456)</f>
        <v>0</v>
      </c>
      <c r="S456" s="20"/>
      <c r="T456" s="20"/>
      <c r="U456" s="33" t="n">
        <f aca="false">IF($A456="",0,IF(AND(OR($E456=Atleta!$C$4,$E456="Equipe (todos)"),$A456&gt;=Atleta!$C$5),MAX($U$7:U455)+1,0))</f>
        <v>0</v>
      </c>
    </row>
    <row r="457" customFormat="false" ht="15" hidden="false" customHeight="false" outlineLevel="0" collapsed="false">
      <c r="A457" s="21"/>
      <c r="B457" s="33" t="n">
        <f aca="false">IF($A457="",0,INT(($A457-Macrociclo!$C$11)/7)+1)</f>
        <v>0</v>
      </c>
      <c r="C457" s="22"/>
      <c r="D457" s="22"/>
      <c r="E457" s="20"/>
      <c r="F457" s="22"/>
      <c r="G457" s="20"/>
      <c r="H457" s="19" t="str">
        <f aca="false">IFERROR(INDEX(Exercícios!$C$7:$C$206,MATCH($G457,Exercícios!$B$7:$B$206,0)),"")</f>
        <v/>
      </c>
      <c r="I457" s="19" t="str">
        <f aca="false">IFERROR(INDEX(Exercícios!$D$7:$D$206,MATCH($G457,Exercícios!$B$7:$B$206,0)),"")</f>
        <v/>
      </c>
      <c r="J457" s="19" t="str">
        <f aca="false">IFERROR(INDEX(Exercícios!$E$7:$E$206,MATCH($G457,Exercícios!$B$7:$B$206,0)),"")</f>
        <v/>
      </c>
      <c r="K457" s="22"/>
      <c r="L457" s="22"/>
      <c r="M457" s="20"/>
      <c r="N457" s="22"/>
      <c r="O457" s="22"/>
      <c r="P457" s="22"/>
      <c r="Q457" s="19" t="n">
        <f aca="false">IFERROR($K457*$L457,"")</f>
        <v>0</v>
      </c>
      <c r="R457" s="48" t="n">
        <f aca="false">IF(OR($O457="",$P457=""),0,$O457*$P457)</f>
        <v>0</v>
      </c>
      <c r="S457" s="20"/>
      <c r="T457" s="20"/>
      <c r="U457" s="33" t="n">
        <f aca="false">IF($A457="",0,IF(AND(OR($E457=Atleta!$C$4,$E457="Equipe (todos)"),$A457&gt;=Atleta!$C$5),MAX($U$7:U456)+1,0))</f>
        <v>0</v>
      </c>
    </row>
    <row r="458" customFormat="false" ht="15" hidden="false" customHeight="false" outlineLevel="0" collapsed="false">
      <c r="A458" s="21"/>
      <c r="B458" s="33" t="n">
        <f aca="false">IF($A458="",0,INT(($A458-Macrociclo!$C$11)/7)+1)</f>
        <v>0</v>
      </c>
      <c r="C458" s="22"/>
      <c r="D458" s="22"/>
      <c r="E458" s="20"/>
      <c r="F458" s="22"/>
      <c r="G458" s="20"/>
      <c r="H458" s="19" t="str">
        <f aca="false">IFERROR(INDEX(Exercícios!$C$7:$C$206,MATCH($G458,Exercícios!$B$7:$B$206,0)),"")</f>
        <v/>
      </c>
      <c r="I458" s="19" t="str">
        <f aca="false">IFERROR(INDEX(Exercícios!$D$7:$D$206,MATCH($G458,Exercícios!$B$7:$B$206,0)),"")</f>
        <v/>
      </c>
      <c r="J458" s="19" t="str">
        <f aca="false">IFERROR(INDEX(Exercícios!$E$7:$E$206,MATCH($G458,Exercícios!$B$7:$B$206,0)),"")</f>
        <v/>
      </c>
      <c r="K458" s="22"/>
      <c r="L458" s="22"/>
      <c r="M458" s="20"/>
      <c r="N458" s="22"/>
      <c r="O458" s="22"/>
      <c r="P458" s="22"/>
      <c r="Q458" s="19" t="n">
        <f aca="false">IFERROR($K458*$L458,"")</f>
        <v>0</v>
      </c>
      <c r="R458" s="48" t="n">
        <f aca="false">IF(OR($O458="",$P458=""),0,$O458*$P458)</f>
        <v>0</v>
      </c>
      <c r="S458" s="20"/>
      <c r="T458" s="20"/>
      <c r="U458" s="33" t="n">
        <f aca="false">IF($A458="",0,IF(AND(OR($E458=Atleta!$C$4,$E458="Equipe (todos)"),$A458&gt;=Atleta!$C$5),MAX($U$7:U457)+1,0))</f>
        <v>0</v>
      </c>
    </row>
    <row r="459" customFormat="false" ht="15" hidden="false" customHeight="false" outlineLevel="0" collapsed="false">
      <c r="A459" s="21"/>
      <c r="B459" s="33" t="n">
        <f aca="false">IF($A459="",0,INT(($A459-Macrociclo!$C$11)/7)+1)</f>
        <v>0</v>
      </c>
      <c r="C459" s="22"/>
      <c r="D459" s="22"/>
      <c r="E459" s="20"/>
      <c r="F459" s="22"/>
      <c r="G459" s="20"/>
      <c r="H459" s="19" t="str">
        <f aca="false">IFERROR(INDEX(Exercícios!$C$7:$C$206,MATCH($G459,Exercícios!$B$7:$B$206,0)),"")</f>
        <v/>
      </c>
      <c r="I459" s="19" t="str">
        <f aca="false">IFERROR(INDEX(Exercícios!$D$7:$D$206,MATCH($G459,Exercícios!$B$7:$B$206,0)),"")</f>
        <v/>
      </c>
      <c r="J459" s="19" t="str">
        <f aca="false">IFERROR(INDEX(Exercícios!$E$7:$E$206,MATCH($G459,Exercícios!$B$7:$B$206,0)),"")</f>
        <v/>
      </c>
      <c r="K459" s="22"/>
      <c r="L459" s="22"/>
      <c r="M459" s="20"/>
      <c r="N459" s="22"/>
      <c r="O459" s="22"/>
      <c r="P459" s="22"/>
      <c r="Q459" s="19" t="n">
        <f aca="false">IFERROR($K459*$L459,"")</f>
        <v>0</v>
      </c>
      <c r="R459" s="48" t="n">
        <f aca="false">IF(OR($O459="",$P459=""),0,$O459*$P459)</f>
        <v>0</v>
      </c>
      <c r="S459" s="20"/>
      <c r="T459" s="20"/>
      <c r="U459" s="33" t="n">
        <f aca="false">IF($A459="",0,IF(AND(OR($E459=Atleta!$C$4,$E459="Equipe (todos)"),$A459&gt;=Atleta!$C$5),MAX($U$7:U458)+1,0))</f>
        <v>0</v>
      </c>
    </row>
    <row r="460" customFormat="false" ht="15" hidden="false" customHeight="false" outlineLevel="0" collapsed="false">
      <c r="A460" s="21"/>
      <c r="B460" s="33" t="n">
        <f aca="false">IF($A460="",0,INT(($A460-Macrociclo!$C$11)/7)+1)</f>
        <v>0</v>
      </c>
      <c r="C460" s="22"/>
      <c r="D460" s="22"/>
      <c r="E460" s="20"/>
      <c r="F460" s="22"/>
      <c r="G460" s="20"/>
      <c r="H460" s="19" t="str">
        <f aca="false">IFERROR(INDEX(Exercícios!$C$7:$C$206,MATCH($G460,Exercícios!$B$7:$B$206,0)),"")</f>
        <v/>
      </c>
      <c r="I460" s="19" t="str">
        <f aca="false">IFERROR(INDEX(Exercícios!$D$7:$D$206,MATCH($G460,Exercícios!$B$7:$B$206,0)),"")</f>
        <v/>
      </c>
      <c r="J460" s="19" t="str">
        <f aca="false">IFERROR(INDEX(Exercícios!$E$7:$E$206,MATCH($G460,Exercícios!$B$7:$B$206,0)),"")</f>
        <v/>
      </c>
      <c r="K460" s="22"/>
      <c r="L460" s="22"/>
      <c r="M460" s="20"/>
      <c r="N460" s="22"/>
      <c r="O460" s="22"/>
      <c r="P460" s="22"/>
      <c r="Q460" s="19" t="n">
        <f aca="false">IFERROR($K460*$L460,"")</f>
        <v>0</v>
      </c>
      <c r="R460" s="48" t="n">
        <f aca="false">IF(OR($O460="",$P460=""),0,$O460*$P460)</f>
        <v>0</v>
      </c>
      <c r="S460" s="20"/>
      <c r="T460" s="20"/>
      <c r="U460" s="33" t="n">
        <f aca="false">IF($A460="",0,IF(AND(OR($E460=Atleta!$C$4,$E460="Equipe (todos)"),$A460&gt;=Atleta!$C$5),MAX($U$7:U459)+1,0))</f>
        <v>0</v>
      </c>
    </row>
    <row r="461" customFormat="false" ht="15" hidden="false" customHeight="false" outlineLevel="0" collapsed="false">
      <c r="A461" s="21"/>
      <c r="B461" s="33" t="n">
        <f aca="false">IF($A461="",0,INT(($A461-Macrociclo!$C$11)/7)+1)</f>
        <v>0</v>
      </c>
      <c r="C461" s="22"/>
      <c r="D461" s="22"/>
      <c r="E461" s="20"/>
      <c r="F461" s="22"/>
      <c r="G461" s="20"/>
      <c r="H461" s="19" t="str">
        <f aca="false">IFERROR(INDEX(Exercícios!$C$7:$C$206,MATCH($G461,Exercícios!$B$7:$B$206,0)),"")</f>
        <v/>
      </c>
      <c r="I461" s="19" t="str">
        <f aca="false">IFERROR(INDEX(Exercícios!$D$7:$D$206,MATCH($G461,Exercícios!$B$7:$B$206,0)),"")</f>
        <v/>
      </c>
      <c r="J461" s="19" t="str">
        <f aca="false">IFERROR(INDEX(Exercícios!$E$7:$E$206,MATCH($G461,Exercícios!$B$7:$B$206,0)),"")</f>
        <v/>
      </c>
      <c r="K461" s="22"/>
      <c r="L461" s="22"/>
      <c r="M461" s="20"/>
      <c r="N461" s="22"/>
      <c r="O461" s="22"/>
      <c r="P461" s="22"/>
      <c r="Q461" s="19" t="n">
        <f aca="false">IFERROR($K461*$L461,"")</f>
        <v>0</v>
      </c>
      <c r="R461" s="48" t="n">
        <f aca="false">IF(OR($O461="",$P461=""),0,$O461*$P461)</f>
        <v>0</v>
      </c>
      <c r="S461" s="20"/>
      <c r="T461" s="20"/>
      <c r="U461" s="33" t="n">
        <f aca="false">IF($A461="",0,IF(AND(OR($E461=Atleta!$C$4,$E461="Equipe (todos)"),$A461&gt;=Atleta!$C$5),MAX($U$7:U460)+1,0))</f>
        <v>0</v>
      </c>
    </row>
    <row r="462" customFormat="false" ht="15" hidden="false" customHeight="false" outlineLevel="0" collapsed="false">
      <c r="A462" s="21"/>
      <c r="B462" s="33" t="n">
        <f aca="false">IF($A462="",0,INT(($A462-Macrociclo!$C$11)/7)+1)</f>
        <v>0</v>
      </c>
      <c r="C462" s="22"/>
      <c r="D462" s="22"/>
      <c r="E462" s="20"/>
      <c r="F462" s="22"/>
      <c r="G462" s="20"/>
      <c r="H462" s="19" t="str">
        <f aca="false">IFERROR(INDEX(Exercícios!$C$7:$C$206,MATCH($G462,Exercícios!$B$7:$B$206,0)),"")</f>
        <v/>
      </c>
      <c r="I462" s="19" t="str">
        <f aca="false">IFERROR(INDEX(Exercícios!$D$7:$D$206,MATCH($G462,Exercícios!$B$7:$B$206,0)),"")</f>
        <v/>
      </c>
      <c r="J462" s="19" t="str">
        <f aca="false">IFERROR(INDEX(Exercícios!$E$7:$E$206,MATCH($G462,Exercícios!$B$7:$B$206,0)),"")</f>
        <v/>
      </c>
      <c r="K462" s="22"/>
      <c r="L462" s="22"/>
      <c r="M462" s="20"/>
      <c r="N462" s="22"/>
      <c r="O462" s="22"/>
      <c r="P462" s="22"/>
      <c r="Q462" s="19" t="n">
        <f aca="false">IFERROR($K462*$L462,"")</f>
        <v>0</v>
      </c>
      <c r="R462" s="48" t="n">
        <f aca="false">IF(OR($O462="",$P462=""),0,$O462*$P462)</f>
        <v>0</v>
      </c>
      <c r="S462" s="20"/>
      <c r="T462" s="20"/>
      <c r="U462" s="33" t="n">
        <f aca="false">IF($A462="",0,IF(AND(OR($E462=Atleta!$C$4,$E462="Equipe (todos)"),$A462&gt;=Atleta!$C$5),MAX($U$7:U461)+1,0))</f>
        <v>0</v>
      </c>
    </row>
    <row r="463" customFormat="false" ht="15" hidden="false" customHeight="false" outlineLevel="0" collapsed="false">
      <c r="A463" s="21"/>
      <c r="B463" s="33" t="n">
        <f aca="false">IF($A463="",0,INT(($A463-Macrociclo!$C$11)/7)+1)</f>
        <v>0</v>
      </c>
      <c r="C463" s="22"/>
      <c r="D463" s="22"/>
      <c r="E463" s="20"/>
      <c r="F463" s="22"/>
      <c r="G463" s="20"/>
      <c r="H463" s="19" t="str">
        <f aca="false">IFERROR(INDEX(Exercícios!$C$7:$C$206,MATCH($G463,Exercícios!$B$7:$B$206,0)),"")</f>
        <v/>
      </c>
      <c r="I463" s="19" t="str">
        <f aca="false">IFERROR(INDEX(Exercícios!$D$7:$D$206,MATCH($G463,Exercícios!$B$7:$B$206,0)),"")</f>
        <v/>
      </c>
      <c r="J463" s="19" t="str">
        <f aca="false">IFERROR(INDEX(Exercícios!$E$7:$E$206,MATCH($G463,Exercícios!$B$7:$B$206,0)),"")</f>
        <v/>
      </c>
      <c r="K463" s="22"/>
      <c r="L463" s="22"/>
      <c r="M463" s="20"/>
      <c r="N463" s="22"/>
      <c r="O463" s="22"/>
      <c r="P463" s="22"/>
      <c r="Q463" s="19" t="n">
        <f aca="false">IFERROR($K463*$L463,"")</f>
        <v>0</v>
      </c>
      <c r="R463" s="48" t="n">
        <f aca="false">IF(OR($O463="",$P463=""),0,$O463*$P463)</f>
        <v>0</v>
      </c>
      <c r="S463" s="20"/>
      <c r="T463" s="20"/>
      <c r="U463" s="33" t="n">
        <f aca="false">IF($A463="",0,IF(AND(OR($E463=Atleta!$C$4,$E463="Equipe (todos)"),$A463&gt;=Atleta!$C$5),MAX($U$7:U462)+1,0))</f>
        <v>0</v>
      </c>
    </row>
    <row r="464" customFormat="false" ht="15" hidden="false" customHeight="false" outlineLevel="0" collapsed="false">
      <c r="A464" s="21"/>
      <c r="B464" s="33" t="n">
        <f aca="false">IF($A464="",0,INT(($A464-Macrociclo!$C$11)/7)+1)</f>
        <v>0</v>
      </c>
      <c r="C464" s="22"/>
      <c r="D464" s="22"/>
      <c r="E464" s="20"/>
      <c r="F464" s="22"/>
      <c r="G464" s="20"/>
      <c r="H464" s="19" t="str">
        <f aca="false">IFERROR(INDEX(Exercícios!$C$7:$C$206,MATCH($G464,Exercícios!$B$7:$B$206,0)),"")</f>
        <v/>
      </c>
      <c r="I464" s="19" t="str">
        <f aca="false">IFERROR(INDEX(Exercícios!$D$7:$D$206,MATCH($G464,Exercícios!$B$7:$B$206,0)),"")</f>
        <v/>
      </c>
      <c r="J464" s="19" t="str">
        <f aca="false">IFERROR(INDEX(Exercícios!$E$7:$E$206,MATCH($G464,Exercícios!$B$7:$B$206,0)),"")</f>
        <v/>
      </c>
      <c r="K464" s="22"/>
      <c r="L464" s="22"/>
      <c r="M464" s="20"/>
      <c r="N464" s="22"/>
      <c r="O464" s="22"/>
      <c r="P464" s="22"/>
      <c r="Q464" s="19" t="n">
        <f aca="false">IFERROR($K464*$L464,"")</f>
        <v>0</v>
      </c>
      <c r="R464" s="48" t="n">
        <f aca="false">IF(OR($O464="",$P464=""),0,$O464*$P464)</f>
        <v>0</v>
      </c>
      <c r="S464" s="20"/>
      <c r="T464" s="20"/>
      <c r="U464" s="33" t="n">
        <f aca="false">IF($A464="",0,IF(AND(OR($E464=Atleta!$C$4,$E464="Equipe (todos)"),$A464&gt;=Atleta!$C$5),MAX($U$7:U463)+1,0))</f>
        <v>0</v>
      </c>
    </row>
    <row r="465" customFormat="false" ht="15" hidden="false" customHeight="false" outlineLevel="0" collapsed="false">
      <c r="A465" s="21"/>
      <c r="B465" s="33" t="n">
        <f aca="false">IF($A465="",0,INT(($A465-Macrociclo!$C$11)/7)+1)</f>
        <v>0</v>
      </c>
      <c r="C465" s="22"/>
      <c r="D465" s="22"/>
      <c r="E465" s="20"/>
      <c r="F465" s="22"/>
      <c r="G465" s="20"/>
      <c r="H465" s="19" t="str">
        <f aca="false">IFERROR(INDEX(Exercícios!$C$7:$C$206,MATCH($G465,Exercícios!$B$7:$B$206,0)),"")</f>
        <v/>
      </c>
      <c r="I465" s="19" t="str">
        <f aca="false">IFERROR(INDEX(Exercícios!$D$7:$D$206,MATCH($G465,Exercícios!$B$7:$B$206,0)),"")</f>
        <v/>
      </c>
      <c r="J465" s="19" t="str">
        <f aca="false">IFERROR(INDEX(Exercícios!$E$7:$E$206,MATCH($G465,Exercícios!$B$7:$B$206,0)),"")</f>
        <v/>
      </c>
      <c r="K465" s="22"/>
      <c r="L465" s="22"/>
      <c r="M465" s="20"/>
      <c r="N465" s="22"/>
      <c r="O465" s="22"/>
      <c r="P465" s="22"/>
      <c r="Q465" s="19" t="n">
        <f aca="false">IFERROR($K465*$L465,"")</f>
        <v>0</v>
      </c>
      <c r="R465" s="48" t="n">
        <f aca="false">IF(OR($O465="",$P465=""),0,$O465*$P465)</f>
        <v>0</v>
      </c>
      <c r="S465" s="20"/>
      <c r="T465" s="20"/>
      <c r="U465" s="33" t="n">
        <f aca="false">IF($A465="",0,IF(AND(OR($E465=Atleta!$C$4,$E465="Equipe (todos)"),$A465&gt;=Atleta!$C$5),MAX($U$7:U464)+1,0))</f>
        <v>0</v>
      </c>
    </row>
    <row r="466" customFormat="false" ht="15" hidden="false" customHeight="false" outlineLevel="0" collapsed="false">
      <c r="A466" s="21"/>
      <c r="B466" s="33" t="n">
        <f aca="false">IF($A466="",0,INT(($A466-Macrociclo!$C$11)/7)+1)</f>
        <v>0</v>
      </c>
      <c r="C466" s="22"/>
      <c r="D466" s="22"/>
      <c r="E466" s="20"/>
      <c r="F466" s="22"/>
      <c r="G466" s="20"/>
      <c r="H466" s="19" t="str">
        <f aca="false">IFERROR(INDEX(Exercícios!$C$7:$C$206,MATCH($G466,Exercícios!$B$7:$B$206,0)),"")</f>
        <v/>
      </c>
      <c r="I466" s="19" t="str">
        <f aca="false">IFERROR(INDEX(Exercícios!$D$7:$D$206,MATCH($G466,Exercícios!$B$7:$B$206,0)),"")</f>
        <v/>
      </c>
      <c r="J466" s="19" t="str">
        <f aca="false">IFERROR(INDEX(Exercícios!$E$7:$E$206,MATCH($G466,Exercícios!$B$7:$B$206,0)),"")</f>
        <v/>
      </c>
      <c r="K466" s="22"/>
      <c r="L466" s="22"/>
      <c r="M466" s="20"/>
      <c r="N466" s="22"/>
      <c r="O466" s="22"/>
      <c r="P466" s="22"/>
      <c r="Q466" s="19" t="n">
        <f aca="false">IFERROR($K466*$L466,"")</f>
        <v>0</v>
      </c>
      <c r="R466" s="48" t="n">
        <f aca="false">IF(OR($O466="",$P466=""),0,$O466*$P466)</f>
        <v>0</v>
      </c>
      <c r="S466" s="20"/>
      <c r="T466" s="20"/>
      <c r="U466" s="33" t="n">
        <f aca="false">IF($A466="",0,IF(AND(OR($E466=Atleta!$C$4,$E466="Equipe (todos)"),$A466&gt;=Atleta!$C$5),MAX($U$7:U465)+1,0))</f>
        <v>0</v>
      </c>
    </row>
    <row r="467" customFormat="false" ht="15" hidden="false" customHeight="false" outlineLevel="0" collapsed="false">
      <c r="A467" s="21"/>
      <c r="B467" s="33" t="n">
        <f aca="false">IF($A467="",0,INT(($A467-Macrociclo!$C$11)/7)+1)</f>
        <v>0</v>
      </c>
      <c r="C467" s="22"/>
      <c r="D467" s="22"/>
      <c r="E467" s="20"/>
      <c r="F467" s="22"/>
      <c r="G467" s="20"/>
      <c r="H467" s="19" t="str">
        <f aca="false">IFERROR(INDEX(Exercícios!$C$7:$C$206,MATCH($G467,Exercícios!$B$7:$B$206,0)),"")</f>
        <v/>
      </c>
      <c r="I467" s="19" t="str">
        <f aca="false">IFERROR(INDEX(Exercícios!$D$7:$D$206,MATCH($G467,Exercícios!$B$7:$B$206,0)),"")</f>
        <v/>
      </c>
      <c r="J467" s="19" t="str">
        <f aca="false">IFERROR(INDEX(Exercícios!$E$7:$E$206,MATCH($G467,Exercícios!$B$7:$B$206,0)),"")</f>
        <v/>
      </c>
      <c r="K467" s="22"/>
      <c r="L467" s="22"/>
      <c r="M467" s="20"/>
      <c r="N467" s="22"/>
      <c r="O467" s="22"/>
      <c r="P467" s="22"/>
      <c r="Q467" s="19" t="n">
        <f aca="false">IFERROR($K467*$L467,"")</f>
        <v>0</v>
      </c>
      <c r="R467" s="48" t="n">
        <f aca="false">IF(OR($O467="",$P467=""),0,$O467*$P467)</f>
        <v>0</v>
      </c>
      <c r="S467" s="20"/>
      <c r="T467" s="20"/>
      <c r="U467" s="33" t="n">
        <f aca="false">IF($A467="",0,IF(AND(OR($E467=Atleta!$C$4,$E467="Equipe (todos)"),$A467&gt;=Atleta!$C$5),MAX($U$7:U466)+1,0))</f>
        <v>0</v>
      </c>
    </row>
    <row r="468" customFormat="false" ht="15" hidden="false" customHeight="false" outlineLevel="0" collapsed="false">
      <c r="A468" s="21"/>
      <c r="B468" s="33" t="n">
        <f aca="false">IF($A468="",0,INT(($A468-Macrociclo!$C$11)/7)+1)</f>
        <v>0</v>
      </c>
      <c r="C468" s="22"/>
      <c r="D468" s="22"/>
      <c r="E468" s="20"/>
      <c r="F468" s="22"/>
      <c r="G468" s="20"/>
      <c r="H468" s="19" t="str">
        <f aca="false">IFERROR(INDEX(Exercícios!$C$7:$C$206,MATCH($G468,Exercícios!$B$7:$B$206,0)),"")</f>
        <v/>
      </c>
      <c r="I468" s="19" t="str">
        <f aca="false">IFERROR(INDEX(Exercícios!$D$7:$D$206,MATCH($G468,Exercícios!$B$7:$B$206,0)),"")</f>
        <v/>
      </c>
      <c r="J468" s="19" t="str">
        <f aca="false">IFERROR(INDEX(Exercícios!$E$7:$E$206,MATCH($G468,Exercícios!$B$7:$B$206,0)),"")</f>
        <v/>
      </c>
      <c r="K468" s="22"/>
      <c r="L468" s="22"/>
      <c r="M468" s="20"/>
      <c r="N468" s="22"/>
      <c r="O468" s="22"/>
      <c r="P468" s="22"/>
      <c r="Q468" s="19" t="n">
        <f aca="false">IFERROR($K468*$L468,"")</f>
        <v>0</v>
      </c>
      <c r="R468" s="48" t="n">
        <f aca="false">IF(OR($O468="",$P468=""),0,$O468*$P468)</f>
        <v>0</v>
      </c>
      <c r="S468" s="20"/>
      <c r="T468" s="20"/>
      <c r="U468" s="33" t="n">
        <f aca="false">IF($A468="",0,IF(AND(OR($E468=Atleta!$C$4,$E468="Equipe (todos)"),$A468&gt;=Atleta!$C$5),MAX($U$7:U467)+1,0))</f>
        <v>0</v>
      </c>
    </row>
    <row r="469" customFormat="false" ht="15" hidden="false" customHeight="false" outlineLevel="0" collapsed="false">
      <c r="A469" s="21"/>
      <c r="B469" s="33" t="n">
        <f aca="false">IF($A469="",0,INT(($A469-Macrociclo!$C$11)/7)+1)</f>
        <v>0</v>
      </c>
      <c r="C469" s="22"/>
      <c r="D469" s="22"/>
      <c r="E469" s="20"/>
      <c r="F469" s="22"/>
      <c r="G469" s="20"/>
      <c r="H469" s="19" t="str">
        <f aca="false">IFERROR(INDEX(Exercícios!$C$7:$C$206,MATCH($G469,Exercícios!$B$7:$B$206,0)),"")</f>
        <v/>
      </c>
      <c r="I469" s="19" t="str">
        <f aca="false">IFERROR(INDEX(Exercícios!$D$7:$D$206,MATCH($G469,Exercícios!$B$7:$B$206,0)),"")</f>
        <v/>
      </c>
      <c r="J469" s="19" t="str">
        <f aca="false">IFERROR(INDEX(Exercícios!$E$7:$E$206,MATCH($G469,Exercícios!$B$7:$B$206,0)),"")</f>
        <v/>
      </c>
      <c r="K469" s="22"/>
      <c r="L469" s="22"/>
      <c r="M469" s="20"/>
      <c r="N469" s="22"/>
      <c r="O469" s="22"/>
      <c r="P469" s="22"/>
      <c r="Q469" s="19" t="n">
        <f aca="false">IFERROR($K469*$L469,"")</f>
        <v>0</v>
      </c>
      <c r="R469" s="48" t="n">
        <f aca="false">IF(OR($O469="",$P469=""),0,$O469*$P469)</f>
        <v>0</v>
      </c>
      <c r="S469" s="20"/>
      <c r="T469" s="20"/>
      <c r="U469" s="33" t="n">
        <f aca="false">IF($A469="",0,IF(AND(OR($E469=Atleta!$C$4,$E469="Equipe (todos)"),$A469&gt;=Atleta!$C$5),MAX($U$7:U468)+1,0))</f>
        <v>0</v>
      </c>
    </row>
    <row r="470" customFormat="false" ht="15" hidden="false" customHeight="false" outlineLevel="0" collapsed="false">
      <c r="A470" s="21"/>
      <c r="B470" s="33" t="n">
        <f aca="false">IF($A470="",0,INT(($A470-Macrociclo!$C$11)/7)+1)</f>
        <v>0</v>
      </c>
      <c r="C470" s="22"/>
      <c r="D470" s="22"/>
      <c r="E470" s="20"/>
      <c r="F470" s="22"/>
      <c r="G470" s="20"/>
      <c r="H470" s="19" t="str">
        <f aca="false">IFERROR(INDEX(Exercícios!$C$7:$C$206,MATCH($G470,Exercícios!$B$7:$B$206,0)),"")</f>
        <v/>
      </c>
      <c r="I470" s="19" t="str">
        <f aca="false">IFERROR(INDEX(Exercícios!$D$7:$D$206,MATCH($G470,Exercícios!$B$7:$B$206,0)),"")</f>
        <v/>
      </c>
      <c r="J470" s="19" t="str">
        <f aca="false">IFERROR(INDEX(Exercícios!$E$7:$E$206,MATCH($G470,Exercícios!$B$7:$B$206,0)),"")</f>
        <v/>
      </c>
      <c r="K470" s="22"/>
      <c r="L470" s="22"/>
      <c r="M470" s="20"/>
      <c r="N470" s="22"/>
      <c r="O470" s="22"/>
      <c r="P470" s="22"/>
      <c r="Q470" s="19" t="n">
        <f aca="false">IFERROR($K470*$L470,"")</f>
        <v>0</v>
      </c>
      <c r="R470" s="48" t="n">
        <f aca="false">IF(OR($O470="",$P470=""),0,$O470*$P470)</f>
        <v>0</v>
      </c>
      <c r="S470" s="20"/>
      <c r="T470" s="20"/>
      <c r="U470" s="33" t="n">
        <f aca="false">IF($A470="",0,IF(AND(OR($E470=Atleta!$C$4,$E470="Equipe (todos)"),$A470&gt;=Atleta!$C$5),MAX($U$7:U469)+1,0))</f>
        <v>0</v>
      </c>
    </row>
    <row r="471" customFormat="false" ht="15" hidden="false" customHeight="false" outlineLevel="0" collapsed="false">
      <c r="A471" s="21"/>
      <c r="B471" s="33" t="n">
        <f aca="false">IF($A471="",0,INT(($A471-Macrociclo!$C$11)/7)+1)</f>
        <v>0</v>
      </c>
      <c r="C471" s="22"/>
      <c r="D471" s="22"/>
      <c r="E471" s="20"/>
      <c r="F471" s="22"/>
      <c r="G471" s="20"/>
      <c r="H471" s="19" t="str">
        <f aca="false">IFERROR(INDEX(Exercícios!$C$7:$C$206,MATCH($G471,Exercícios!$B$7:$B$206,0)),"")</f>
        <v/>
      </c>
      <c r="I471" s="19" t="str">
        <f aca="false">IFERROR(INDEX(Exercícios!$D$7:$D$206,MATCH($G471,Exercícios!$B$7:$B$206,0)),"")</f>
        <v/>
      </c>
      <c r="J471" s="19" t="str">
        <f aca="false">IFERROR(INDEX(Exercícios!$E$7:$E$206,MATCH($G471,Exercícios!$B$7:$B$206,0)),"")</f>
        <v/>
      </c>
      <c r="K471" s="22"/>
      <c r="L471" s="22"/>
      <c r="M471" s="20"/>
      <c r="N471" s="22"/>
      <c r="O471" s="22"/>
      <c r="P471" s="22"/>
      <c r="Q471" s="19" t="n">
        <f aca="false">IFERROR($K471*$L471,"")</f>
        <v>0</v>
      </c>
      <c r="R471" s="48" t="n">
        <f aca="false">IF(OR($O471="",$P471=""),0,$O471*$P471)</f>
        <v>0</v>
      </c>
      <c r="S471" s="20"/>
      <c r="T471" s="20"/>
      <c r="U471" s="33" t="n">
        <f aca="false">IF($A471="",0,IF(AND(OR($E471=Atleta!$C$4,$E471="Equipe (todos)"),$A471&gt;=Atleta!$C$5),MAX($U$7:U470)+1,0))</f>
        <v>0</v>
      </c>
    </row>
    <row r="472" customFormat="false" ht="15" hidden="false" customHeight="false" outlineLevel="0" collapsed="false">
      <c r="A472" s="21"/>
      <c r="B472" s="33" t="n">
        <f aca="false">IF($A472="",0,INT(($A472-Macrociclo!$C$11)/7)+1)</f>
        <v>0</v>
      </c>
      <c r="C472" s="22"/>
      <c r="D472" s="22"/>
      <c r="E472" s="20"/>
      <c r="F472" s="22"/>
      <c r="G472" s="20"/>
      <c r="H472" s="19" t="str">
        <f aca="false">IFERROR(INDEX(Exercícios!$C$7:$C$206,MATCH($G472,Exercícios!$B$7:$B$206,0)),"")</f>
        <v/>
      </c>
      <c r="I472" s="19" t="str">
        <f aca="false">IFERROR(INDEX(Exercícios!$D$7:$D$206,MATCH($G472,Exercícios!$B$7:$B$206,0)),"")</f>
        <v/>
      </c>
      <c r="J472" s="19" t="str">
        <f aca="false">IFERROR(INDEX(Exercícios!$E$7:$E$206,MATCH($G472,Exercícios!$B$7:$B$206,0)),"")</f>
        <v/>
      </c>
      <c r="K472" s="22"/>
      <c r="L472" s="22"/>
      <c r="M472" s="20"/>
      <c r="N472" s="22"/>
      <c r="O472" s="22"/>
      <c r="P472" s="22"/>
      <c r="Q472" s="19" t="n">
        <f aca="false">IFERROR($K472*$L472,"")</f>
        <v>0</v>
      </c>
      <c r="R472" s="48" t="n">
        <f aca="false">IF(OR($O472="",$P472=""),0,$O472*$P472)</f>
        <v>0</v>
      </c>
      <c r="S472" s="20"/>
      <c r="T472" s="20"/>
      <c r="U472" s="33" t="n">
        <f aca="false">IF($A472="",0,IF(AND(OR($E472=Atleta!$C$4,$E472="Equipe (todos)"),$A472&gt;=Atleta!$C$5),MAX($U$7:U471)+1,0))</f>
        <v>0</v>
      </c>
    </row>
    <row r="473" customFormat="false" ht="15" hidden="false" customHeight="false" outlineLevel="0" collapsed="false">
      <c r="A473" s="21"/>
      <c r="B473" s="33" t="n">
        <f aca="false">IF($A473="",0,INT(($A473-Macrociclo!$C$11)/7)+1)</f>
        <v>0</v>
      </c>
      <c r="C473" s="22"/>
      <c r="D473" s="22"/>
      <c r="E473" s="20"/>
      <c r="F473" s="22"/>
      <c r="G473" s="20"/>
      <c r="H473" s="19" t="str">
        <f aca="false">IFERROR(INDEX(Exercícios!$C$7:$C$206,MATCH($G473,Exercícios!$B$7:$B$206,0)),"")</f>
        <v/>
      </c>
      <c r="I473" s="19" t="str">
        <f aca="false">IFERROR(INDEX(Exercícios!$D$7:$D$206,MATCH($G473,Exercícios!$B$7:$B$206,0)),"")</f>
        <v/>
      </c>
      <c r="J473" s="19" t="str">
        <f aca="false">IFERROR(INDEX(Exercícios!$E$7:$E$206,MATCH($G473,Exercícios!$B$7:$B$206,0)),"")</f>
        <v/>
      </c>
      <c r="K473" s="22"/>
      <c r="L473" s="22"/>
      <c r="M473" s="20"/>
      <c r="N473" s="22"/>
      <c r="O473" s="22"/>
      <c r="P473" s="22"/>
      <c r="Q473" s="19" t="n">
        <f aca="false">IFERROR($K473*$L473,"")</f>
        <v>0</v>
      </c>
      <c r="R473" s="48" t="n">
        <f aca="false">IF(OR($O473="",$P473=""),0,$O473*$P473)</f>
        <v>0</v>
      </c>
      <c r="S473" s="20"/>
      <c r="T473" s="20"/>
      <c r="U473" s="33" t="n">
        <f aca="false">IF($A473="",0,IF(AND(OR($E473=Atleta!$C$4,$E473="Equipe (todos)"),$A473&gt;=Atleta!$C$5),MAX($U$7:U472)+1,0))</f>
        <v>0</v>
      </c>
    </row>
    <row r="474" customFormat="false" ht="15" hidden="false" customHeight="false" outlineLevel="0" collapsed="false">
      <c r="A474" s="21"/>
      <c r="B474" s="33" t="n">
        <f aca="false">IF($A474="",0,INT(($A474-Macrociclo!$C$11)/7)+1)</f>
        <v>0</v>
      </c>
      <c r="C474" s="22"/>
      <c r="D474" s="22"/>
      <c r="E474" s="20"/>
      <c r="F474" s="22"/>
      <c r="G474" s="20"/>
      <c r="H474" s="19" t="str">
        <f aca="false">IFERROR(INDEX(Exercícios!$C$7:$C$206,MATCH($G474,Exercícios!$B$7:$B$206,0)),"")</f>
        <v/>
      </c>
      <c r="I474" s="19" t="str">
        <f aca="false">IFERROR(INDEX(Exercícios!$D$7:$D$206,MATCH($G474,Exercícios!$B$7:$B$206,0)),"")</f>
        <v/>
      </c>
      <c r="J474" s="19" t="str">
        <f aca="false">IFERROR(INDEX(Exercícios!$E$7:$E$206,MATCH($G474,Exercícios!$B$7:$B$206,0)),"")</f>
        <v/>
      </c>
      <c r="K474" s="22"/>
      <c r="L474" s="22"/>
      <c r="M474" s="20"/>
      <c r="N474" s="22"/>
      <c r="O474" s="22"/>
      <c r="P474" s="22"/>
      <c r="Q474" s="19" t="n">
        <f aca="false">IFERROR($K474*$L474,"")</f>
        <v>0</v>
      </c>
      <c r="R474" s="48" t="n">
        <f aca="false">IF(OR($O474="",$P474=""),0,$O474*$P474)</f>
        <v>0</v>
      </c>
      <c r="S474" s="20"/>
      <c r="T474" s="20"/>
      <c r="U474" s="33" t="n">
        <f aca="false">IF($A474="",0,IF(AND(OR($E474=Atleta!$C$4,$E474="Equipe (todos)"),$A474&gt;=Atleta!$C$5),MAX($U$7:U473)+1,0))</f>
        <v>0</v>
      </c>
    </row>
    <row r="475" customFormat="false" ht="15" hidden="false" customHeight="false" outlineLevel="0" collapsed="false">
      <c r="A475" s="21"/>
      <c r="B475" s="33" t="n">
        <f aca="false">IF($A475="",0,INT(($A475-Macrociclo!$C$11)/7)+1)</f>
        <v>0</v>
      </c>
      <c r="C475" s="22"/>
      <c r="D475" s="22"/>
      <c r="E475" s="20"/>
      <c r="F475" s="22"/>
      <c r="G475" s="20"/>
      <c r="H475" s="19" t="str">
        <f aca="false">IFERROR(INDEX(Exercícios!$C$7:$C$206,MATCH($G475,Exercícios!$B$7:$B$206,0)),"")</f>
        <v/>
      </c>
      <c r="I475" s="19" t="str">
        <f aca="false">IFERROR(INDEX(Exercícios!$D$7:$D$206,MATCH($G475,Exercícios!$B$7:$B$206,0)),"")</f>
        <v/>
      </c>
      <c r="J475" s="19" t="str">
        <f aca="false">IFERROR(INDEX(Exercícios!$E$7:$E$206,MATCH($G475,Exercícios!$B$7:$B$206,0)),"")</f>
        <v/>
      </c>
      <c r="K475" s="22"/>
      <c r="L475" s="22"/>
      <c r="M475" s="20"/>
      <c r="N475" s="22"/>
      <c r="O475" s="22"/>
      <c r="P475" s="22"/>
      <c r="Q475" s="19" t="n">
        <f aca="false">IFERROR($K475*$L475,"")</f>
        <v>0</v>
      </c>
      <c r="R475" s="48" t="n">
        <f aca="false">IF(OR($O475="",$P475=""),0,$O475*$P475)</f>
        <v>0</v>
      </c>
      <c r="S475" s="20"/>
      <c r="T475" s="20"/>
      <c r="U475" s="33" t="n">
        <f aca="false">IF($A475="",0,IF(AND(OR($E475=Atleta!$C$4,$E475="Equipe (todos)"),$A475&gt;=Atleta!$C$5),MAX($U$7:U474)+1,0))</f>
        <v>0</v>
      </c>
    </row>
    <row r="476" customFormat="false" ht="15" hidden="false" customHeight="false" outlineLevel="0" collapsed="false">
      <c r="A476" s="21"/>
      <c r="B476" s="33" t="n">
        <f aca="false">IF($A476="",0,INT(($A476-Macrociclo!$C$11)/7)+1)</f>
        <v>0</v>
      </c>
      <c r="C476" s="22"/>
      <c r="D476" s="22"/>
      <c r="E476" s="20"/>
      <c r="F476" s="22"/>
      <c r="G476" s="20"/>
      <c r="H476" s="19" t="str">
        <f aca="false">IFERROR(INDEX(Exercícios!$C$7:$C$206,MATCH($G476,Exercícios!$B$7:$B$206,0)),"")</f>
        <v/>
      </c>
      <c r="I476" s="19" t="str">
        <f aca="false">IFERROR(INDEX(Exercícios!$D$7:$D$206,MATCH($G476,Exercícios!$B$7:$B$206,0)),"")</f>
        <v/>
      </c>
      <c r="J476" s="19" t="str">
        <f aca="false">IFERROR(INDEX(Exercícios!$E$7:$E$206,MATCH($G476,Exercícios!$B$7:$B$206,0)),"")</f>
        <v/>
      </c>
      <c r="K476" s="22"/>
      <c r="L476" s="22"/>
      <c r="M476" s="20"/>
      <c r="N476" s="22"/>
      <c r="O476" s="22"/>
      <c r="P476" s="22"/>
      <c r="Q476" s="19" t="n">
        <f aca="false">IFERROR($K476*$L476,"")</f>
        <v>0</v>
      </c>
      <c r="R476" s="48" t="n">
        <f aca="false">IF(OR($O476="",$P476=""),0,$O476*$P476)</f>
        <v>0</v>
      </c>
      <c r="S476" s="20"/>
      <c r="T476" s="20"/>
      <c r="U476" s="33" t="n">
        <f aca="false">IF($A476="",0,IF(AND(OR($E476=Atleta!$C$4,$E476="Equipe (todos)"),$A476&gt;=Atleta!$C$5),MAX($U$7:U475)+1,0))</f>
        <v>0</v>
      </c>
    </row>
    <row r="477" customFormat="false" ht="15" hidden="false" customHeight="false" outlineLevel="0" collapsed="false">
      <c r="A477" s="21"/>
      <c r="B477" s="33" t="n">
        <f aca="false">IF($A477="",0,INT(($A477-Macrociclo!$C$11)/7)+1)</f>
        <v>0</v>
      </c>
      <c r="C477" s="22"/>
      <c r="D477" s="22"/>
      <c r="E477" s="20"/>
      <c r="F477" s="22"/>
      <c r="G477" s="20"/>
      <c r="H477" s="19" t="str">
        <f aca="false">IFERROR(INDEX(Exercícios!$C$7:$C$206,MATCH($G477,Exercícios!$B$7:$B$206,0)),"")</f>
        <v/>
      </c>
      <c r="I477" s="19" t="str">
        <f aca="false">IFERROR(INDEX(Exercícios!$D$7:$D$206,MATCH($G477,Exercícios!$B$7:$B$206,0)),"")</f>
        <v/>
      </c>
      <c r="J477" s="19" t="str">
        <f aca="false">IFERROR(INDEX(Exercícios!$E$7:$E$206,MATCH($G477,Exercícios!$B$7:$B$206,0)),"")</f>
        <v/>
      </c>
      <c r="K477" s="22"/>
      <c r="L477" s="22"/>
      <c r="M477" s="20"/>
      <c r="N477" s="22"/>
      <c r="O477" s="22"/>
      <c r="P477" s="22"/>
      <c r="Q477" s="19" t="n">
        <f aca="false">IFERROR($K477*$L477,"")</f>
        <v>0</v>
      </c>
      <c r="R477" s="48" t="n">
        <f aca="false">IF(OR($O477="",$P477=""),0,$O477*$P477)</f>
        <v>0</v>
      </c>
      <c r="S477" s="20"/>
      <c r="T477" s="20"/>
      <c r="U477" s="33" t="n">
        <f aca="false">IF($A477="",0,IF(AND(OR($E477=Atleta!$C$4,$E477="Equipe (todos)"),$A477&gt;=Atleta!$C$5),MAX($U$7:U476)+1,0))</f>
        <v>0</v>
      </c>
    </row>
    <row r="478" customFormat="false" ht="15" hidden="false" customHeight="false" outlineLevel="0" collapsed="false">
      <c r="A478" s="21"/>
      <c r="B478" s="33" t="n">
        <f aca="false">IF($A478="",0,INT(($A478-Macrociclo!$C$11)/7)+1)</f>
        <v>0</v>
      </c>
      <c r="C478" s="22"/>
      <c r="D478" s="22"/>
      <c r="E478" s="20"/>
      <c r="F478" s="22"/>
      <c r="G478" s="20"/>
      <c r="H478" s="19" t="str">
        <f aca="false">IFERROR(INDEX(Exercícios!$C$7:$C$206,MATCH($G478,Exercícios!$B$7:$B$206,0)),"")</f>
        <v/>
      </c>
      <c r="I478" s="19" t="str">
        <f aca="false">IFERROR(INDEX(Exercícios!$D$7:$D$206,MATCH($G478,Exercícios!$B$7:$B$206,0)),"")</f>
        <v/>
      </c>
      <c r="J478" s="19" t="str">
        <f aca="false">IFERROR(INDEX(Exercícios!$E$7:$E$206,MATCH($G478,Exercícios!$B$7:$B$206,0)),"")</f>
        <v/>
      </c>
      <c r="K478" s="22"/>
      <c r="L478" s="22"/>
      <c r="M478" s="20"/>
      <c r="N478" s="22"/>
      <c r="O478" s="22"/>
      <c r="P478" s="22"/>
      <c r="Q478" s="19" t="n">
        <f aca="false">IFERROR($K478*$L478,"")</f>
        <v>0</v>
      </c>
      <c r="R478" s="48" t="n">
        <f aca="false">IF(OR($O478="",$P478=""),0,$O478*$P478)</f>
        <v>0</v>
      </c>
      <c r="S478" s="20"/>
      <c r="T478" s="20"/>
      <c r="U478" s="33" t="n">
        <f aca="false">IF($A478="",0,IF(AND(OR($E478=Atleta!$C$4,$E478="Equipe (todos)"),$A478&gt;=Atleta!$C$5),MAX($U$7:U477)+1,0))</f>
        <v>0</v>
      </c>
    </row>
    <row r="479" customFormat="false" ht="15" hidden="false" customHeight="false" outlineLevel="0" collapsed="false">
      <c r="A479" s="21"/>
      <c r="B479" s="33" t="n">
        <f aca="false">IF($A479="",0,INT(($A479-Macrociclo!$C$11)/7)+1)</f>
        <v>0</v>
      </c>
      <c r="C479" s="22"/>
      <c r="D479" s="22"/>
      <c r="E479" s="20"/>
      <c r="F479" s="22"/>
      <c r="G479" s="20"/>
      <c r="H479" s="19" t="str">
        <f aca="false">IFERROR(INDEX(Exercícios!$C$7:$C$206,MATCH($G479,Exercícios!$B$7:$B$206,0)),"")</f>
        <v/>
      </c>
      <c r="I479" s="19" t="str">
        <f aca="false">IFERROR(INDEX(Exercícios!$D$7:$D$206,MATCH($G479,Exercícios!$B$7:$B$206,0)),"")</f>
        <v/>
      </c>
      <c r="J479" s="19" t="str">
        <f aca="false">IFERROR(INDEX(Exercícios!$E$7:$E$206,MATCH($G479,Exercícios!$B$7:$B$206,0)),"")</f>
        <v/>
      </c>
      <c r="K479" s="22"/>
      <c r="L479" s="22"/>
      <c r="M479" s="20"/>
      <c r="N479" s="22"/>
      <c r="O479" s="22"/>
      <c r="P479" s="22"/>
      <c r="Q479" s="19" t="n">
        <f aca="false">IFERROR($K479*$L479,"")</f>
        <v>0</v>
      </c>
      <c r="R479" s="48" t="n">
        <f aca="false">IF(OR($O479="",$P479=""),0,$O479*$P479)</f>
        <v>0</v>
      </c>
      <c r="S479" s="20"/>
      <c r="T479" s="20"/>
      <c r="U479" s="33" t="n">
        <f aca="false">IF($A479="",0,IF(AND(OR($E479=Atleta!$C$4,$E479="Equipe (todos)"),$A479&gt;=Atleta!$C$5),MAX($U$7:U478)+1,0))</f>
        <v>0</v>
      </c>
    </row>
    <row r="480" customFormat="false" ht="15" hidden="false" customHeight="false" outlineLevel="0" collapsed="false">
      <c r="A480" s="21"/>
      <c r="B480" s="33" t="n">
        <f aca="false">IF($A480="",0,INT(($A480-Macrociclo!$C$11)/7)+1)</f>
        <v>0</v>
      </c>
      <c r="C480" s="22"/>
      <c r="D480" s="22"/>
      <c r="E480" s="20"/>
      <c r="F480" s="22"/>
      <c r="G480" s="20"/>
      <c r="H480" s="19" t="str">
        <f aca="false">IFERROR(INDEX(Exercícios!$C$7:$C$206,MATCH($G480,Exercícios!$B$7:$B$206,0)),"")</f>
        <v/>
      </c>
      <c r="I480" s="19" t="str">
        <f aca="false">IFERROR(INDEX(Exercícios!$D$7:$D$206,MATCH($G480,Exercícios!$B$7:$B$206,0)),"")</f>
        <v/>
      </c>
      <c r="J480" s="19" t="str">
        <f aca="false">IFERROR(INDEX(Exercícios!$E$7:$E$206,MATCH($G480,Exercícios!$B$7:$B$206,0)),"")</f>
        <v/>
      </c>
      <c r="K480" s="22"/>
      <c r="L480" s="22"/>
      <c r="M480" s="20"/>
      <c r="N480" s="22"/>
      <c r="O480" s="22"/>
      <c r="P480" s="22"/>
      <c r="Q480" s="19" t="n">
        <f aca="false">IFERROR($K480*$L480,"")</f>
        <v>0</v>
      </c>
      <c r="R480" s="48" t="n">
        <f aca="false">IF(OR($O480="",$P480=""),0,$O480*$P480)</f>
        <v>0</v>
      </c>
      <c r="S480" s="20"/>
      <c r="T480" s="20"/>
      <c r="U480" s="33" t="n">
        <f aca="false">IF($A480="",0,IF(AND(OR($E480=Atleta!$C$4,$E480="Equipe (todos)"),$A480&gt;=Atleta!$C$5),MAX($U$7:U479)+1,0))</f>
        <v>0</v>
      </c>
    </row>
    <row r="481" customFormat="false" ht="15" hidden="false" customHeight="false" outlineLevel="0" collapsed="false">
      <c r="A481" s="21"/>
      <c r="B481" s="33" t="n">
        <f aca="false">IF($A481="",0,INT(($A481-Macrociclo!$C$11)/7)+1)</f>
        <v>0</v>
      </c>
      <c r="C481" s="22"/>
      <c r="D481" s="22"/>
      <c r="E481" s="20"/>
      <c r="F481" s="22"/>
      <c r="G481" s="20"/>
      <c r="H481" s="19" t="str">
        <f aca="false">IFERROR(INDEX(Exercícios!$C$7:$C$206,MATCH($G481,Exercícios!$B$7:$B$206,0)),"")</f>
        <v/>
      </c>
      <c r="I481" s="19" t="str">
        <f aca="false">IFERROR(INDEX(Exercícios!$D$7:$D$206,MATCH($G481,Exercícios!$B$7:$B$206,0)),"")</f>
        <v/>
      </c>
      <c r="J481" s="19" t="str">
        <f aca="false">IFERROR(INDEX(Exercícios!$E$7:$E$206,MATCH($G481,Exercícios!$B$7:$B$206,0)),"")</f>
        <v/>
      </c>
      <c r="K481" s="22"/>
      <c r="L481" s="22"/>
      <c r="M481" s="20"/>
      <c r="N481" s="22"/>
      <c r="O481" s="22"/>
      <c r="P481" s="22"/>
      <c r="Q481" s="19" t="n">
        <f aca="false">IFERROR($K481*$L481,"")</f>
        <v>0</v>
      </c>
      <c r="R481" s="48" t="n">
        <f aca="false">IF(OR($O481="",$P481=""),0,$O481*$P481)</f>
        <v>0</v>
      </c>
      <c r="S481" s="20"/>
      <c r="T481" s="20"/>
      <c r="U481" s="33" t="n">
        <f aca="false">IF($A481="",0,IF(AND(OR($E481=Atleta!$C$4,$E481="Equipe (todos)"),$A481&gt;=Atleta!$C$5),MAX($U$7:U480)+1,0))</f>
        <v>0</v>
      </c>
    </row>
    <row r="482" customFormat="false" ht="15" hidden="false" customHeight="false" outlineLevel="0" collapsed="false">
      <c r="A482" s="21"/>
      <c r="B482" s="33" t="n">
        <f aca="false">IF($A482="",0,INT(($A482-Macrociclo!$C$11)/7)+1)</f>
        <v>0</v>
      </c>
      <c r="C482" s="22"/>
      <c r="D482" s="22"/>
      <c r="E482" s="20"/>
      <c r="F482" s="22"/>
      <c r="G482" s="20"/>
      <c r="H482" s="19" t="str">
        <f aca="false">IFERROR(INDEX(Exercícios!$C$7:$C$206,MATCH($G482,Exercícios!$B$7:$B$206,0)),"")</f>
        <v/>
      </c>
      <c r="I482" s="19" t="str">
        <f aca="false">IFERROR(INDEX(Exercícios!$D$7:$D$206,MATCH($G482,Exercícios!$B$7:$B$206,0)),"")</f>
        <v/>
      </c>
      <c r="J482" s="19" t="str">
        <f aca="false">IFERROR(INDEX(Exercícios!$E$7:$E$206,MATCH($G482,Exercícios!$B$7:$B$206,0)),"")</f>
        <v/>
      </c>
      <c r="K482" s="22"/>
      <c r="L482" s="22"/>
      <c r="M482" s="20"/>
      <c r="N482" s="22"/>
      <c r="O482" s="22"/>
      <c r="P482" s="22"/>
      <c r="Q482" s="19" t="n">
        <f aca="false">IFERROR($K482*$L482,"")</f>
        <v>0</v>
      </c>
      <c r="R482" s="48" t="n">
        <f aca="false">IF(OR($O482="",$P482=""),0,$O482*$P482)</f>
        <v>0</v>
      </c>
      <c r="S482" s="20"/>
      <c r="T482" s="20"/>
      <c r="U482" s="33" t="n">
        <f aca="false">IF($A482="",0,IF(AND(OR($E482=Atleta!$C$4,$E482="Equipe (todos)"),$A482&gt;=Atleta!$C$5),MAX($U$7:U481)+1,0))</f>
        <v>0</v>
      </c>
    </row>
    <row r="483" customFormat="false" ht="15" hidden="false" customHeight="false" outlineLevel="0" collapsed="false">
      <c r="A483" s="21"/>
      <c r="B483" s="33" t="n">
        <f aca="false">IF($A483="",0,INT(($A483-Macrociclo!$C$11)/7)+1)</f>
        <v>0</v>
      </c>
      <c r="C483" s="22"/>
      <c r="D483" s="22"/>
      <c r="E483" s="20"/>
      <c r="F483" s="22"/>
      <c r="G483" s="20"/>
      <c r="H483" s="19" t="str">
        <f aca="false">IFERROR(INDEX(Exercícios!$C$7:$C$206,MATCH($G483,Exercícios!$B$7:$B$206,0)),"")</f>
        <v/>
      </c>
      <c r="I483" s="19" t="str">
        <f aca="false">IFERROR(INDEX(Exercícios!$D$7:$D$206,MATCH($G483,Exercícios!$B$7:$B$206,0)),"")</f>
        <v/>
      </c>
      <c r="J483" s="19" t="str">
        <f aca="false">IFERROR(INDEX(Exercícios!$E$7:$E$206,MATCH($G483,Exercícios!$B$7:$B$206,0)),"")</f>
        <v/>
      </c>
      <c r="K483" s="22"/>
      <c r="L483" s="22"/>
      <c r="M483" s="20"/>
      <c r="N483" s="22"/>
      <c r="O483" s="22"/>
      <c r="P483" s="22"/>
      <c r="Q483" s="19" t="n">
        <f aca="false">IFERROR($K483*$L483,"")</f>
        <v>0</v>
      </c>
      <c r="R483" s="48" t="n">
        <f aca="false">IF(OR($O483="",$P483=""),0,$O483*$P483)</f>
        <v>0</v>
      </c>
      <c r="S483" s="20"/>
      <c r="T483" s="20"/>
      <c r="U483" s="33" t="n">
        <f aca="false">IF($A483="",0,IF(AND(OR($E483=Atleta!$C$4,$E483="Equipe (todos)"),$A483&gt;=Atleta!$C$5),MAX($U$7:U482)+1,0))</f>
        <v>0</v>
      </c>
    </row>
    <row r="484" customFormat="false" ht="15" hidden="false" customHeight="false" outlineLevel="0" collapsed="false">
      <c r="A484" s="21"/>
      <c r="B484" s="33" t="n">
        <f aca="false">IF($A484="",0,INT(($A484-Macrociclo!$C$11)/7)+1)</f>
        <v>0</v>
      </c>
      <c r="C484" s="22"/>
      <c r="D484" s="22"/>
      <c r="E484" s="20"/>
      <c r="F484" s="22"/>
      <c r="G484" s="20"/>
      <c r="H484" s="19" t="str">
        <f aca="false">IFERROR(INDEX(Exercícios!$C$7:$C$206,MATCH($G484,Exercícios!$B$7:$B$206,0)),"")</f>
        <v/>
      </c>
      <c r="I484" s="19" t="str">
        <f aca="false">IFERROR(INDEX(Exercícios!$D$7:$D$206,MATCH($G484,Exercícios!$B$7:$B$206,0)),"")</f>
        <v/>
      </c>
      <c r="J484" s="19" t="str">
        <f aca="false">IFERROR(INDEX(Exercícios!$E$7:$E$206,MATCH($G484,Exercícios!$B$7:$B$206,0)),"")</f>
        <v/>
      </c>
      <c r="K484" s="22"/>
      <c r="L484" s="22"/>
      <c r="M484" s="20"/>
      <c r="N484" s="22"/>
      <c r="O484" s="22"/>
      <c r="P484" s="22"/>
      <c r="Q484" s="19" t="n">
        <f aca="false">IFERROR($K484*$L484,"")</f>
        <v>0</v>
      </c>
      <c r="R484" s="48" t="n">
        <f aca="false">IF(OR($O484="",$P484=""),0,$O484*$P484)</f>
        <v>0</v>
      </c>
      <c r="S484" s="20"/>
      <c r="T484" s="20"/>
      <c r="U484" s="33" t="n">
        <f aca="false">IF($A484="",0,IF(AND(OR($E484=Atleta!$C$4,$E484="Equipe (todos)"),$A484&gt;=Atleta!$C$5),MAX($U$7:U483)+1,0))</f>
        <v>0</v>
      </c>
    </row>
    <row r="485" customFormat="false" ht="15" hidden="false" customHeight="false" outlineLevel="0" collapsed="false">
      <c r="A485" s="21"/>
      <c r="B485" s="33" t="n">
        <f aca="false">IF($A485="",0,INT(($A485-Macrociclo!$C$11)/7)+1)</f>
        <v>0</v>
      </c>
      <c r="C485" s="22"/>
      <c r="D485" s="22"/>
      <c r="E485" s="20"/>
      <c r="F485" s="22"/>
      <c r="G485" s="20"/>
      <c r="H485" s="19" t="str">
        <f aca="false">IFERROR(INDEX(Exercícios!$C$7:$C$206,MATCH($G485,Exercícios!$B$7:$B$206,0)),"")</f>
        <v/>
      </c>
      <c r="I485" s="19" t="str">
        <f aca="false">IFERROR(INDEX(Exercícios!$D$7:$D$206,MATCH($G485,Exercícios!$B$7:$B$206,0)),"")</f>
        <v/>
      </c>
      <c r="J485" s="19" t="str">
        <f aca="false">IFERROR(INDEX(Exercícios!$E$7:$E$206,MATCH($G485,Exercícios!$B$7:$B$206,0)),"")</f>
        <v/>
      </c>
      <c r="K485" s="22"/>
      <c r="L485" s="22"/>
      <c r="M485" s="20"/>
      <c r="N485" s="22"/>
      <c r="O485" s="22"/>
      <c r="P485" s="22"/>
      <c r="Q485" s="19" t="n">
        <f aca="false">IFERROR($K485*$L485,"")</f>
        <v>0</v>
      </c>
      <c r="R485" s="48" t="n">
        <f aca="false">IF(OR($O485="",$P485=""),0,$O485*$P485)</f>
        <v>0</v>
      </c>
      <c r="S485" s="20"/>
      <c r="T485" s="20"/>
      <c r="U485" s="33" t="n">
        <f aca="false">IF($A485="",0,IF(AND(OR($E485=Atleta!$C$4,$E485="Equipe (todos)"),$A485&gt;=Atleta!$C$5),MAX($U$7:U484)+1,0))</f>
        <v>0</v>
      </c>
    </row>
    <row r="486" customFormat="false" ht="15" hidden="false" customHeight="false" outlineLevel="0" collapsed="false">
      <c r="A486" s="21"/>
      <c r="B486" s="33" t="n">
        <f aca="false">IF($A486="",0,INT(($A486-Macrociclo!$C$11)/7)+1)</f>
        <v>0</v>
      </c>
      <c r="C486" s="22"/>
      <c r="D486" s="22"/>
      <c r="E486" s="20"/>
      <c r="F486" s="22"/>
      <c r="G486" s="20"/>
      <c r="H486" s="19" t="str">
        <f aca="false">IFERROR(INDEX(Exercícios!$C$7:$C$206,MATCH($G486,Exercícios!$B$7:$B$206,0)),"")</f>
        <v/>
      </c>
      <c r="I486" s="19" t="str">
        <f aca="false">IFERROR(INDEX(Exercícios!$D$7:$D$206,MATCH($G486,Exercícios!$B$7:$B$206,0)),"")</f>
        <v/>
      </c>
      <c r="J486" s="19" t="str">
        <f aca="false">IFERROR(INDEX(Exercícios!$E$7:$E$206,MATCH($G486,Exercícios!$B$7:$B$206,0)),"")</f>
        <v/>
      </c>
      <c r="K486" s="22"/>
      <c r="L486" s="22"/>
      <c r="M486" s="20"/>
      <c r="N486" s="22"/>
      <c r="O486" s="22"/>
      <c r="P486" s="22"/>
      <c r="Q486" s="19" t="n">
        <f aca="false">IFERROR($K486*$L486,"")</f>
        <v>0</v>
      </c>
      <c r="R486" s="48" t="n">
        <f aca="false">IF(OR($O486="",$P486=""),0,$O486*$P486)</f>
        <v>0</v>
      </c>
      <c r="S486" s="20"/>
      <c r="T486" s="20"/>
      <c r="U486" s="33" t="n">
        <f aca="false">IF($A486="",0,IF(AND(OR($E486=Atleta!$C$4,$E486="Equipe (todos)"),$A486&gt;=Atleta!$C$5),MAX($U$7:U485)+1,0))</f>
        <v>0</v>
      </c>
    </row>
    <row r="487" customFormat="false" ht="15" hidden="false" customHeight="false" outlineLevel="0" collapsed="false">
      <c r="A487" s="21"/>
      <c r="B487" s="33" t="n">
        <f aca="false">IF($A487="",0,INT(($A487-Macrociclo!$C$11)/7)+1)</f>
        <v>0</v>
      </c>
      <c r="C487" s="22"/>
      <c r="D487" s="22"/>
      <c r="E487" s="20"/>
      <c r="F487" s="22"/>
      <c r="G487" s="20"/>
      <c r="H487" s="19" t="str">
        <f aca="false">IFERROR(INDEX(Exercícios!$C$7:$C$206,MATCH($G487,Exercícios!$B$7:$B$206,0)),"")</f>
        <v/>
      </c>
      <c r="I487" s="19" t="str">
        <f aca="false">IFERROR(INDEX(Exercícios!$D$7:$D$206,MATCH($G487,Exercícios!$B$7:$B$206,0)),"")</f>
        <v/>
      </c>
      <c r="J487" s="19" t="str">
        <f aca="false">IFERROR(INDEX(Exercícios!$E$7:$E$206,MATCH($G487,Exercícios!$B$7:$B$206,0)),"")</f>
        <v/>
      </c>
      <c r="K487" s="22"/>
      <c r="L487" s="22"/>
      <c r="M487" s="20"/>
      <c r="N487" s="22"/>
      <c r="O487" s="22"/>
      <c r="P487" s="22"/>
      <c r="Q487" s="19" t="n">
        <f aca="false">IFERROR($K487*$L487,"")</f>
        <v>0</v>
      </c>
      <c r="R487" s="48" t="n">
        <f aca="false">IF(OR($O487="",$P487=""),0,$O487*$P487)</f>
        <v>0</v>
      </c>
      <c r="S487" s="20"/>
      <c r="T487" s="20"/>
      <c r="U487" s="33" t="n">
        <f aca="false">IF($A487="",0,IF(AND(OR($E487=Atleta!$C$4,$E487="Equipe (todos)"),$A487&gt;=Atleta!$C$5),MAX($U$7:U486)+1,0))</f>
        <v>0</v>
      </c>
    </row>
    <row r="488" customFormat="false" ht="15" hidden="false" customHeight="false" outlineLevel="0" collapsed="false">
      <c r="A488" s="21"/>
      <c r="B488" s="33" t="n">
        <f aca="false">IF($A488="",0,INT(($A488-Macrociclo!$C$11)/7)+1)</f>
        <v>0</v>
      </c>
      <c r="C488" s="22"/>
      <c r="D488" s="22"/>
      <c r="E488" s="20"/>
      <c r="F488" s="22"/>
      <c r="G488" s="20"/>
      <c r="H488" s="19" t="str">
        <f aca="false">IFERROR(INDEX(Exercícios!$C$7:$C$206,MATCH($G488,Exercícios!$B$7:$B$206,0)),"")</f>
        <v/>
      </c>
      <c r="I488" s="19" t="str">
        <f aca="false">IFERROR(INDEX(Exercícios!$D$7:$D$206,MATCH($G488,Exercícios!$B$7:$B$206,0)),"")</f>
        <v/>
      </c>
      <c r="J488" s="19" t="str">
        <f aca="false">IFERROR(INDEX(Exercícios!$E$7:$E$206,MATCH($G488,Exercícios!$B$7:$B$206,0)),"")</f>
        <v/>
      </c>
      <c r="K488" s="22"/>
      <c r="L488" s="22"/>
      <c r="M488" s="20"/>
      <c r="N488" s="22"/>
      <c r="O488" s="22"/>
      <c r="P488" s="22"/>
      <c r="Q488" s="19" t="n">
        <f aca="false">IFERROR($K488*$L488,"")</f>
        <v>0</v>
      </c>
      <c r="R488" s="48" t="n">
        <f aca="false">IF(OR($O488="",$P488=""),0,$O488*$P488)</f>
        <v>0</v>
      </c>
      <c r="S488" s="20"/>
      <c r="T488" s="20"/>
      <c r="U488" s="33" t="n">
        <f aca="false">IF($A488="",0,IF(AND(OR($E488=Atleta!$C$4,$E488="Equipe (todos)"),$A488&gt;=Atleta!$C$5),MAX($U$7:U487)+1,0))</f>
        <v>0</v>
      </c>
    </row>
    <row r="489" customFormat="false" ht="15" hidden="false" customHeight="false" outlineLevel="0" collapsed="false">
      <c r="A489" s="21"/>
      <c r="B489" s="33" t="n">
        <f aca="false">IF($A489="",0,INT(($A489-Macrociclo!$C$11)/7)+1)</f>
        <v>0</v>
      </c>
      <c r="C489" s="22"/>
      <c r="D489" s="22"/>
      <c r="E489" s="20"/>
      <c r="F489" s="22"/>
      <c r="G489" s="20"/>
      <c r="H489" s="19" t="str">
        <f aca="false">IFERROR(INDEX(Exercícios!$C$7:$C$206,MATCH($G489,Exercícios!$B$7:$B$206,0)),"")</f>
        <v/>
      </c>
      <c r="I489" s="19" t="str">
        <f aca="false">IFERROR(INDEX(Exercícios!$D$7:$D$206,MATCH($G489,Exercícios!$B$7:$B$206,0)),"")</f>
        <v/>
      </c>
      <c r="J489" s="19" t="str">
        <f aca="false">IFERROR(INDEX(Exercícios!$E$7:$E$206,MATCH($G489,Exercícios!$B$7:$B$206,0)),"")</f>
        <v/>
      </c>
      <c r="K489" s="22"/>
      <c r="L489" s="22"/>
      <c r="M489" s="20"/>
      <c r="N489" s="22"/>
      <c r="O489" s="22"/>
      <c r="P489" s="22"/>
      <c r="Q489" s="19" t="n">
        <f aca="false">IFERROR($K489*$L489,"")</f>
        <v>0</v>
      </c>
      <c r="R489" s="48" t="n">
        <f aca="false">IF(OR($O489="",$P489=""),0,$O489*$P489)</f>
        <v>0</v>
      </c>
      <c r="S489" s="20"/>
      <c r="T489" s="20"/>
      <c r="U489" s="33" t="n">
        <f aca="false">IF($A489="",0,IF(AND(OR($E489=Atleta!$C$4,$E489="Equipe (todos)"),$A489&gt;=Atleta!$C$5),MAX($U$7:U488)+1,0))</f>
        <v>0</v>
      </c>
    </row>
    <row r="490" customFormat="false" ht="15" hidden="false" customHeight="false" outlineLevel="0" collapsed="false">
      <c r="A490" s="21"/>
      <c r="B490" s="33" t="n">
        <f aca="false">IF($A490="",0,INT(($A490-Macrociclo!$C$11)/7)+1)</f>
        <v>0</v>
      </c>
      <c r="C490" s="22"/>
      <c r="D490" s="22"/>
      <c r="E490" s="20"/>
      <c r="F490" s="22"/>
      <c r="G490" s="20"/>
      <c r="H490" s="19" t="str">
        <f aca="false">IFERROR(INDEX(Exercícios!$C$7:$C$206,MATCH($G490,Exercícios!$B$7:$B$206,0)),"")</f>
        <v/>
      </c>
      <c r="I490" s="19" t="str">
        <f aca="false">IFERROR(INDEX(Exercícios!$D$7:$D$206,MATCH($G490,Exercícios!$B$7:$B$206,0)),"")</f>
        <v/>
      </c>
      <c r="J490" s="19" t="str">
        <f aca="false">IFERROR(INDEX(Exercícios!$E$7:$E$206,MATCH($G490,Exercícios!$B$7:$B$206,0)),"")</f>
        <v/>
      </c>
      <c r="K490" s="22"/>
      <c r="L490" s="22"/>
      <c r="M490" s="20"/>
      <c r="N490" s="22"/>
      <c r="O490" s="22"/>
      <c r="P490" s="22"/>
      <c r="Q490" s="19" t="n">
        <f aca="false">IFERROR($K490*$L490,"")</f>
        <v>0</v>
      </c>
      <c r="R490" s="48" t="n">
        <f aca="false">IF(OR($O490="",$P490=""),0,$O490*$P490)</f>
        <v>0</v>
      </c>
      <c r="S490" s="20"/>
      <c r="T490" s="20"/>
      <c r="U490" s="33" t="n">
        <f aca="false">IF($A490="",0,IF(AND(OR($E490=Atleta!$C$4,$E490="Equipe (todos)"),$A490&gt;=Atleta!$C$5),MAX($U$7:U489)+1,0))</f>
        <v>0</v>
      </c>
    </row>
    <row r="491" customFormat="false" ht="15" hidden="false" customHeight="false" outlineLevel="0" collapsed="false">
      <c r="A491" s="21"/>
      <c r="B491" s="33" t="n">
        <f aca="false">IF($A491="",0,INT(($A491-Macrociclo!$C$11)/7)+1)</f>
        <v>0</v>
      </c>
      <c r="C491" s="22"/>
      <c r="D491" s="22"/>
      <c r="E491" s="20"/>
      <c r="F491" s="22"/>
      <c r="G491" s="20"/>
      <c r="H491" s="19" t="str">
        <f aca="false">IFERROR(INDEX(Exercícios!$C$7:$C$206,MATCH($G491,Exercícios!$B$7:$B$206,0)),"")</f>
        <v/>
      </c>
      <c r="I491" s="19" t="str">
        <f aca="false">IFERROR(INDEX(Exercícios!$D$7:$D$206,MATCH($G491,Exercícios!$B$7:$B$206,0)),"")</f>
        <v/>
      </c>
      <c r="J491" s="19" t="str">
        <f aca="false">IFERROR(INDEX(Exercícios!$E$7:$E$206,MATCH($G491,Exercícios!$B$7:$B$206,0)),"")</f>
        <v/>
      </c>
      <c r="K491" s="22"/>
      <c r="L491" s="22"/>
      <c r="M491" s="20"/>
      <c r="N491" s="22"/>
      <c r="O491" s="22"/>
      <c r="P491" s="22"/>
      <c r="Q491" s="19" t="n">
        <f aca="false">IFERROR($K491*$L491,"")</f>
        <v>0</v>
      </c>
      <c r="R491" s="48" t="n">
        <f aca="false">IF(OR($O491="",$P491=""),0,$O491*$P491)</f>
        <v>0</v>
      </c>
      <c r="S491" s="20"/>
      <c r="T491" s="20"/>
      <c r="U491" s="33" t="n">
        <f aca="false">IF($A491="",0,IF(AND(OR($E491=Atleta!$C$4,$E491="Equipe (todos)"),$A491&gt;=Atleta!$C$5),MAX($U$7:U490)+1,0))</f>
        <v>0</v>
      </c>
    </row>
    <row r="492" customFormat="false" ht="15" hidden="false" customHeight="false" outlineLevel="0" collapsed="false">
      <c r="A492" s="21"/>
      <c r="B492" s="33" t="n">
        <f aca="false">IF($A492="",0,INT(($A492-Macrociclo!$C$11)/7)+1)</f>
        <v>0</v>
      </c>
      <c r="C492" s="22"/>
      <c r="D492" s="22"/>
      <c r="E492" s="20"/>
      <c r="F492" s="22"/>
      <c r="G492" s="20"/>
      <c r="H492" s="19" t="str">
        <f aca="false">IFERROR(INDEX(Exercícios!$C$7:$C$206,MATCH($G492,Exercícios!$B$7:$B$206,0)),"")</f>
        <v/>
      </c>
      <c r="I492" s="19" t="str">
        <f aca="false">IFERROR(INDEX(Exercícios!$D$7:$D$206,MATCH($G492,Exercícios!$B$7:$B$206,0)),"")</f>
        <v/>
      </c>
      <c r="J492" s="19" t="str">
        <f aca="false">IFERROR(INDEX(Exercícios!$E$7:$E$206,MATCH($G492,Exercícios!$B$7:$B$206,0)),"")</f>
        <v/>
      </c>
      <c r="K492" s="22"/>
      <c r="L492" s="22"/>
      <c r="M492" s="20"/>
      <c r="N492" s="22"/>
      <c r="O492" s="22"/>
      <c r="P492" s="22"/>
      <c r="Q492" s="19" t="n">
        <f aca="false">IFERROR($K492*$L492,"")</f>
        <v>0</v>
      </c>
      <c r="R492" s="48" t="n">
        <f aca="false">IF(OR($O492="",$P492=""),0,$O492*$P492)</f>
        <v>0</v>
      </c>
      <c r="S492" s="20"/>
      <c r="T492" s="20"/>
      <c r="U492" s="33" t="n">
        <f aca="false">IF($A492="",0,IF(AND(OR($E492=Atleta!$C$4,$E492="Equipe (todos)"),$A492&gt;=Atleta!$C$5),MAX($U$7:U491)+1,0))</f>
        <v>0</v>
      </c>
    </row>
    <row r="493" customFormat="false" ht="15" hidden="false" customHeight="false" outlineLevel="0" collapsed="false">
      <c r="A493" s="21"/>
      <c r="B493" s="33" t="n">
        <f aca="false">IF($A493="",0,INT(($A493-Macrociclo!$C$11)/7)+1)</f>
        <v>0</v>
      </c>
      <c r="C493" s="22"/>
      <c r="D493" s="22"/>
      <c r="E493" s="20"/>
      <c r="F493" s="22"/>
      <c r="G493" s="20"/>
      <c r="H493" s="19" t="str">
        <f aca="false">IFERROR(INDEX(Exercícios!$C$7:$C$206,MATCH($G493,Exercícios!$B$7:$B$206,0)),"")</f>
        <v/>
      </c>
      <c r="I493" s="19" t="str">
        <f aca="false">IFERROR(INDEX(Exercícios!$D$7:$D$206,MATCH($G493,Exercícios!$B$7:$B$206,0)),"")</f>
        <v/>
      </c>
      <c r="J493" s="19" t="str">
        <f aca="false">IFERROR(INDEX(Exercícios!$E$7:$E$206,MATCH($G493,Exercícios!$B$7:$B$206,0)),"")</f>
        <v/>
      </c>
      <c r="K493" s="22"/>
      <c r="L493" s="22"/>
      <c r="M493" s="20"/>
      <c r="N493" s="22"/>
      <c r="O493" s="22"/>
      <c r="P493" s="22"/>
      <c r="Q493" s="19" t="n">
        <f aca="false">IFERROR($K493*$L493,"")</f>
        <v>0</v>
      </c>
      <c r="R493" s="48" t="n">
        <f aca="false">IF(OR($O493="",$P493=""),0,$O493*$P493)</f>
        <v>0</v>
      </c>
      <c r="S493" s="20"/>
      <c r="T493" s="20"/>
      <c r="U493" s="33" t="n">
        <f aca="false">IF($A493="",0,IF(AND(OR($E493=Atleta!$C$4,$E493="Equipe (todos)"),$A493&gt;=Atleta!$C$5),MAX($U$7:U492)+1,0))</f>
        <v>0</v>
      </c>
    </row>
    <row r="494" customFormat="false" ht="15" hidden="false" customHeight="false" outlineLevel="0" collapsed="false">
      <c r="A494" s="21"/>
      <c r="B494" s="33" t="n">
        <f aca="false">IF($A494="",0,INT(($A494-Macrociclo!$C$11)/7)+1)</f>
        <v>0</v>
      </c>
      <c r="C494" s="22"/>
      <c r="D494" s="22"/>
      <c r="E494" s="20"/>
      <c r="F494" s="22"/>
      <c r="G494" s="20"/>
      <c r="H494" s="19" t="str">
        <f aca="false">IFERROR(INDEX(Exercícios!$C$7:$C$206,MATCH($G494,Exercícios!$B$7:$B$206,0)),"")</f>
        <v/>
      </c>
      <c r="I494" s="19" t="str">
        <f aca="false">IFERROR(INDEX(Exercícios!$D$7:$D$206,MATCH($G494,Exercícios!$B$7:$B$206,0)),"")</f>
        <v/>
      </c>
      <c r="J494" s="19" t="str">
        <f aca="false">IFERROR(INDEX(Exercícios!$E$7:$E$206,MATCH($G494,Exercícios!$B$7:$B$206,0)),"")</f>
        <v/>
      </c>
      <c r="K494" s="22"/>
      <c r="L494" s="22"/>
      <c r="M494" s="20"/>
      <c r="N494" s="22"/>
      <c r="O494" s="22"/>
      <c r="P494" s="22"/>
      <c r="Q494" s="19" t="n">
        <f aca="false">IFERROR($K494*$L494,"")</f>
        <v>0</v>
      </c>
      <c r="R494" s="48" t="n">
        <f aca="false">IF(OR($O494="",$P494=""),0,$O494*$P494)</f>
        <v>0</v>
      </c>
      <c r="S494" s="20"/>
      <c r="T494" s="20"/>
      <c r="U494" s="33" t="n">
        <f aca="false">IF($A494="",0,IF(AND(OR($E494=Atleta!$C$4,$E494="Equipe (todos)"),$A494&gt;=Atleta!$C$5),MAX($U$7:U493)+1,0))</f>
        <v>0</v>
      </c>
    </row>
    <row r="495" customFormat="false" ht="15" hidden="false" customHeight="false" outlineLevel="0" collapsed="false">
      <c r="A495" s="21"/>
      <c r="B495" s="33" t="n">
        <f aca="false">IF($A495="",0,INT(($A495-Macrociclo!$C$11)/7)+1)</f>
        <v>0</v>
      </c>
      <c r="C495" s="22"/>
      <c r="D495" s="22"/>
      <c r="E495" s="20"/>
      <c r="F495" s="22"/>
      <c r="G495" s="20"/>
      <c r="H495" s="19" t="str">
        <f aca="false">IFERROR(INDEX(Exercícios!$C$7:$C$206,MATCH($G495,Exercícios!$B$7:$B$206,0)),"")</f>
        <v/>
      </c>
      <c r="I495" s="19" t="str">
        <f aca="false">IFERROR(INDEX(Exercícios!$D$7:$D$206,MATCH($G495,Exercícios!$B$7:$B$206,0)),"")</f>
        <v/>
      </c>
      <c r="J495" s="19" t="str">
        <f aca="false">IFERROR(INDEX(Exercícios!$E$7:$E$206,MATCH($G495,Exercícios!$B$7:$B$206,0)),"")</f>
        <v/>
      </c>
      <c r="K495" s="22"/>
      <c r="L495" s="22"/>
      <c r="M495" s="20"/>
      <c r="N495" s="22"/>
      <c r="O495" s="22"/>
      <c r="P495" s="22"/>
      <c r="Q495" s="19" t="n">
        <f aca="false">IFERROR($K495*$L495,"")</f>
        <v>0</v>
      </c>
      <c r="R495" s="48" t="n">
        <f aca="false">IF(OR($O495="",$P495=""),0,$O495*$P495)</f>
        <v>0</v>
      </c>
      <c r="S495" s="20"/>
      <c r="T495" s="20"/>
      <c r="U495" s="33" t="n">
        <f aca="false">IF($A495="",0,IF(AND(OR($E495=Atleta!$C$4,$E495="Equipe (todos)"),$A495&gt;=Atleta!$C$5),MAX($U$7:U494)+1,0))</f>
        <v>0</v>
      </c>
    </row>
    <row r="496" customFormat="false" ht="15" hidden="false" customHeight="false" outlineLevel="0" collapsed="false">
      <c r="A496" s="21"/>
      <c r="B496" s="33" t="n">
        <f aca="false">IF($A496="",0,INT(($A496-Macrociclo!$C$11)/7)+1)</f>
        <v>0</v>
      </c>
      <c r="C496" s="22"/>
      <c r="D496" s="22"/>
      <c r="E496" s="20"/>
      <c r="F496" s="22"/>
      <c r="G496" s="20"/>
      <c r="H496" s="19" t="str">
        <f aca="false">IFERROR(INDEX(Exercícios!$C$7:$C$206,MATCH($G496,Exercícios!$B$7:$B$206,0)),"")</f>
        <v/>
      </c>
      <c r="I496" s="19" t="str">
        <f aca="false">IFERROR(INDEX(Exercícios!$D$7:$D$206,MATCH($G496,Exercícios!$B$7:$B$206,0)),"")</f>
        <v/>
      </c>
      <c r="J496" s="19" t="str">
        <f aca="false">IFERROR(INDEX(Exercícios!$E$7:$E$206,MATCH($G496,Exercícios!$B$7:$B$206,0)),"")</f>
        <v/>
      </c>
      <c r="K496" s="22"/>
      <c r="L496" s="22"/>
      <c r="M496" s="20"/>
      <c r="N496" s="22"/>
      <c r="O496" s="22"/>
      <c r="P496" s="22"/>
      <c r="Q496" s="19" t="n">
        <f aca="false">IFERROR($K496*$L496,"")</f>
        <v>0</v>
      </c>
      <c r="R496" s="48" t="n">
        <f aca="false">IF(OR($O496="",$P496=""),0,$O496*$P496)</f>
        <v>0</v>
      </c>
      <c r="S496" s="20"/>
      <c r="T496" s="20"/>
      <c r="U496" s="33" t="n">
        <f aca="false">IF($A496="",0,IF(AND(OR($E496=Atleta!$C$4,$E496="Equipe (todos)"),$A496&gt;=Atleta!$C$5),MAX($U$7:U495)+1,0))</f>
        <v>0</v>
      </c>
    </row>
    <row r="497" customFormat="false" ht="15" hidden="false" customHeight="false" outlineLevel="0" collapsed="false">
      <c r="A497" s="21"/>
      <c r="B497" s="33" t="n">
        <f aca="false">IF($A497="",0,INT(($A497-Macrociclo!$C$11)/7)+1)</f>
        <v>0</v>
      </c>
      <c r="C497" s="22"/>
      <c r="D497" s="22"/>
      <c r="E497" s="20"/>
      <c r="F497" s="22"/>
      <c r="G497" s="20"/>
      <c r="H497" s="19" t="str">
        <f aca="false">IFERROR(INDEX(Exercícios!$C$7:$C$206,MATCH($G497,Exercícios!$B$7:$B$206,0)),"")</f>
        <v/>
      </c>
      <c r="I497" s="19" t="str">
        <f aca="false">IFERROR(INDEX(Exercícios!$D$7:$D$206,MATCH($G497,Exercícios!$B$7:$B$206,0)),"")</f>
        <v/>
      </c>
      <c r="J497" s="19" t="str">
        <f aca="false">IFERROR(INDEX(Exercícios!$E$7:$E$206,MATCH($G497,Exercícios!$B$7:$B$206,0)),"")</f>
        <v/>
      </c>
      <c r="K497" s="22"/>
      <c r="L497" s="22"/>
      <c r="M497" s="20"/>
      <c r="N497" s="22"/>
      <c r="O497" s="22"/>
      <c r="P497" s="22"/>
      <c r="Q497" s="19" t="n">
        <f aca="false">IFERROR($K497*$L497,"")</f>
        <v>0</v>
      </c>
      <c r="R497" s="48" t="n">
        <f aca="false">IF(OR($O497="",$P497=""),0,$O497*$P497)</f>
        <v>0</v>
      </c>
      <c r="S497" s="20"/>
      <c r="T497" s="20"/>
      <c r="U497" s="33" t="n">
        <f aca="false">IF($A497="",0,IF(AND(OR($E497=Atleta!$C$4,$E497="Equipe (todos)"),$A497&gt;=Atleta!$C$5),MAX($U$7:U496)+1,0))</f>
        <v>0</v>
      </c>
    </row>
    <row r="498" customFormat="false" ht="15" hidden="false" customHeight="false" outlineLevel="0" collapsed="false">
      <c r="A498" s="21"/>
      <c r="B498" s="33" t="n">
        <f aca="false">IF($A498="",0,INT(($A498-Macrociclo!$C$11)/7)+1)</f>
        <v>0</v>
      </c>
      <c r="C498" s="22"/>
      <c r="D498" s="22"/>
      <c r="E498" s="20"/>
      <c r="F498" s="22"/>
      <c r="G498" s="20"/>
      <c r="H498" s="19" t="str">
        <f aca="false">IFERROR(INDEX(Exercícios!$C$7:$C$206,MATCH($G498,Exercícios!$B$7:$B$206,0)),"")</f>
        <v/>
      </c>
      <c r="I498" s="19" t="str">
        <f aca="false">IFERROR(INDEX(Exercícios!$D$7:$D$206,MATCH($G498,Exercícios!$B$7:$B$206,0)),"")</f>
        <v/>
      </c>
      <c r="J498" s="19" t="str">
        <f aca="false">IFERROR(INDEX(Exercícios!$E$7:$E$206,MATCH($G498,Exercícios!$B$7:$B$206,0)),"")</f>
        <v/>
      </c>
      <c r="K498" s="22"/>
      <c r="L498" s="22"/>
      <c r="M498" s="20"/>
      <c r="N498" s="22"/>
      <c r="O498" s="22"/>
      <c r="P498" s="22"/>
      <c r="Q498" s="19" t="n">
        <f aca="false">IFERROR($K498*$L498,"")</f>
        <v>0</v>
      </c>
      <c r="R498" s="48" t="n">
        <f aca="false">IF(OR($O498="",$P498=""),0,$O498*$P498)</f>
        <v>0</v>
      </c>
      <c r="S498" s="20"/>
      <c r="T498" s="20"/>
      <c r="U498" s="33" t="n">
        <f aca="false">IF($A498="",0,IF(AND(OR($E498=Atleta!$C$4,$E498="Equipe (todos)"),$A498&gt;=Atleta!$C$5),MAX($U$7:U497)+1,0))</f>
        <v>0</v>
      </c>
    </row>
    <row r="499" customFormat="false" ht="15" hidden="false" customHeight="false" outlineLevel="0" collapsed="false">
      <c r="A499" s="21"/>
      <c r="B499" s="33" t="n">
        <f aca="false">IF($A499="",0,INT(($A499-Macrociclo!$C$11)/7)+1)</f>
        <v>0</v>
      </c>
      <c r="C499" s="22"/>
      <c r="D499" s="22"/>
      <c r="E499" s="20"/>
      <c r="F499" s="22"/>
      <c r="G499" s="20"/>
      <c r="H499" s="19" t="str">
        <f aca="false">IFERROR(INDEX(Exercícios!$C$7:$C$206,MATCH($G499,Exercícios!$B$7:$B$206,0)),"")</f>
        <v/>
      </c>
      <c r="I499" s="19" t="str">
        <f aca="false">IFERROR(INDEX(Exercícios!$D$7:$D$206,MATCH($G499,Exercícios!$B$7:$B$206,0)),"")</f>
        <v/>
      </c>
      <c r="J499" s="19" t="str">
        <f aca="false">IFERROR(INDEX(Exercícios!$E$7:$E$206,MATCH($G499,Exercícios!$B$7:$B$206,0)),"")</f>
        <v/>
      </c>
      <c r="K499" s="22"/>
      <c r="L499" s="22"/>
      <c r="M499" s="20"/>
      <c r="N499" s="22"/>
      <c r="O499" s="22"/>
      <c r="P499" s="22"/>
      <c r="Q499" s="19" t="n">
        <f aca="false">IFERROR($K499*$L499,"")</f>
        <v>0</v>
      </c>
      <c r="R499" s="48" t="n">
        <f aca="false">IF(OR($O499="",$P499=""),0,$O499*$P499)</f>
        <v>0</v>
      </c>
      <c r="S499" s="20"/>
      <c r="T499" s="20"/>
      <c r="U499" s="33" t="n">
        <f aca="false">IF($A499="",0,IF(AND(OR($E499=Atleta!$C$4,$E499="Equipe (todos)"),$A499&gt;=Atleta!$C$5),MAX($U$7:U498)+1,0))</f>
        <v>0</v>
      </c>
    </row>
    <row r="500" customFormat="false" ht="15" hidden="false" customHeight="false" outlineLevel="0" collapsed="false">
      <c r="A500" s="21"/>
      <c r="B500" s="33" t="n">
        <f aca="false">IF($A500="",0,INT(($A500-Macrociclo!$C$11)/7)+1)</f>
        <v>0</v>
      </c>
      <c r="C500" s="22"/>
      <c r="D500" s="22"/>
      <c r="E500" s="20"/>
      <c r="F500" s="22"/>
      <c r="G500" s="20"/>
      <c r="H500" s="19" t="str">
        <f aca="false">IFERROR(INDEX(Exercícios!$C$7:$C$206,MATCH($G500,Exercícios!$B$7:$B$206,0)),"")</f>
        <v/>
      </c>
      <c r="I500" s="19" t="str">
        <f aca="false">IFERROR(INDEX(Exercícios!$D$7:$D$206,MATCH($G500,Exercícios!$B$7:$B$206,0)),"")</f>
        <v/>
      </c>
      <c r="J500" s="19" t="str">
        <f aca="false">IFERROR(INDEX(Exercícios!$E$7:$E$206,MATCH($G500,Exercícios!$B$7:$B$206,0)),"")</f>
        <v/>
      </c>
      <c r="K500" s="22"/>
      <c r="L500" s="22"/>
      <c r="M500" s="20"/>
      <c r="N500" s="22"/>
      <c r="O500" s="22"/>
      <c r="P500" s="22"/>
      <c r="Q500" s="19" t="n">
        <f aca="false">IFERROR($K500*$L500,"")</f>
        <v>0</v>
      </c>
      <c r="R500" s="48" t="n">
        <f aca="false">IF(OR($O500="",$P500=""),0,$O500*$P500)</f>
        <v>0</v>
      </c>
      <c r="S500" s="20"/>
      <c r="T500" s="20"/>
      <c r="U500" s="33" t="n">
        <f aca="false">IF($A500="",0,IF(AND(OR($E500=Atleta!$C$4,$E500="Equipe (todos)"),$A500&gt;=Atleta!$C$5),MAX($U$7:U499)+1,0))</f>
        <v>0</v>
      </c>
    </row>
    <row r="501" customFormat="false" ht="15" hidden="false" customHeight="false" outlineLevel="0" collapsed="false">
      <c r="A501" s="21"/>
      <c r="B501" s="33" t="n">
        <f aca="false">IF($A501="",0,INT(($A501-Macrociclo!$C$11)/7)+1)</f>
        <v>0</v>
      </c>
      <c r="C501" s="22"/>
      <c r="D501" s="22"/>
      <c r="E501" s="20"/>
      <c r="F501" s="22"/>
      <c r="G501" s="20"/>
      <c r="H501" s="19" t="str">
        <f aca="false">IFERROR(INDEX(Exercícios!$C$7:$C$206,MATCH($G501,Exercícios!$B$7:$B$206,0)),"")</f>
        <v/>
      </c>
      <c r="I501" s="19" t="str">
        <f aca="false">IFERROR(INDEX(Exercícios!$D$7:$D$206,MATCH($G501,Exercícios!$B$7:$B$206,0)),"")</f>
        <v/>
      </c>
      <c r="J501" s="19" t="str">
        <f aca="false">IFERROR(INDEX(Exercícios!$E$7:$E$206,MATCH($G501,Exercícios!$B$7:$B$206,0)),"")</f>
        <v/>
      </c>
      <c r="K501" s="22"/>
      <c r="L501" s="22"/>
      <c r="M501" s="20"/>
      <c r="N501" s="22"/>
      <c r="O501" s="22"/>
      <c r="P501" s="22"/>
      <c r="Q501" s="19" t="n">
        <f aca="false">IFERROR($K501*$L501,"")</f>
        <v>0</v>
      </c>
      <c r="R501" s="48" t="n">
        <f aca="false">IF(OR($O501="",$P501=""),0,$O501*$P501)</f>
        <v>0</v>
      </c>
      <c r="S501" s="20"/>
      <c r="T501" s="20"/>
      <c r="U501" s="33" t="n">
        <f aca="false">IF($A501="",0,IF(AND(OR($E501=Atleta!$C$4,$E501="Equipe (todos)"),$A501&gt;=Atleta!$C$5),MAX($U$7:U500)+1,0))</f>
        <v>0</v>
      </c>
    </row>
    <row r="502" customFormat="false" ht="15" hidden="false" customHeight="false" outlineLevel="0" collapsed="false">
      <c r="A502" s="21"/>
      <c r="B502" s="33" t="n">
        <f aca="false">IF($A502="",0,INT(($A502-Macrociclo!$C$11)/7)+1)</f>
        <v>0</v>
      </c>
      <c r="C502" s="22"/>
      <c r="D502" s="22"/>
      <c r="E502" s="20"/>
      <c r="F502" s="22"/>
      <c r="G502" s="20"/>
      <c r="H502" s="19" t="str">
        <f aca="false">IFERROR(INDEX(Exercícios!$C$7:$C$206,MATCH($G502,Exercícios!$B$7:$B$206,0)),"")</f>
        <v/>
      </c>
      <c r="I502" s="19" t="str">
        <f aca="false">IFERROR(INDEX(Exercícios!$D$7:$D$206,MATCH($G502,Exercícios!$B$7:$B$206,0)),"")</f>
        <v/>
      </c>
      <c r="J502" s="19" t="str">
        <f aca="false">IFERROR(INDEX(Exercícios!$E$7:$E$206,MATCH($G502,Exercícios!$B$7:$B$206,0)),"")</f>
        <v/>
      </c>
      <c r="K502" s="22"/>
      <c r="L502" s="22"/>
      <c r="M502" s="20"/>
      <c r="N502" s="22"/>
      <c r="O502" s="22"/>
      <c r="P502" s="22"/>
      <c r="Q502" s="19" t="n">
        <f aca="false">IFERROR($K502*$L502,"")</f>
        <v>0</v>
      </c>
      <c r="R502" s="48" t="n">
        <f aca="false">IF(OR($O502="",$P502=""),0,$O502*$P502)</f>
        <v>0</v>
      </c>
      <c r="S502" s="20"/>
      <c r="T502" s="20"/>
      <c r="U502" s="33" t="n">
        <f aca="false">IF($A502="",0,IF(AND(OR($E502=Atleta!$C$4,$E502="Equipe (todos)"),$A502&gt;=Atleta!$C$5),MAX($U$7:U501)+1,0))</f>
        <v>0</v>
      </c>
    </row>
    <row r="503" customFormat="false" ht="15" hidden="false" customHeight="false" outlineLevel="0" collapsed="false">
      <c r="A503" s="21"/>
      <c r="B503" s="33" t="n">
        <f aca="false">IF($A503="",0,INT(($A503-Macrociclo!$C$11)/7)+1)</f>
        <v>0</v>
      </c>
      <c r="C503" s="22"/>
      <c r="D503" s="22"/>
      <c r="E503" s="20"/>
      <c r="F503" s="22"/>
      <c r="G503" s="20"/>
      <c r="H503" s="19" t="str">
        <f aca="false">IFERROR(INDEX(Exercícios!$C$7:$C$206,MATCH($G503,Exercícios!$B$7:$B$206,0)),"")</f>
        <v/>
      </c>
      <c r="I503" s="19" t="str">
        <f aca="false">IFERROR(INDEX(Exercícios!$D$7:$D$206,MATCH($G503,Exercícios!$B$7:$B$206,0)),"")</f>
        <v/>
      </c>
      <c r="J503" s="19" t="str">
        <f aca="false">IFERROR(INDEX(Exercícios!$E$7:$E$206,MATCH($G503,Exercícios!$B$7:$B$206,0)),"")</f>
        <v/>
      </c>
      <c r="K503" s="22"/>
      <c r="L503" s="22"/>
      <c r="M503" s="20"/>
      <c r="N503" s="22"/>
      <c r="O503" s="22"/>
      <c r="P503" s="22"/>
      <c r="Q503" s="19" t="n">
        <f aca="false">IFERROR($K503*$L503,"")</f>
        <v>0</v>
      </c>
      <c r="R503" s="48" t="n">
        <f aca="false">IF(OR($O503="",$P503=""),0,$O503*$P503)</f>
        <v>0</v>
      </c>
      <c r="S503" s="20"/>
      <c r="T503" s="20"/>
      <c r="U503" s="33" t="n">
        <f aca="false">IF($A503="",0,IF(AND(OR($E503=Atleta!$C$4,$E503="Equipe (todos)"),$A503&gt;=Atleta!$C$5),MAX($U$7:U502)+1,0))</f>
        <v>0</v>
      </c>
    </row>
    <row r="504" customFormat="false" ht="15" hidden="false" customHeight="false" outlineLevel="0" collapsed="false">
      <c r="A504" s="21"/>
      <c r="B504" s="33" t="n">
        <f aca="false">IF($A504="",0,INT(($A504-Macrociclo!$C$11)/7)+1)</f>
        <v>0</v>
      </c>
      <c r="C504" s="22"/>
      <c r="D504" s="22"/>
      <c r="E504" s="20"/>
      <c r="F504" s="22"/>
      <c r="G504" s="20"/>
      <c r="H504" s="19" t="str">
        <f aca="false">IFERROR(INDEX(Exercícios!$C$7:$C$206,MATCH($G504,Exercícios!$B$7:$B$206,0)),"")</f>
        <v/>
      </c>
      <c r="I504" s="19" t="str">
        <f aca="false">IFERROR(INDEX(Exercícios!$D$7:$D$206,MATCH($G504,Exercícios!$B$7:$B$206,0)),"")</f>
        <v/>
      </c>
      <c r="J504" s="19" t="str">
        <f aca="false">IFERROR(INDEX(Exercícios!$E$7:$E$206,MATCH($G504,Exercícios!$B$7:$B$206,0)),"")</f>
        <v/>
      </c>
      <c r="K504" s="22"/>
      <c r="L504" s="22"/>
      <c r="M504" s="20"/>
      <c r="N504" s="22"/>
      <c r="O504" s="22"/>
      <c r="P504" s="22"/>
      <c r="Q504" s="19" t="n">
        <f aca="false">IFERROR($K504*$L504,"")</f>
        <v>0</v>
      </c>
      <c r="R504" s="48" t="n">
        <f aca="false">IF(OR($O504="",$P504=""),0,$O504*$P504)</f>
        <v>0</v>
      </c>
      <c r="S504" s="20"/>
      <c r="T504" s="20"/>
      <c r="U504" s="33" t="n">
        <f aca="false">IF($A504="",0,IF(AND(OR($E504=Atleta!$C$4,$E504="Equipe (todos)"),$A504&gt;=Atleta!$C$5),MAX($U$7:U503)+1,0))</f>
        <v>0</v>
      </c>
    </row>
    <row r="505" customFormat="false" ht="15" hidden="false" customHeight="false" outlineLevel="0" collapsed="false">
      <c r="A505" s="21"/>
      <c r="B505" s="33" t="n">
        <f aca="false">IF($A505="",0,INT(($A505-Macrociclo!$C$11)/7)+1)</f>
        <v>0</v>
      </c>
      <c r="C505" s="22"/>
      <c r="D505" s="22"/>
      <c r="E505" s="20"/>
      <c r="F505" s="22"/>
      <c r="G505" s="20"/>
      <c r="H505" s="19" t="str">
        <f aca="false">IFERROR(INDEX(Exercícios!$C$7:$C$206,MATCH($G505,Exercícios!$B$7:$B$206,0)),"")</f>
        <v/>
      </c>
      <c r="I505" s="19" t="str">
        <f aca="false">IFERROR(INDEX(Exercícios!$D$7:$D$206,MATCH($G505,Exercícios!$B$7:$B$206,0)),"")</f>
        <v/>
      </c>
      <c r="J505" s="19" t="str">
        <f aca="false">IFERROR(INDEX(Exercícios!$E$7:$E$206,MATCH($G505,Exercícios!$B$7:$B$206,0)),"")</f>
        <v/>
      </c>
      <c r="K505" s="22"/>
      <c r="L505" s="22"/>
      <c r="M505" s="20"/>
      <c r="N505" s="22"/>
      <c r="O505" s="22"/>
      <c r="P505" s="22"/>
      <c r="Q505" s="19" t="n">
        <f aca="false">IFERROR($K505*$L505,"")</f>
        <v>0</v>
      </c>
      <c r="R505" s="48" t="n">
        <f aca="false">IF(OR($O505="",$P505=""),0,$O505*$P505)</f>
        <v>0</v>
      </c>
      <c r="S505" s="20"/>
      <c r="T505" s="20"/>
      <c r="U505" s="33" t="n">
        <f aca="false">IF($A505="",0,IF(AND(OR($E505=Atleta!$C$4,$E505="Equipe (todos)"),$A505&gt;=Atleta!$C$5),MAX($U$7:U504)+1,0))</f>
        <v>0</v>
      </c>
    </row>
    <row r="506" customFormat="false" ht="15" hidden="false" customHeight="false" outlineLevel="0" collapsed="false">
      <c r="A506" s="21"/>
      <c r="B506" s="33" t="n">
        <f aca="false">IF($A506="",0,INT(($A506-Macrociclo!$C$11)/7)+1)</f>
        <v>0</v>
      </c>
      <c r="C506" s="22"/>
      <c r="D506" s="22"/>
      <c r="E506" s="20"/>
      <c r="F506" s="22"/>
      <c r="G506" s="20"/>
      <c r="H506" s="19" t="str">
        <f aca="false">IFERROR(INDEX(Exercícios!$C$7:$C$206,MATCH($G506,Exercícios!$B$7:$B$206,0)),"")</f>
        <v/>
      </c>
      <c r="I506" s="19" t="str">
        <f aca="false">IFERROR(INDEX(Exercícios!$D$7:$D$206,MATCH($G506,Exercícios!$B$7:$B$206,0)),"")</f>
        <v/>
      </c>
      <c r="J506" s="19" t="str">
        <f aca="false">IFERROR(INDEX(Exercícios!$E$7:$E$206,MATCH($G506,Exercícios!$B$7:$B$206,0)),"")</f>
        <v/>
      </c>
      <c r="K506" s="22"/>
      <c r="L506" s="22"/>
      <c r="M506" s="20"/>
      <c r="N506" s="22"/>
      <c r="O506" s="22"/>
      <c r="P506" s="22"/>
      <c r="Q506" s="19" t="n">
        <f aca="false">IFERROR($K506*$L506,"")</f>
        <v>0</v>
      </c>
      <c r="R506" s="48" t="n">
        <f aca="false">IF(OR($O506="",$P506=""),0,$O506*$P506)</f>
        <v>0</v>
      </c>
      <c r="S506" s="20"/>
      <c r="T506" s="20"/>
      <c r="U506" s="33" t="n">
        <f aca="false">IF($A506="",0,IF(AND(OR($E506=Atleta!$C$4,$E506="Equipe (todos)"),$A506&gt;=Atleta!$C$5),MAX($U$7:U505)+1,0))</f>
        <v>0</v>
      </c>
    </row>
    <row r="507" customFormat="false" ht="15" hidden="false" customHeight="false" outlineLevel="0" collapsed="false">
      <c r="A507" s="21"/>
      <c r="B507" s="33" t="n">
        <f aca="false">IF($A507="",0,INT(($A507-Macrociclo!$C$11)/7)+1)</f>
        <v>0</v>
      </c>
      <c r="C507" s="22"/>
      <c r="D507" s="22"/>
      <c r="E507" s="20"/>
      <c r="F507" s="22"/>
      <c r="G507" s="20"/>
      <c r="H507" s="19" t="str">
        <f aca="false">IFERROR(INDEX(Exercícios!$C$7:$C$206,MATCH($G507,Exercícios!$B$7:$B$206,0)),"")</f>
        <v/>
      </c>
      <c r="I507" s="19" t="str">
        <f aca="false">IFERROR(INDEX(Exercícios!$D$7:$D$206,MATCH($G507,Exercícios!$B$7:$B$206,0)),"")</f>
        <v/>
      </c>
      <c r="J507" s="19" t="str">
        <f aca="false">IFERROR(INDEX(Exercícios!$E$7:$E$206,MATCH($G507,Exercícios!$B$7:$B$206,0)),"")</f>
        <v/>
      </c>
      <c r="K507" s="22"/>
      <c r="L507" s="22"/>
      <c r="M507" s="20"/>
      <c r="N507" s="22"/>
      <c r="O507" s="22"/>
      <c r="P507" s="22"/>
      <c r="Q507" s="19" t="n">
        <f aca="false">IFERROR($K507*$L507,"")</f>
        <v>0</v>
      </c>
      <c r="R507" s="48" t="n">
        <f aca="false">IF(OR($O507="",$P507=""),0,$O507*$P507)</f>
        <v>0</v>
      </c>
      <c r="S507" s="20"/>
      <c r="T507" s="20"/>
      <c r="U507" s="33" t="n">
        <f aca="false">IF($A507="",0,IF(AND(OR($E507=Atleta!$C$4,$E507="Equipe (todos)"),$A507&gt;=Atleta!$C$5),MAX($U$7:U506)+1,0))</f>
        <v>0</v>
      </c>
    </row>
  </sheetData>
  <autoFilter ref="A7:T507"/>
  <mergeCells count="21">
    <mergeCell ref="A1:T1"/>
    <mergeCell ref="A2:T2"/>
    <mergeCell ref="A3:T3"/>
    <mergeCell ref="B4:C4"/>
    <mergeCell ref="E4:F4"/>
    <mergeCell ref="G4:H4"/>
    <mergeCell ref="I4:J4"/>
    <mergeCell ref="K4:L4"/>
    <mergeCell ref="M4:N4"/>
    <mergeCell ref="O4:P4"/>
    <mergeCell ref="Q4:R4"/>
    <mergeCell ref="S4:T4"/>
    <mergeCell ref="E5:F5"/>
    <mergeCell ref="G5:H5"/>
    <mergeCell ref="I5:J5"/>
    <mergeCell ref="K5:L5"/>
    <mergeCell ref="M5:N5"/>
    <mergeCell ref="O5:P5"/>
    <mergeCell ref="Q5:R5"/>
    <mergeCell ref="S5:T5"/>
    <mergeCell ref="A6:T6"/>
  </mergeCells>
  <dataValidations count="5">
    <dataValidation allowBlank="true" errorStyle="stop" operator="between" showDropDown="false" showErrorMessage="false" showInputMessage="false" sqref="D8:D507" type="list">
      <formula1>Listas!$P$5:$P$15</formula1>
      <formula2>0</formula2>
    </dataValidation>
    <dataValidation allowBlank="true" errorStyle="stop" operator="between" showDropDown="false" showErrorMessage="false" showInputMessage="false" sqref="E8:E507" type="list">
      <formula1>Listas!$V$5:$V$65</formula1>
      <formula2>0</formula2>
    </dataValidation>
    <dataValidation allowBlank="true" errorStyle="stop" operator="between" showDropDown="false" showErrorMessage="false" showInputMessage="false" sqref="F8:F507" type="list">
      <formula1>Listas!$H$5:$H$15</formula1>
      <formula2>0</formula2>
    </dataValidation>
    <dataValidation allowBlank="true" errorStyle="stop" operator="between" showDropDown="false" showErrorMessage="false" showInputMessage="false" sqref="G8:G507" type="list">
      <formula1>Exercícios!$B$7:$B$206</formula1>
      <formula2>0</formula2>
    </dataValidation>
    <dataValidation allowBlank="true" errorStyle="stop" operator="between" showDropDown="false" showErrorMessage="false" showInputMessage="false" sqref="P8:P507" type="list">
      <formula1>Listas!$N$5:$N$15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0006"/>
    <pageSetUpPr fitToPage="true"/>
  </sheetPr>
  <dimension ref="A1:M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26"/>
  </cols>
  <sheetData>
    <row r="1" customFormat="false" ht="30" hidden="false" customHeight="true" outlineLevel="0" collapsed="false">
      <c r="A1" s="1" t="s">
        <v>383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384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5.5" hidden="false" customHeight="true" outlineLevel="0" collapsed="false">
      <c r="A4" s="17" t="s">
        <v>385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7" customFormat="false" ht="31.5" hidden="false" customHeight="true" outlineLevel="0" collapsed="false">
      <c r="A7" s="18" t="s">
        <v>339</v>
      </c>
      <c r="B7" s="18" t="s">
        <v>370</v>
      </c>
      <c r="C7" s="18" t="s">
        <v>386</v>
      </c>
      <c r="D7" s="18" t="s">
        <v>341</v>
      </c>
      <c r="E7" s="18" t="s">
        <v>343</v>
      </c>
      <c r="F7" s="18" t="s">
        <v>387</v>
      </c>
      <c r="G7" s="18" t="s">
        <v>388</v>
      </c>
      <c r="H7" s="18" t="s">
        <v>389</v>
      </c>
      <c r="I7" s="18" t="s">
        <v>390</v>
      </c>
      <c r="J7" s="18" t="s">
        <v>43</v>
      </c>
      <c r="K7" s="18" t="s">
        <v>391</v>
      </c>
      <c r="L7" s="18" t="s">
        <v>392</v>
      </c>
      <c r="M7" s="18" t="s">
        <v>78</v>
      </c>
    </row>
    <row r="8" customFormat="false" ht="15" hidden="false" customHeight="false" outlineLevel="0" collapsed="false">
      <c r="A8" s="21"/>
      <c r="B8" s="33" t="n">
        <f aca="false">IF($A8="",0,INT(($A8-Macrociclo!$C$11)/7)+1)</f>
        <v>0</v>
      </c>
      <c r="C8" s="20"/>
      <c r="D8" s="20"/>
      <c r="E8" s="22"/>
      <c r="F8" s="22"/>
      <c r="G8" s="48" t="n">
        <f aca="false">IF(OR($E8="",$F8=""),0,$E8*$F8)</f>
        <v>0</v>
      </c>
      <c r="H8" s="48" t="n">
        <f aca="false">IF($A8="",0,SUMIFS($G$8:$G$1007,$C$8:$C$1007,$C8,$A$8:$A$1007,"&gt;="&amp;$A8-6,$A$8:$A$1007,"&lt;="&amp;$A8))</f>
        <v>0</v>
      </c>
      <c r="I8" s="48" t="n">
        <f aca="false">IF($A8="",0,SUMIFS($G$8:$G$1007,$C$8:$C$1007,$C8,$A$8:$A$1007,"&gt;="&amp;$A8-27,$A$8:$A$1007,"&lt;="&amp;$A8)/4)</f>
        <v>0</v>
      </c>
      <c r="J8" s="67" t="n">
        <f aca="false">IF(OR($A8="",$I8=0),0,$H8/$I8)</f>
        <v>0</v>
      </c>
      <c r="K8" s="33" t="n">
        <f aca="false">IF($A8="",0,$A8-SUMPRODUCT(MIN(($C$8:$C$1007=$C8)*$A$8:$A$1007+($C$8:$C$1007&lt;&gt;$C8)*100000))+1)</f>
        <v>0</v>
      </c>
      <c r="L8" s="19" t="str">
        <f aca="false">IF($A8="","",IF($J8=0,"Sem registro anterior",IF($K8&lt;21,"Histórico insuficiente",IF($J8&lt;0.8,"Subcarga",IF($J8&lt;=1.3,"Zona ideal",IF($J8&lt;=1.5,"Atenção","Risco elevado"))))))</f>
        <v/>
      </c>
      <c r="M8" s="20"/>
    </row>
    <row r="9" customFormat="false" ht="15" hidden="false" customHeight="false" outlineLevel="0" collapsed="false">
      <c r="A9" s="21"/>
      <c r="B9" s="33" t="n">
        <f aca="false">IF($A9="",0,INT(($A9-Macrociclo!$C$11)/7)+1)</f>
        <v>0</v>
      </c>
      <c r="C9" s="20"/>
      <c r="D9" s="20"/>
      <c r="E9" s="22"/>
      <c r="F9" s="22"/>
      <c r="G9" s="48" t="n">
        <f aca="false">IF(OR($E9="",$F9=""),0,$E9*$F9)</f>
        <v>0</v>
      </c>
      <c r="H9" s="48" t="n">
        <f aca="false">IF($A9="",0,SUMIFS($G$8:$G$1007,$C$8:$C$1007,$C9,$A$8:$A$1007,"&gt;="&amp;$A9-6,$A$8:$A$1007,"&lt;="&amp;$A9))</f>
        <v>0</v>
      </c>
      <c r="I9" s="48" t="n">
        <f aca="false">IF($A9="",0,SUMIFS($G$8:$G$1007,$C$8:$C$1007,$C9,$A$8:$A$1007,"&gt;="&amp;$A9-27,$A$8:$A$1007,"&lt;="&amp;$A9)/4)</f>
        <v>0</v>
      </c>
      <c r="J9" s="67" t="n">
        <f aca="false">IF(OR($A9="",$I9=0),0,$H9/$I9)</f>
        <v>0</v>
      </c>
      <c r="K9" s="33" t="n">
        <f aca="false">IF($A9="",0,$A9-SUMPRODUCT(MIN(($C$8:$C$1007=$C9)*$A$8:$A$1007+($C$8:$C$1007&lt;&gt;$C9)*100000))+1)</f>
        <v>0</v>
      </c>
      <c r="L9" s="19" t="str">
        <f aca="false">IF($A9="","",IF($J9=0,"Sem registro anterior",IF($K9&lt;21,"Histórico insuficiente",IF($J9&lt;0.8,"Subcarga",IF($J9&lt;=1.3,"Zona ideal",IF($J9&lt;=1.5,"Atenção","Risco elevado"))))))</f>
        <v/>
      </c>
      <c r="M9" s="20"/>
    </row>
    <row r="10" customFormat="false" ht="15" hidden="false" customHeight="false" outlineLevel="0" collapsed="false">
      <c r="A10" s="21"/>
      <c r="B10" s="33" t="n">
        <f aca="false">IF($A10="",0,INT(($A10-Macrociclo!$C$11)/7)+1)</f>
        <v>0</v>
      </c>
      <c r="C10" s="20"/>
      <c r="D10" s="20"/>
      <c r="E10" s="22"/>
      <c r="F10" s="22"/>
      <c r="G10" s="48" t="n">
        <f aca="false">IF(OR($E10="",$F10=""),0,$E10*$F10)</f>
        <v>0</v>
      </c>
      <c r="H10" s="48" t="n">
        <f aca="false">IF($A10="",0,SUMIFS($G$8:$G$1007,$C$8:$C$1007,$C10,$A$8:$A$1007,"&gt;="&amp;$A10-6,$A$8:$A$1007,"&lt;="&amp;$A10))</f>
        <v>0</v>
      </c>
      <c r="I10" s="48" t="n">
        <f aca="false">IF($A10="",0,SUMIFS($G$8:$G$1007,$C$8:$C$1007,$C10,$A$8:$A$1007,"&gt;="&amp;$A10-27,$A$8:$A$1007,"&lt;="&amp;$A10)/4)</f>
        <v>0</v>
      </c>
      <c r="J10" s="67" t="n">
        <f aca="false">IF(OR($A10="",$I10=0),0,$H10/$I10)</f>
        <v>0</v>
      </c>
      <c r="K10" s="33" t="n">
        <f aca="false">IF($A10="",0,$A10-SUMPRODUCT(MIN(($C$8:$C$1007=$C10)*$A$8:$A$1007+($C$8:$C$1007&lt;&gt;$C10)*100000))+1)</f>
        <v>0</v>
      </c>
      <c r="L10" s="19" t="str">
        <f aca="false">IF($A10="","",IF($J10=0,"Sem registro anterior",IF($K10&lt;21,"Histórico insuficiente",IF($J10&lt;0.8,"Subcarga",IF($J10&lt;=1.3,"Zona ideal",IF($J10&lt;=1.5,"Atenção","Risco elevado"))))))</f>
        <v/>
      </c>
      <c r="M10" s="20"/>
    </row>
    <row r="11" customFormat="false" ht="15" hidden="false" customHeight="false" outlineLevel="0" collapsed="false">
      <c r="A11" s="21"/>
      <c r="B11" s="33" t="n">
        <f aca="false">IF($A11="",0,INT(($A11-Macrociclo!$C$11)/7)+1)</f>
        <v>0</v>
      </c>
      <c r="C11" s="20"/>
      <c r="D11" s="20"/>
      <c r="E11" s="22"/>
      <c r="F11" s="22"/>
      <c r="G11" s="48" t="n">
        <f aca="false">IF(OR($E11="",$F11=""),0,$E11*$F11)</f>
        <v>0</v>
      </c>
      <c r="H11" s="48" t="n">
        <f aca="false">IF($A11="",0,SUMIFS($G$8:$G$1007,$C$8:$C$1007,$C11,$A$8:$A$1007,"&gt;="&amp;$A11-6,$A$8:$A$1007,"&lt;="&amp;$A11))</f>
        <v>0</v>
      </c>
      <c r="I11" s="48" t="n">
        <f aca="false">IF($A11="",0,SUMIFS($G$8:$G$1007,$C$8:$C$1007,$C11,$A$8:$A$1007,"&gt;="&amp;$A11-27,$A$8:$A$1007,"&lt;="&amp;$A11)/4)</f>
        <v>0</v>
      </c>
      <c r="J11" s="67" t="n">
        <f aca="false">IF(OR($A11="",$I11=0),0,$H11/$I11)</f>
        <v>0</v>
      </c>
      <c r="K11" s="33" t="n">
        <f aca="false">IF($A11="",0,$A11-SUMPRODUCT(MIN(($C$8:$C$1007=$C11)*$A$8:$A$1007+($C$8:$C$1007&lt;&gt;$C11)*100000))+1)</f>
        <v>0</v>
      </c>
      <c r="L11" s="19" t="str">
        <f aca="false">IF($A11="","",IF($J11=0,"Sem registro anterior",IF($K11&lt;21,"Histórico insuficiente",IF($J11&lt;0.8,"Subcarga",IF($J11&lt;=1.3,"Zona ideal",IF($J11&lt;=1.5,"Atenção","Risco elevado"))))))</f>
        <v/>
      </c>
      <c r="M11" s="20"/>
    </row>
    <row r="12" customFormat="false" ht="15" hidden="false" customHeight="false" outlineLevel="0" collapsed="false">
      <c r="A12" s="21"/>
      <c r="B12" s="33" t="n">
        <f aca="false">IF($A12="",0,INT(($A12-Macrociclo!$C$11)/7)+1)</f>
        <v>0</v>
      </c>
      <c r="C12" s="20"/>
      <c r="D12" s="20"/>
      <c r="E12" s="22"/>
      <c r="F12" s="22"/>
      <c r="G12" s="48" t="n">
        <f aca="false">IF(OR($E12="",$F12=""),0,$E12*$F12)</f>
        <v>0</v>
      </c>
      <c r="H12" s="48" t="n">
        <f aca="false">IF($A12="",0,SUMIFS($G$8:$G$1007,$C$8:$C$1007,$C12,$A$8:$A$1007,"&gt;="&amp;$A12-6,$A$8:$A$1007,"&lt;="&amp;$A12))</f>
        <v>0</v>
      </c>
      <c r="I12" s="48" t="n">
        <f aca="false">IF($A12="",0,SUMIFS($G$8:$G$1007,$C$8:$C$1007,$C12,$A$8:$A$1007,"&gt;="&amp;$A12-27,$A$8:$A$1007,"&lt;="&amp;$A12)/4)</f>
        <v>0</v>
      </c>
      <c r="J12" s="67" t="n">
        <f aca="false">IF(OR($A12="",$I12=0),0,$H12/$I12)</f>
        <v>0</v>
      </c>
      <c r="K12" s="33" t="n">
        <f aca="false">IF($A12="",0,$A12-SUMPRODUCT(MIN(($C$8:$C$1007=$C12)*$A$8:$A$1007+($C$8:$C$1007&lt;&gt;$C12)*100000))+1)</f>
        <v>0</v>
      </c>
      <c r="L12" s="19" t="str">
        <f aca="false">IF($A12="","",IF($J12=0,"Sem registro anterior",IF($K12&lt;21,"Histórico insuficiente",IF($J12&lt;0.8,"Subcarga",IF($J12&lt;=1.3,"Zona ideal",IF($J12&lt;=1.5,"Atenção","Risco elevado"))))))</f>
        <v/>
      </c>
      <c r="M12" s="20"/>
    </row>
    <row r="13" customFormat="false" ht="15" hidden="false" customHeight="false" outlineLevel="0" collapsed="false">
      <c r="A13" s="21"/>
      <c r="B13" s="33" t="n">
        <f aca="false">IF($A13="",0,INT(($A13-Macrociclo!$C$11)/7)+1)</f>
        <v>0</v>
      </c>
      <c r="C13" s="20"/>
      <c r="D13" s="20"/>
      <c r="E13" s="22"/>
      <c r="F13" s="22"/>
      <c r="G13" s="48" t="n">
        <f aca="false">IF(OR($E13="",$F13=""),0,$E13*$F13)</f>
        <v>0</v>
      </c>
      <c r="H13" s="48" t="n">
        <f aca="false">IF($A13="",0,SUMIFS($G$8:$G$1007,$C$8:$C$1007,$C13,$A$8:$A$1007,"&gt;="&amp;$A13-6,$A$8:$A$1007,"&lt;="&amp;$A13))</f>
        <v>0</v>
      </c>
      <c r="I13" s="48" t="n">
        <f aca="false">IF($A13="",0,SUMIFS($G$8:$G$1007,$C$8:$C$1007,$C13,$A$8:$A$1007,"&gt;="&amp;$A13-27,$A$8:$A$1007,"&lt;="&amp;$A13)/4)</f>
        <v>0</v>
      </c>
      <c r="J13" s="67" t="n">
        <f aca="false">IF(OR($A13="",$I13=0),0,$H13/$I13)</f>
        <v>0</v>
      </c>
      <c r="K13" s="33" t="n">
        <f aca="false">IF($A13="",0,$A13-SUMPRODUCT(MIN(($C$8:$C$1007=$C13)*$A$8:$A$1007+($C$8:$C$1007&lt;&gt;$C13)*100000))+1)</f>
        <v>0</v>
      </c>
      <c r="L13" s="19" t="str">
        <f aca="false">IF($A13="","",IF($J13=0,"Sem registro anterior",IF($K13&lt;21,"Histórico insuficiente",IF($J13&lt;0.8,"Subcarga",IF($J13&lt;=1.3,"Zona ideal",IF($J13&lt;=1.5,"Atenção","Risco elevado"))))))</f>
        <v/>
      </c>
      <c r="M13" s="20"/>
    </row>
    <row r="14" customFormat="false" ht="15" hidden="false" customHeight="false" outlineLevel="0" collapsed="false">
      <c r="A14" s="21"/>
      <c r="B14" s="33" t="n">
        <f aca="false">IF($A14="",0,INT(($A14-Macrociclo!$C$11)/7)+1)</f>
        <v>0</v>
      </c>
      <c r="C14" s="20"/>
      <c r="D14" s="20"/>
      <c r="E14" s="22"/>
      <c r="F14" s="22"/>
      <c r="G14" s="48" t="n">
        <f aca="false">IF(OR($E14="",$F14=""),0,$E14*$F14)</f>
        <v>0</v>
      </c>
      <c r="H14" s="48" t="n">
        <f aca="false">IF($A14="",0,SUMIFS($G$8:$G$1007,$C$8:$C$1007,$C14,$A$8:$A$1007,"&gt;="&amp;$A14-6,$A$8:$A$1007,"&lt;="&amp;$A14))</f>
        <v>0</v>
      </c>
      <c r="I14" s="48" t="n">
        <f aca="false">IF($A14="",0,SUMIFS($G$8:$G$1007,$C$8:$C$1007,$C14,$A$8:$A$1007,"&gt;="&amp;$A14-27,$A$8:$A$1007,"&lt;="&amp;$A14)/4)</f>
        <v>0</v>
      </c>
      <c r="J14" s="67" t="n">
        <f aca="false">IF(OR($A14="",$I14=0),0,$H14/$I14)</f>
        <v>0</v>
      </c>
      <c r="K14" s="33" t="n">
        <f aca="false">IF($A14="",0,$A14-SUMPRODUCT(MIN(($C$8:$C$1007=$C14)*$A$8:$A$1007+($C$8:$C$1007&lt;&gt;$C14)*100000))+1)</f>
        <v>0</v>
      </c>
      <c r="L14" s="19" t="str">
        <f aca="false">IF($A14="","",IF($J14=0,"Sem registro anterior",IF($K14&lt;21,"Histórico insuficiente",IF($J14&lt;0.8,"Subcarga",IF($J14&lt;=1.3,"Zona ideal",IF($J14&lt;=1.5,"Atenção","Risco elevado"))))))</f>
        <v/>
      </c>
      <c r="M14" s="20"/>
    </row>
    <row r="15" customFormat="false" ht="15" hidden="false" customHeight="false" outlineLevel="0" collapsed="false">
      <c r="A15" s="21"/>
      <c r="B15" s="33" t="n">
        <f aca="false">IF($A15="",0,INT(($A15-Macrociclo!$C$11)/7)+1)</f>
        <v>0</v>
      </c>
      <c r="C15" s="20"/>
      <c r="D15" s="20"/>
      <c r="E15" s="22"/>
      <c r="F15" s="22"/>
      <c r="G15" s="48" t="n">
        <f aca="false">IF(OR($E15="",$F15=""),0,$E15*$F15)</f>
        <v>0</v>
      </c>
      <c r="H15" s="48" t="n">
        <f aca="false">IF($A15="",0,SUMIFS($G$8:$G$1007,$C$8:$C$1007,$C15,$A$8:$A$1007,"&gt;="&amp;$A15-6,$A$8:$A$1007,"&lt;="&amp;$A15))</f>
        <v>0</v>
      </c>
      <c r="I15" s="48" t="n">
        <f aca="false">IF($A15="",0,SUMIFS($G$8:$G$1007,$C$8:$C$1007,$C15,$A$8:$A$1007,"&gt;="&amp;$A15-27,$A$8:$A$1007,"&lt;="&amp;$A15)/4)</f>
        <v>0</v>
      </c>
      <c r="J15" s="67" t="n">
        <f aca="false">IF(OR($A15="",$I15=0),0,$H15/$I15)</f>
        <v>0</v>
      </c>
      <c r="K15" s="33" t="n">
        <f aca="false">IF($A15="",0,$A15-SUMPRODUCT(MIN(($C$8:$C$1007=$C15)*$A$8:$A$1007+($C$8:$C$1007&lt;&gt;$C15)*100000))+1)</f>
        <v>0</v>
      </c>
      <c r="L15" s="19" t="str">
        <f aca="false">IF($A15="","",IF($J15=0,"Sem registro anterior",IF($K15&lt;21,"Histórico insuficiente",IF($J15&lt;0.8,"Subcarga",IF($J15&lt;=1.3,"Zona ideal",IF($J15&lt;=1.5,"Atenção","Risco elevado"))))))</f>
        <v/>
      </c>
      <c r="M15" s="20"/>
    </row>
    <row r="16" customFormat="false" ht="15" hidden="false" customHeight="false" outlineLevel="0" collapsed="false">
      <c r="A16" s="21"/>
      <c r="B16" s="33" t="n">
        <f aca="false">IF($A16="",0,INT(($A16-Macrociclo!$C$11)/7)+1)</f>
        <v>0</v>
      </c>
      <c r="C16" s="20"/>
      <c r="D16" s="20"/>
      <c r="E16" s="22"/>
      <c r="F16" s="22"/>
      <c r="G16" s="48" t="n">
        <f aca="false">IF(OR($E16="",$F16=""),0,$E16*$F16)</f>
        <v>0</v>
      </c>
      <c r="H16" s="48" t="n">
        <f aca="false">IF($A16="",0,SUMIFS($G$8:$G$1007,$C$8:$C$1007,$C16,$A$8:$A$1007,"&gt;="&amp;$A16-6,$A$8:$A$1007,"&lt;="&amp;$A16))</f>
        <v>0</v>
      </c>
      <c r="I16" s="48" t="n">
        <f aca="false">IF($A16="",0,SUMIFS($G$8:$G$1007,$C$8:$C$1007,$C16,$A$8:$A$1007,"&gt;="&amp;$A16-27,$A$8:$A$1007,"&lt;="&amp;$A16)/4)</f>
        <v>0</v>
      </c>
      <c r="J16" s="67" t="n">
        <f aca="false">IF(OR($A16="",$I16=0),0,$H16/$I16)</f>
        <v>0</v>
      </c>
      <c r="K16" s="33" t="n">
        <f aca="false">IF($A16="",0,$A16-SUMPRODUCT(MIN(($C$8:$C$1007=$C16)*$A$8:$A$1007+($C$8:$C$1007&lt;&gt;$C16)*100000))+1)</f>
        <v>0</v>
      </c>
      <c r="L16" s="19" t="str">
        <f aca="false">IF($A16="","",IF($J16=0,"Sem registro anterior",IF($K16&lt;21,"Histórico insuficiente",IF($J16&lt;0.8,"Subcarga",IF($J16&lt;=1.3,"Zona ideal",IF($J16&lt;=1.5,"Atenção","Risco elevado"))))))</f>
        <v/>
      </c>
      <c r="M16" s="20"/>
    </row>
    <row r="17" customFormat="false" ht="15" hidden="false" customHeight="false" outlineLevel="0" collapsed="false">
      <c r="A17" s="21"/>
      <c r="B17" s="33" t="n">
        <f aca="false">IF($A17="",0,INT(($A17-Macrociclo!$C$11)/7)+1)</f>
        <v>0</v>
      </c>
      <c r="C17" s="20"/>
      <c r="D17" s="20"/>
      <c r="E17" s="22"/>
      <c r="F17" s="22"/>
      <c r="G17" s="48" t="n">
        <f aca="false">IF(OR($E17="",$F17=""),0,$E17*$F17)</f>
        <v>0</v>
      </c>
      <c r="H17" s="48" t="n">
        <f aca="false">IF($A17="",0,SUMIFS($G$8:$G$1007,$C$8:$C$1007,$C17,$A$8:$A$1007,"&gt;="&amp;$A17-6,$A$8:$A$1007,"&lt;="&amp;$A17))</f>
        <v>0</v>
      </c>
      <c r="I17" s="48" t="n">
        <f aca="false">IF($A17="",0,SUMIFS($G$8:$G$1007,$C$8:$C$1007,$C17,$A$8:$A$1007,"&gt;="&amp;$A17-27,$A$8:$A$1007,"&lt;="&amp;$A17)/4)</f>
        <v>0</v>
      </c>
      <c r="J17" s="67" t="n">
        <f aca="false">IF(OR($A17="",$I17=0),0,$H17/$I17)</f>
        <v>0</v>
      </c>
      <c r="K17" s="33" t="n">
        <f aca="false">IF($A17="",0,$A17-SUMPRODUCT(MIN(($C$8:$C$1007=$C17)*$A$8:$A$1007+($C$8:$C$1007&lt;&gt;$C17)*100000))+1)</f>
        <v>0</v>
      </c>
      <c r="L17" s="19" t="str">
        <f aca="false">IF($A17="","",IF($J17=0,"Sem registro anterior",IF($K17&lt;21,"Histórico insuficiente",IF($J17&lt;0.8,"Subcarga",IF($J17&lt;=1.3,"Zona ideal",IF($J17&lt;=1.5,"Atenção","Risco elevado"))))))</f>
        <v/>
      </c>
      <c r="M17" s="20"/>
    </row>
    <row r="18" customFormat="false" ht="15" hidden="false" customHeight="false" outlineLevel="0" collapsed="false">
      <c r="A18" s="21"/>
      <c r="B18" s="33" t="n">
        <f aca="false">IF($A18="",0,INT(($A18-Macrociclo!$C$11)/7)+1)</f>
        <v>0</v>
      </c>
      <c r="C18" s="20"/>
      <c r="D18" s="20"/>
      <c r="E18" s="22"/>
      <c r="F18" s="22"/>
      <c r="G18" s="48" t="n">
        <f aca="false">IF(OR($E18="",$F18=""),0,$E18*$F18)</f>
        <v>0</v>
      </c>
      <c r="H18" s="48" t="n">
        <f aca="false">IF($A18="",0,SUMIFS($G$8:$G$1007,$C$8:$C$1007,$C18,$A$8:$A$1007,"&gt;="&amp;$A18-6,$A$8:$A$1007,"&lt;="&amp;$A18))</f>
        <v>0</v>
      </c>
      <c r="I18" s="48" t="n">
        <f aca="false">IF($A18="",0,SUMIFS($G$8:$G$1007,$C$8:$C$1007,$C18,$A$8:$A$1007,"&gt;="&amp;$A18-27,$A$8:$A$1007,"&lt;="&amp;$A18)/4)</f>
        <v>0</v>
      </c>
      <c r="J18" s="67" t="n">
        <f aca="false">IF(OR($A18="",$I18=0),0,$H18/$I18)</f>
        <v>0</v>
      </c>
      <c r="K18" s="33" t="n">
        <f aca="false">IF($A18="",0,$A18-SUMPRODUCT(MIN(($C$8:$C$1007=$C18)*$A$8:$A$1007+($C$8:$C$1007&lt;&gt;$C18)*100000))+1)</f>
        <v>0</v>
      </c>
      <c r="L18" s="19" t="str">
        <f aca="false">IF($A18="","",IF($J18=0,"Sem registro anterior",IF($K18&lt;21,"Histórico insuficiente",IF($J18&lt;0.8,"Subcarga",IF($J18&lt;=1.3,"Zona ideal",IF($J18&lt;=1.5,"Atenção","Risco elevado"))))))</f>
        <v/>
      </c>
      <c r="M18" s="20"/>
    </row>
    <row r="19" customFormat="false" ht="15" hidden="false" customHeight="false" outlineLevel="0" collapsed="false">
      <c r="A19" s="21"/>
      <c r="B19" s="33" t="n">
        <f aca="false">IF($A19="",0,INT(($A19-Macrociclo!$C$11)/7)+1)</f>
        <v>0</v>
      </c>
      <c r="C19" s="20"/>
      <c r="D19" s="20"/>
      <c r="E19" s="22"/>
      <c r="F19" s="22"/>
      <c r="G19" s="48" t="n">
        <f aca="false">IF(OR($E19="",$F19=""),0,$E19*$F19)</f>
        <v>0</v>
      </c>
      <c r="H19" s="48" t="n">
        <f aca="false">IF($A19="",0,SUMIFS($G$8:$G$1007,$C$8:$C$1007,$C19,$A$8:$A$1007,"&gt;="&amp;$A19-6,$A$8:$A$1007,"&lt;="&amp;$A19))</f>
        <v>0</v>
      </c>
      <c r="I19" s="48" t="n">
        <f aca="false">IF($A19="",0,SUMIFS($G$8:$G$1007,$C$8:$C$1007,$C19,$A$8:$A$1007,"&gt;="&amp;$A19-27,$A$8:$A$1007,"&lt;="&amp;$A19)/4)</f>
        <v>0</v>
      </c>
      <c r="J19" s="67" t="n">
        <f aca="false">IF(OR($A19="",$I19=0),0,$H19/$I19)</f>
        <v>0</v>
      </c>
      <c r="K19" s="33" t="n">
        <f aca="false">IF($A19="",0,$A19-SUMPRODUCT(MIN(($C$8:$C$1007=$C19)*$A$8:$A$1007+($C$8:$C$1007&lt;&gt;$C19)*100000))+1)</f>
        <v>0</v>
      </c>
      <c r="L19" s="19" t="str">
        <f aca="false">IF($A19="","",IF($J19=0,"Sem registro anterior",IF($K19&lt;21,"Histórico insuficiente",IF($J19&lt;0.8,"Subcarga",IF($J19&lt;=1.3,"Zona ideal",IF($J19&lt;=1.5,"Atenção","Risco elevado"))))))</f>
        <v/>
      </c>
      <c r="M19" s="20"/>
    </row>
    <row r="20" customFormat="false" ht="15" hidden="false" customHeight="false" outlineLevel="0" collapsed="false">
      <c r="A20" s="21"/>
      <c r="B20" s="33" t="n">
        <f aca="false">IF($A20="",0,INT(($A20-Macrociclo!$C$11)/7)+1)</f>
        <v>0</v>
      </c>
      <c r="C20" s="20"/>
      <c r="D20" s="20"/>
      <c r="E20" s="22"/>
      <c r="F20" s="22"/>
      <c r="G20" s="48" t="n">
        <f aca="false">IF(OR($E20="",$F20=""),0,$E20*$F20)</f>
        <v>0</v>
      </c>
      <c r="H20" s="48" t="n">
        <f aca="false">IF($A20="",0,SUMIFS($G$8:$G$1007,$C$8:$C$1007,$C20,$A$8:$A$1007,"&gt;="&amp;$A20-6,$A$8:$A$1007,"&lt;="&amp;$A20))</f>
        <v>0</v>
      </c>
      <c r="I20" s="48" t="n">
        <f aca="false">IF($A20="",0,SUMIFS($G$8:$G$1007,$C$8:$C$1007,$C20,$A$8:$A$1007,"&gt;="&amp;$A20-27,$A$8:$A$1007,"&lt;="&amp;$A20)/4)</f>
        <v>0</v>
      </c>
      <c r="J20" s="67" t="n">
        <f aca="false">IF(OR($A20="",$I20=0),0,$H20/$I20)</f>
        <v>0</v>
      </c>
      <c r="K20" s="33" t="n">
        <f aca="false">IF($A20="",0,$A20-SUMPRODUCT(MIN(($C$8:$C$1007=$C20)*$A$8:$A$1007+($C$8:$C$1007&lt;&gt;$C20)*100000))+1)</f>
        <v>0</v>
      </c>
      <c r="L20" s="19" t="str">
        <f aca="false">IF($A20="","",IF($J20=0,"Sem registro anterior",IF($K20&lt;21,"Histórico insuficiente",IF($J20&lt;0.8,"Subcarga",IF($J20&lt;=1.3,"Zona ideal",IF($J20&lt;=1.5,"Atenção","Risco elevado"))))))</f>
        <v/>
      </c>
      <c r="M20" s="20"/>
    </row>
    <row r="21" customFormat="false" ht="15" hidden="false" customHeight="false" outlineLevel="0" collapsed="false">
      <c r="A21" s="21"/>
      <c r="B21" s="33" t="n">
        <f aca="false">IF($A21="",0,INT(($A21-Macrociclo!$C$11)/7)+1)</f>
        <v>0</v>
      </c>
      <c r="C21" s="20"/>
      <c r="D21" s="20"/>
      <c r="E21" s="22"/>
      <c r="F21" s="22"/>
      <c r="G21" s="48" t="n">
        <f aca="false">IF(OR($E21="",$F21=""),0,$E21*$F21)</f>
        <v>0</v>
      </c>
      <c r="H21" s="48" t="n">
        <f aca="false">IF($A21="",0,SUMIFS($G$8:$G$1007,$C$8:$C$1007,$C21,$A$8:$A$1007,"&gt;="&amp;$A21-6,$A$8:$A$1007,"&lt;="&amp;$A21))</f>
        <v>0</v>
      </c>
      <c r="I21" s="48" t="n">
        <f aca="false">IF($A21="",0,SUMIFS($G$8:$G$1007,$C$8:$C$1007,$C21,$A$8:$A$1007,"&gt;="&amp;$A21-27,$A$8:$A$1007,"&lt;="&amp;$A21)/4)</f>
        <v>0</v>
      </c>
      <c r="J21" s="67" t="n">
        <f aca="false">IF(OR($A21="",$I21=0),0,$H21/$I21)</f>
        <v>0</v>
      </c>
      <c r="K21" s="33" t="n">
        <f aca="false">IF($A21="",0,$A21-SUMPRODUCT(MIN(($C$8:$C$1007=$C21)*$A$8:$A$1007+($C$8:$C$1007&lt;&gt;$C21)*100000))+1)</f>
        <v>0</v>
      </c>
      <c r="L21" s="19" t="str">
        <f aca="false">IF($A21="","",IF($J21=0,"Sem registro anterior",IF($K21&lt;21,"Histórico insuficiente",IF($J21&lt;0.8,"Subcarga",IF($J21&lt;=1.3,"Zona ideal",IF($J21&lt;=1.5,"Atenção","Risco elevado"))))))</f>
        <v/>
      </c>
      <c r="M21" s="20"/>
    </row>
    <row r="22" customFormat="false" ht="15" hidden="false" customHeight="false" outlineLevel="0" collapsed="false">
      <c r="A22" s="21"/>
      <c r="B22" s="33" t="n">
        <f aca="false">IF($A22="",0,INT(($A22-Macrociclo!$C$11)/7)+1)</f>
        <v>0</v>
      </c>
      <c r="C22" s="20"/>
      <c r="D22" s="20"/>
      <c r="E22" s="22"/>
      <c r="F22" s="22"/>
      <c r="G22" s="48" t="n">
        <f aca="false">IF(OR($E22="",$F22=""),0,$E22*$F22)</f>
        <v>0</v>
      </c>
      <c r="H22" s="48" t="n">
        <f aca="false">IF($A22="",0,SUMIFS($G$8:$G$1007,$C$8:$C$1007,$C22,$A$8:$A$1007,"&gt;="&amp;$A22-6,$A$8:$A$1007,"&lt;="&amp;$A22))</f>
        <v>0</v>
      </c>
      <c r="I22" s="48" t="n">
        <f aca="false">IF($A22="",0,SUMIFS($G$8:$G$1007,$C$8:$C$1007,$C22,$A$8:$A$1007,"&gt;="&amp;$A22-27,$A$8:$A$1007,"&lt;="&amp;$A22)/4)</f>
        <v>0</v>
      </c>
      <c r="J22" s="67" t="n">
        <f aca="false">IF(OR($A22="",$I22=0),0,$H22/$I22)</f>
        <v>0</v>
      </c>
      <c r="K22" s="33" t="n">
        <f aca="false">IF($A22="",0,$A22-SUMPRODUCT(MIN(($C$8:$C$1007=$C22)*$A$8:$A$1007+($C$8:$C$1007&lt;&gt;$C22)*100000))+1)</f>
        <v>0</v>
      </c>
      <c r="L22" s="19" t="str">
        <f aca="false">IF($A22="","",IF($J22=0,"Sem registro anterior",IF($K22&lt;21,"Histórico insuficiente",IF($J22&lt;0.8,"Subcarga",IF($J22&lt;=1.3,"Zona ideal",IF($J22&lt;=1.5,"Atenção","Risco elevado"))))))</f>
        <v/>
      </c>
      <c r="M22" s="20"/>
    </row>
    <row r="23" customFormat="false" ht="15" hidden="false" customHeight="false" outlineLevel="0" collapsed="false">
      <c r="A23" s="21"/>
      <c r="B23" s="33" t="n">
        <f aca="false">IF($A23="",0,INT(($A23-Macrociclo!$C$11)/7)+1)</f>
        <v>0</v>
      </c>
      <c r="C23" s="20"/>
      <c r="D23" s="20"/>
      <c r="E23" s="22"/>
      <c r="F23" s="22"/>
      <c r="G23" s="48" t="n">
        <f aca="false">IF(OR($E23="",$F23=""),0,$E23*$F23)</f>
        <v>0</v>
      </c>
      <c r="H23" s="48" t="n">
        <f aca="false">IF($A23="",0,SUMIFS($G$8:$G$1007,$C$8:$C$1007,$C23,$A$8:$A$1007,"&gt;="&amp;$A23-6,$A$8:$A$1007,"&lt;="&amp;$A23))</f>
        <v>0</v>
      </c>
      <c r="I23" s="48" t="n">
        <f aca="false">IF($A23="",0,SUMIFS($G$8:$G$1007,$C$8:$C$1007,$C23,$A$8:$A$1007,"&gt;="&amp;$A23-27,$A$8:$A$1007,"&lt;="&amp;$A23)/4)</f>
        <v>0</v>
      </c>
      <c r="J23" s="67" t="n">
        <f aca="false">IF(OR($A23="",$I23=0),0,$H23/$I23)</f>
        <v>0</v>
      </c>
      <c r="K23" s="33" t="n">
        <f aca="false">IF($A23="",0,$A23-SUMPRODUCT(MIN(($C$8:$C$1007=$C23)*$A$8:$A$1007+($C$8:$C$1007&lt;&gt;$C23)*100000))+1)</f>
        <v>0</v>
      </c>
      <c r="L23" s="19" t="str">
        <f aca="false">IF($A23="","",IF($J23=0,"Sem registro anterior",IF($K23&lt;21,"Histórico insuficiente",IF($J23&lt;0.8,"Subcarga",IF($J23&lt;=1.3,"Zona ideal",IF($J23&lt;=1.5,"Atenção","Risco elevado"))))))</f>
        <v/>
      </c>
      <c r="M23" s="20"/>
    </row>
    <row r="24" customFormat="false" ht="15" hidden="false" customHeight="false" outlineLevel="0" collapsed="false">
      <c r="A24" s="21"/>
      <c r="B24" s="33" t="n">
        <f aca="false">IF($A24="",0,INT(($A24-Macrociclo!$C$11)/7)+1)</f>
        <v>0</v>
      </c>
      <c r="C24" s="20"/>
      <c r="D24" s="20"/>
      <c r="E24" s="22"/>
      <c r="F24" s="22"/>
      <c r="G24" s="48" t="n">
        <f aca="false">IF(OR($E24="",$F24=""),0,$E24*$F24)</f>
        <v>0</v>
      </c>
      <c r="H24" s="48" t="n">
        <f aca="false">IF($A24="",0,SUMIFS($G$8:$G$1007,$C$8:$C$1007,$C24,$A$8:$A$1007,"&gt;="&amp;$A24-6,$A$8:$A$1007,"&lt;="&amp;$A24))</f>
        <v>0</v>
      </c>
      <c r="I24" s="48" t="n">
        <f aca="false">IF($A24="",0,SUMIFS($G$8:$G$1007,$C$8:$C$1007,$C24,$A$8:$A$1007,"&gt;="&amp;$A24-27,$A$8:$A$1007,"&lt;="&amp;$A24)/4)</f>
        <v>0</v>
      </c>
      <c r="J24" s="67" t="n">
        <f aca="false">IF(OR($A24="",$I24=0),0,$H24/$I24)</f>
        <v>0</v>
      </c>
      <c r="K24" s="33" t="n">
        <f aca="false">IF($A24="",0,$A24-SUMPRODUCT(MIN(($C$8:$C$1007=$C24)*$A$8:$A$1007+($C$8:$C$1007&lt;&gt;$C24)*100000))+1)</f>
        <v>0</v>
      </c>
      <c r="L24" s="19" t="str">
        <f aca="false">IF($A24="","",IF($J24=0,"Sem registro anterior",IF($K24&lt;21,"Histórico insuficiente",IF($J24&lt;0.8,"Subcarga",IF($J24&lt;=1.3,"Zona ideal",IF($J24&lt;=1.5,"Atenção","Risco elevado"))))))</f>
        <v/>
      </c>
      <c r="M24" s="20"/>
    </row>
    <row r="25" customFormat="false" ht="15" hidden="false" customHeight="false" outlineLevel="0" collapsed="false">
      <c r="A25" s="21"/>
      <c r="B25" s="33" t="n">
        <f aca="false">IF($A25="",0,INT(($A25-Macrociclo!$C$11)/7)+1)</f>
        <v>0</v>
      </c>
      <c r="C25" s="20"/>
      <c r="D25" s="20"/>
      <c r="E25" s="22"/>
      <c r="F25" s="22"/>
      <c r="G25" s="48" t="n">
        <f aca="false">IF(OR($E25="",$F25=""),0,$E25*$F25)</f>
        <v>0</v>
      </c>
      <c r="H25" s="48" t="n">
        <f aca="false">IF($A25="",0,SUMIFS($G$8:$G$1007,$C$8:$C$1007,$C25,$A$8:$A$1007,"&gt;="&amp;$A25-6,$A$8:$A$1007,"&lt;="&amp;$A25))</f>
        <v>0</v>
      </c>
      <c r="I25" s="48" t="n">
        <f aca="false">IF($A25="",0,SUMIFS($G$8:$G$1007,$C$8:$C$1007,$C25,$A$8:$A$1007,"&gt;="&amp;$A25-27,$A$8:$A$1007,"&lt;="&amp;$A25)/4)</f>
        <v>0</v>
      </c>
      <c r="J25" s="67" t="n">
        <f aca="false">IF(OR($A25="",$I25=0),0,$H25/$I25)</f>
        <v>0</v>
      </c>
      <c r="K25" s="33" t="n">
        <f aca="false">IF($A25="",0,$A25-SUMPRODUCT(MIN(($C$8:$C$1007=$C25)*$A$8:$A$1007+($C$8:$C$1007&lt;&gt;$C25)*100000))+1)</f>
        <v>0</v>
      </c>
      <c r="L25" s="19" t="str">
        <f aca="false">IF($A25="","",IF($J25=0,"Sem registro anterior",IF($K25&lt;21,"Histórico insuficiente",IF($J25&lt;0.8,"Subcarga",IF($J25&lt;=1.3,"Zona ideal",IF($J25&lt;=1.5,"Atenção","Risco elevado"))))))</f>
        <v/>
      </c>
      <c r="M25" s="20"/>
    </row>
    <row r="26" customFormat="false" ht="15" hidden="false" customHeight="false" outlineLevel="0" collapsed="false">
      <c r="A26" s="21"/>
      <c r="B26" s="33" t="n">
        <f aca="false">IF($A26="",0,INT(($A26-Macrociclo!$C$11)/7)+1)</f>
        <v>0</v>
      </c>
      <c r="C26" s="20"/>
      <c r="D26" s="20"/>
      <c r="E26" s="22"/>
      <c r="F26" s="22"/>
      <c r="G26" s="48" t="n">
        <f aca="false">IF(OR($E26="",$F26=""),0,$E26*$F26)</f>
        <v>0</v>
      </c>
      <c r="H26" s="48" t="n">
        <f aca="false">IF($A26="",0,SUMIFS($G$8:$G$1007,$C$8:$C$1007,$C26,$A$8:$A$1007,"&gt;="&amp;$A26-6,$A$8:$A$1007,"&lt;="&amp;$A26))</f>
        <v>0</v>
      </c>
      <c r="I26" s="48" t="n">
        <f aca="false">IF($A26="",0,SUMIFS($G$8:$G$1007,$C$8:$C$1007,$C26,$A$8:$A$1007,"&gt;="&amp;$A26-27,$A$8:$A$1007,"&lt;="&amp;$A26)/4)</f>
        <v>0</v>
      </c>
      <c r="J26" s="67" t="n">
        <f aca="false">IF(OR($A26="",$I26=0),0,$H26/$I26)</f>
        <v>0</v>
      </c>
      <c r="K26" s="33" t="n">
        <f aca="false">IF($A26="",0,$A26-SUMPRODUCT(MIN(($C$8:$C$1007=$C26)*$A$8:$A$1007+($C$8:$C$1007&lt;&gt;$C26)*100000))+1)</f>
        <v>0</v>
      </c>
      <c r="L26" s="19" t="str">
        <f aca="false">IF($A26="","",IF($J26=0,"Sem registro anterior",IF($K26&lt;21,"Histórico insuficiente",IF($J26&lt;0.8,"Subcarga",IF($J26&lt;=1.3,"Zona ideal",IF($J26&lt;=1.5,"Atenção","Risco elevado"))))))</f>
        <v/>
      </c>
      <c r="M26" s="20"/>
    </row>
    <row r="27" customFormat="false" ht="15" hidden="false" customHeight="false" outlineLevel="0" collapsed="false">
      <c r="A27" s="21"/>
      <c r="B27" s="33" t="n">
        <f aca="false">IF($A27="",0,INT(($A27-Macrociclo!$C$11)/7)+1)</f>
        <v>0</v>
      </c>
      <c r="C27" s="20"/>
      <c r="D27" s="20"/>
      <c r="E27" s="22"/>
      <c r="F27" s="22"/>
      <c r="G27" s="48" t="n">
        <f aca="false">IF(OR($E27="",$F27=""),0,$E27*$F27)</f>
        <v>0</v>
      </c>
      <c r="H27" s="48" t="n">
        <f aca="false">IF($A27="",0,SUMIFS($G$8:$G$1007,$C$8:$C$1007,$C27,$A$8:$A$1007,"&gt;="&amp;$A27-6,$A$8:$A$1007,"&lt;="&amp;$A27))</f>
        <v>0</v>
      </c>
      <c r="I27" s="48" t="n">
        <f aca="false">IF($A27="",0,SUMIFS($G$8:$G$1007,$C$8:$C$1007,$C27,$A$8:$A$1007,"&gt;="&amp;$A27-27,$A$8:$A$1007,"&lt;="&amp;$A27)/4)</f>
        <v>0</v>
      </c>
      <c r="J27" s="67" t="n">
        <f aca="false">IF(OR($A27="",$I27=0),0,$H27/$I27)</f>
        <v>0</v>
      </c>
      <c r="K27" s="33" t="n">
        <f aca="false">IF($A27="",0,$A27-SUMPRODUCT(MIN(($C$8:$C$1007=$C27)*$A$8:$A$1007+($C$8:$C$1007&lt;&gt;$C27)*100000))+1)</f>
        <v>0</v>
      </c>
      <c r="L27" s="19" t="str">
        <f aca="false">IF($A27="","",IF($J27=0,"Sem registro anterior",IF($K27&lt;21,"Histórico insuficiente",IF($J27&lt;0.8,"Subcarga",IF($J27&lt;=1.3,"Zona ideal",IF($J27&lt;=1.5,"Atenção","Risco elevado"))))))</f>
        <v/>
      </c>
      <c r="M27" s="20"/>
    </row>
    <row r="28" customFormat="false" ht="15" hidden="false" customHeight="false" outlineLevel="0" collapsed="false">
      <c r="A28" s="21"/>
      <c r="B28" s="33" t="n">
        <f aca="false">IF($A28="",0,INT(($A28-Macrociclo!$C$11)/7)+1)</f>
        <v>0</v>
      </c>
      <c r="C28" s="20"/>
      <c r="D28" s="20"/>
      <c r="E28" s="22"/>
      <c r="F28" s="22"/>
      <c r="G28" s="48" t="n">
        <f aca="false">IF(OR($E28="",$F28=""),0,$E28*$F28)</f>
        <v>0</v>
      </c>
      <c r="H28" s="48" t="n">
        <f aca="false">IF($A28="",0,SUMIFS($G$8:$G$1007,$C$8:$C$1007,$C28,$A$8:$A$1007,"&gt;="&amp;$A28-6,$A$8:$A$1007,"&lt;="&amp;$A28))</f>
        <v>0</v>
      </c>
      <c r="I28" s="48" t="n">
        <f aca="false">IF($A28="",0,SUMIFS($G$8:$G$1007,$C$8:$C$1007,$C28,$A$8:$A$1007,"&gt;="&amp;$A28-27,$A$8:$A$1007,"&lt;="&amp;$A28)/4)</f>
        <v>0</v>
      </c>
      <c r="J28" s="67" t="n">
        <f aca="false">IF(OR($A28="",$I28=0),0,$H28/$I28)</f>
        <v>0</v>
      </c>
      <c r="K28" s="33" t="n">
        <f aca="false">IF($A28="",0,$A28-SUMPRODUCT(MIN(($C$8:$C$1007=$C28)*$A$8:$A$1007+($C$8:$C$1007&lt;&gt;$C28)*100000))+1)</f>
        <v>0</v>
      </c>
      <c r="L28" s="19" t="str">
        <f aca="false">IF($A28="","",IF($J28=0,"Sem registro anterior",IF($K28&lt;21,"Histórico insuficiente",IF($J28&lt;0.8,"Subcarga",IF($J28&lt;=1.3,"Zona ideal",IF($J28&lt;=1.5,"Atenção","Risco elevado"))))))</f>
        <v/>
      </c>
      <c r="M28" s="20"/>
    </row>
    <row r="29" customFormat="false" ht="15" hidden="false" customHeight="false" outlineLevel="0" collapsed="false">
      <c r="A29" s="21"/>
      <c r="B29" s="33" t="n">
        <f aca="false">IF($A29="",0,INT(($A29-Macrociclo!$C$11)/7)+1)</f>
        <v>0</v>
      </c>
      <c r="C29" s="20"/>
      <c r="D29" s="20"/>
      <c r="E29" s="22"/>
      <c r="F29" s="22"/>
      <c r="G29" s="48" t="n">
        <f aca="false">IF(OR($E29="",$F29=""),0,$E29*$F29)</f>
        <v>0</v>
      </c>
      <c r="H29" s="48" t="n">
        <f aca="false">IF($A29="",0,SUMIFS($G$8:$G$1007,$C$8:$C$1007,$C29,$A$8:$A$1007,"&gt;="&amp;$A29-6,$A$8:$A$1007,"&lt;="&amp;$A29))</f>
        <v>0</v>
      </c>
      <c r="I29" s="48" t="n">
        <f aca="false">IF($A29="",0,SUMIFS($G$8:$G$1007,$C$8:$C$1007,$C29,$A$8:$A$1007,"&gt;="&amp;$A29-27,$A$8:$A$1007,"&lt;="&amp;$A29)/4)</f>
        <v>0</v>
      </c>
      <c r="J29" s="67" t="n">
        <f aca="false">IF(OR($A29="",$I29=0),0,$H29/$I29)</f>
        <v>0</v>
      </c>
      <c r="K29" s="33" t="n">
        <f aca="false">IF($A29="",0,$A29-SUMPRODUCT(MIN(($C$8:$C$1007=$C29)*$A$8:$A$1007+($C$8:$C$1007&lt;&gt;$C29)*100000))+1)</f>
        <v>0</v>
      </c>
      <c r="L29" s="19" t="str">
        <f aca="false">IF($A29="","",IF($J29=0,"Sem registro anterior",IF($K29&lt;21,"Histórico insuficiente",IF($J29&lt;0.8,"Subcarga",IF($J29&lt;=1.3,"Zona ideal",IF($J29&lt;=1.5,"Atenção","Risco elevado"))))))</f>
        <v/>
      </c>
      <c r="M29" s="20"/>
    </row>
    <row r="30" customFormat="false" ht="15" hidden="false" customHeight="false" outlineLevel="0" collapsed="false">
      <c r="A30" s="21"/>
      <c r="B30" s="33" t="n">
        <f aca="false">IF($A30="",0,INT(($A30-Macrociclo!$C$11)/7)+1)</f>
        <v>0</v>
      </c>
      <c r="C30" s="20"/>
      <c r="D30" s="20"/>
      <c r="E30" s="22"/>
      <c r="F30" s="22"/>
      <c r="G30" s="48" t="n">
        <f aca="false">IF(OR($E30="",$F30=""),0,$E30*$F30)</f>
        <v>0</v>
      </c>
      <c r="H30" s="48" t="n">
        <f aca="false">IF($A30="",0,SUMIFS($G$8:$G$1007,$C$8:$C$1007,$C30,$A$8:$A$1007,"&gt;="&amp;$A30-6,$A$8:$A$1007,"&lt;="&amp;$A30))</f>
        <v>0</v>
      </c>
      <c r="I30" s="48" t="n">
        <f aca="false">IF($A30="",0,SUMIFS($G$8:$G$1007,$C$8:$C$1007,$C30,$A$8:$A$1007,"&gt;="&amp;$A30-27,$A$8:$A$1007,"&lt;="&amp;$A30)/4)</f>
        <v>0</v>
      </c>
      <c r="J30" s="67" t="n">
        <f aca="false">IF(OR($A30="",$I30=0),0,$H30/$I30)</f>
        <v>0</v>
      </c>
      <c r="K30" s="33" t="n">
        <f aca="false">IF($A30="",0,$A30-SUMPRODUCT(MIN(($C$8:$C$1007=$C30)*$A$8:$A$1007+($C$8:$C$1007&lt;&gt;$C30)*100000))+1)</f>
        <v>0</v>
      </c>
      <c r="L30" s="19" t="str">
        <f aca="false">IF($A30="","",IF($J30=0,"Sem registro anterior",IF($K30&lt;21,"Histórico insuficiente",IF($J30&lt;0.8,"Subcarga",IF($J30&lt;=1.3,"Zona ideal",IF($J30&lt;=1.5,"Atenção","Risco elevado"))))))</f>
        <v/>
      </c>
      <c r="M30" s="20"/>
    </row>
    <row r="31" customFormat="false" ht="15" hidden="false" customHeight="false" outlineLevel="0" collapsed="false">
      <c r="A31" s="21"/>
      <c r="B31" s="33" t="n">
        <f aca="false">IF($A31="",0,INT(($A31-Macrociclo!$C$11)/7)+1)</f>
        <v>0</v>
      </c>
      <c r="C31" s="20"/>
      <c r="D31" s="20"/>
      <c r="E31" s="22"/>
      <c r="F31" s="22"/>
      <c r="G31" s="48" t="n">
        <f aca="false">IF(OR($E31="",$F31=""),0,$E31*$F31)</f>
        <v>0</v>
      </c>
      <c r="H31" s="48" t="n">
        <f aca="false">IF($A31="",0,SUMIFS($G$8:$G$1007,$C$8:$C$1007,$C31,$A$8:$A$1007,"&gt;="&amp;$A31-6,$A$8:$A$1007,"&lt;="&amp;$A31))</f>
        <v>0</v>
      </c>
      <c r="I31" s="48" t="n">
        <f aca="false">IF($A31="",0,SUMIFS($G$8:$G$1007,$C$8:$C$1007,$C31,$A$8:$A$1007,"&gt;="&amp;$A31-27,$A$8:$A$1007,"&lt;="&amp;$A31)/4)</f>
        <v>0</v>
      </c>
      <c r="J31" s="67" t="n">
        <f aca="false">IF(OR($A31="",$I31=0),0,$H31/$I31)</f>
        <v>0</v>
      </c>
      <c r="K31" s="33" t="n">
        <f aca="false">IF($A31="",0,$A31-SUMPRODUCT(MIN(($C$8:$C$1007=$C31)*$A$8:$A$1007+($C$8:$C$1007&lt;&gt;$C31)*100000))+1)</f>
        <v>0</v>
      </c>
      <c r="L31" s="19" t="str">
        <f aca="false">IF($A31="","",IF($J31=0,"Sem registro anterior",IF($K31&lt;21,"Histórico insuficiente",IF($J31&lt;0.8,"Subcarga",IF($J31&lt;=1.3,"Zona ideal",IF($J31&lt;=1.5,"Atenção","Risco elevado"))))))</f>
        <v/>
      </c>
      <c r="M31" s="20"/>
    </row>
    <row r="32" customFormat="false" ht="15" hidden="false" customHeight="false" outlineLevel="0" collapsed="false">
      <c r="A32" s="21"/>
      <c r="B32" s="33" t="n">
        <f aca="false">IF($A32="",0,INT(($A32-Macrociclo!$C$11)/7)+1)</f>
        <v>0</v>
      </c>
      <c r="C32" s="20"/>
      <c r="D32" s="20"/>
      <c r="E32" s="22"/>
      <c r="F32" s="22"/>
      <c r="G32" s="48" t="n">
        <f aca="false">IF(OR($E32="",$F32=""),0,$E32*$F32)</f>
        <v>0</v>
      </c>
      <c r="H32" s="48" t="n">
        <f aca="false">IF($A32="",0,SUMIFS($G$8:$G$1007,$C$8:$C$1007,$C32,$A$8:$A$1007,"&gt;="&amp;$A32-6,$A$8:$A$1007,"&lt;="&amp;$A32))</f>
        <v>0</v>
      </c>
      <c r="I32" s="48" t="n">
        <f aca="false">IF($A32="",0,SUMIFS($G$8:$G$1007,$C$8:$C$1007,$C32,$A$8:$A$1007,"&gt;="&amp;$A32-27,$A$8:$A$1007,"&lt;="&amp;$A32)/4)</f>
        <v>0</v>
      </c>
      <c r="J32" s="67" t="n">
        <f aca="false">IF(OR($A32="",$I32=0),0,$H32/$I32)</f>
        <v>0</v>
      </c>
      <c r="K32" s="33" t="n">
        <f aca="false">IF($A32="",0,$A32-SUMPRODUCT(MIN(($C$8:$C$1007=$C32)*$A$8:$A$1007+($C$8:$C$1007&lt;&gt;$C32)*100000))+1)</f>
        <v>0</v>
      </c>
      <c r="L32" s="19" t="str">
        <f aca="false">IF($A32="","",IF($J32=0,"Sem registro anterior",IF($K32&lt;21,"Histórico insuficiente",IF($J32&lt;0.8,"Subcarga",IF($J32&lt;=1.3,"Zona ideal",IF($J32&lt;=1.5,"Atenção","Risco elevado"))))))</f>
        <v/>
      </c>
      <c r="M32" s="20"/>
    </row>
    <row r="33" customFormat="false" ht="15" hidden="false" customHeight="false" outlineLevel="0" collapsed="false">
      <c r="A33" s="21"/>
      <c r="B33" s="33" t="n">
        <f aca="false">IF($A33="",0,INT(($A33-Macrociclo!$C$11)/7)+1)</f>
        <v>0</v>
      </c>
      <c r="C33" s="20"/>
      <c r="D33" s="20"/>
      <c r="E33" s="22"/>
      <c r="F33" s="22"/>
      <c r="G33" s="48" t="n">
        <f aca="false">IF(OR($E33="",$F33=""),0,$E33*$F33)</f>
        <v>0</v>
      </c>
      <c r="H33" s="48" t="n">
        <f aca="false">IF($A33="",0,SUMIFS($G$8:$G$1007,$C$8:$C$1007,$C33,$A$8:$A$1007,"&gt;="&amp;$A33-6,$A$8:$A$1007,"&lt;="&amp;$A33))</f>
        <v>0</v>
      </c>
      <c r="I33" s="48" t="n">
        <f aca="false">IF($A33="",0,SUMIFS($G$8:$G$1007,$C$8:$C$1007,$C33,$A$8:$A$1007,"&gt;="&amp;$A33-27,$A$8:$A$1007,"&lt;="&amp;$A33)/4)</f>
        <v>0</v>
      </c>
      <c r="J33" s="67" t="n">
        <f aca="false">IF(OR($A33="",$I33=0),0,$H33/$I33)</f>
        <v>0</v>
      </c>
      <c r="K33" s="33" t="n">
        <f aca="false">IF($A33="",0,$A33-SUMPRODUCT(MIN(($C$8:$C$1007=$C33)*$A$8:$A$1007+($C$8:$C$1007&lt;&gt;$C33)*100000))+1)</f>
        <v>0</v>
      </c>
      <c r="L33" s="19" t="str">
        <f aca="false">IF($A33="","",IF($J33=0,"Sem registro anterior",IF($K33&lt;21,"Histórico insuficiente",IF($J33&lt;0.8,"Subcarga",IF($J33&lt;=1.3,"Zona ideal",IF($J33&lt;=1.5,"Atenção","Risco elevado"))))))</f>
        <v/>
      </c>
      <c r="M33" s="20"/>
    </row>
    <row r="34" customFormat="false" ht="15" hidden="false" customHeight="false" outlineLevel="0" collapsed="false">
      <c r="A34" s="21"/>
      <c r="B34" s="33" t="n">
        <f aca="false">IF($A34="",0,INT(($A34-Macrociclo!$C$11)/7)+1)</f>
        <v>0</v>
      </c>
      <c r="C34" s="20"/>
      <c r="D34" s="20"/>
      <c r="E34" s="22"/>
      <c r="F34" s="22"/>
      <c r="G34" s="48" t="n">
        <f aca="false">IF(OR($E34="",$F34=""),0,$E34*$F34)</f>
        <v>0</v>
      </c>
      <c r="H34" s="48" t="n">
        <f aca="false">IF($A34="",0,SUMIFS($G$8:$G$1007,$C$8:$C$1007,$C34,$A$8:$A$1007,"&gt;="&amp;$A34-6,$A$8:$A$1007,"&lt;="&amp;$A34))</f>
        <v>0</v>
      </c>
      <c r="I34" s="48" t="n">
        <f aca="false">IF($A34="",0,SUMIFS($G$8:$G$1007,$C$8:$C$1007,$C34,$A$8:$A$1007,"&gt;="&amp;$A34-27,$A$8:$A$1007,"&lt;="&amp;$A34)/4)</f>
        <v>0</v>
      </c>
      <c r="J34" s="67" t="n">
        <f aca="false">IF(OR($A34="",$I34=0),0,$H34/$I34)</f>
        <v>0</v>
      </c>
      <c r="K34" s="33" t="n">
        <f aca="false">IF($A34="",0,$A34-SUMPRODUCT(MIN(($C$8:$C$1007=$C34)*$A$8:$A$1007+($C$8:$C$1007&lt;&gt;$C34)*100000))+1)</f>
        <v>0</v>
      </c>
      <c r="L34" s="19" t="str">
        <f aca="false">IF($A34="","",IF($J34=0,"Sem registro anterior",IF($K34&lt;21,"Histórico insuficiente",IF($J34&lt;0.8,"Subcarga",IF($J34&lt;=1.3,"Zona ideal",IF($J34&lt;=1.5,"Atenção","Risco elevado"))))))</f>
        <v/>
      </c>
      <c r="M34" s="20"/>
    </row>
    <row r="35" customFormat="false" ht="15" hidden="false" customHeight="false" outlineLevel="0" collapsed="false">
      <c r="A35" s="21"/>
      <c r="B35" s="33" t="n">
        <f aca="false">IF($A35="",0,INT(($A35-Macrociclo!$C$11)/7)+1)</f>
        <v>0</v>
      </c>
      <c r="C35" s="20"/>
      <c r="D35" s="20"/>
      <c r="E35" s="22"/>
      <c r="F35" s="22"/>
      <c r="G35" s="48" t="n">
        <f aca="false">IF(OR($E35="",$F35=""),0,$E35*$F35)</f>
        <v>0</v>
      </c>
      <c r="H35" s="48" t="n">
        <f aca="false">IF($A35="",0,SUMIFS($G$8:$G$1007,$C$8:$C$1007,$C35,$A$8:$A$1007,"&gt;="&amp;$A35-6,$A$8:$A$1007,"&lt;="&amp;$A35))</f>
        <v>0</v>
      </c>
      <c r="I35" s="48" t="n">
        <f aca="false">IF($A35="",0,SUMIFS($G$8:$G$1007,$C$8:$C$1007,$C35,$A$8:$A$1007,"&gt;="&amp;$A35-27,$A$8:$A$1007,"&lt;="&amp;$A35)/4)</f>
        <v>0</v>
      </c>
      <c r="J35" s="67" t="n">
        <f aca="false">IF(OR($A35="",$I35=0),0,$H35/$I35)</f>
        <v>0</v>
      </c>
      <c r="K35" s="33" t="n">
        <f aca="false">IF($A35="",0,$A35-SUMPRODUCT(MIN(($C$8:$C$1007=$C35)*$A$8:$A$1007+($C$8:$C$1007&lt;&gt;$C35)*100000))+1)</f>
        <v>0</v>
      </c>
      <c r="L35" s="19" t="str">
        <f aca="false">IF($A35="","",IF($J35=0,"Sem registro anterior",IF($K35&lt;21,"Histórico insuficiente",IF($J35&lt;0.8,"Subcarga",IF($J35&lt;=1.3,"Zona ideal",IF($J35&lt;=1.5,"Atenção","Risco elevado"))))))</f>
        <v/>
      </c>
      <c r="M35" s="20"/>
    </row>
    <row r="36" customFormat="false" ht="15" hidden="false" customHeight="false" outlineLevel="0" collapsed="false">
      <c r="A36" s="21"/>
      <c r="B36" s="33" t="n">
        <f aca="false">IF($A36="",0,INT(($A36-Macrociclo!$C$11)/7)+1)</f>
        <v>0</v>
      </c>
      <c r="C36" s="20"/>
      <c r="D36" s="20"/>
      <c r="E36" s="22"/>
      <c r="F36" s="22"/>
      <c r="G36" s="48" t="n">
        <f aca="false">IF(OR($E36="",$F36=""),0,$E36*$F36)</f>
        <v>0</v>
      </c>
      <c r="H36" s="48" t="n">
        <f aca="false">IF($A36="",0,SUMIFS($G$8:$G$1007,$C$8:$C$1007,$C36,$A$8:$A$1007,"&gt;="&amp;$A36-6,$A$8:$A$1007,"&lt;="&amp;$A36))</f>
        <v>0</v>
      </c>
      <c r="I36" s="48" t="n">
        <f aca="false">IF($A36="",0,SUMIFS($G$8:$G$1007,$C$8:$C$1007,$C36,$A$8:$A$1007,"&gt;="&amp;$A36-27,$A$8:$A$1007,"&lt;="&amp;$A36)/4)</f>
        <v>0</v>
      </c>
      <c r="J36" s="67" t="n">
        <f aca="false">IF(OR($A36="",$I36=0),0,$H36/$I36)</f>
        <v>0</v>
      </c>
      <c r="K36" s="33" t="n">
        <f aca="false">IF($A36="",0,$A36-SUMPRODUCT(MIN(($C$8:$C$1007=$C36)*$A$8:$A$1007+($C$8:$C$1007&lt;&gt;$C36)*100000))+1)</f>
        <v>0</v>
      </c>
      <c r="L36" s="19" t="str">
        <f aca="false">IF($A36="","",IF($J36=0,"Sem registro anterior",IF($K36&lt;21,"Histórico insuficiente",IF($J36&lt;0.8,"Subcarga",IF($J36&lt;=1.3,"Zona ideal",IF($J36&lt;=1.5,"Atenção","Risco elevado"))))))</f>
        <v/>
      </c>
      <c r="M36" s="20"/>
    </row>
    <row r="37" customFormat="false" ht="15" hidden="false" customHeight="false" outlineLevel="0" collapsed="false">
      <c r="A37" s="21"/>
      <c r="B37" s="33" t="n">
        <f aca="false">IF($A37="",0,INT(($A37-Macrociclo!$C$11)/7)+1)</f>
        <v>0</v>
      </c>
      <c r="C37" s="20"/>
      <c r="D37" s="20"/>
      <c r="E37" s="22"/>
      <c r="F37" s="22"/>
      <c r="G37" s="48" t="n">
        <f aca="false">IF(OR($E37="",$F37=""),0,$E37*$F37)</f>
        <v>0</v>
      </c>
      <c r="H37" s="48" t="n">
        <f aca="false">IF($A37="",0,SUMIFS($G$8:$G$1007,$C$8:$C$1007,$C37,$A$8:$A$1007,"&gt;="&amp;$A37-6,$A$8:$A$1007,"&lt;="&amp;$A37))</f>
        <v>0</v>
      </c>
      <c r="I37" s="48" t="n">
        <f aca="false">IF($A37="",0,SUMIFS($G$8:$G$1007,$C$8:$C$1007,$C37,$A$8:$A$1007,"&gt;="&amp;$A37-27,$A$8:$A$1007,"&lt;="&amp;$A37)/4)</f>
        <v>0</v>
      </c>
      <c r="J37" s="67" t="n">
        <f aca="false">IF(OR($A37="",$I37=0),0,$H37/$I37)</f>
        <v>0</v>
      </c>
      <c r="K37" s="33" t="n">
        <f aca="false">IF($A37="",0,$A37-SUMPRODUCT(MIN(($C$8:$C$1007=$C37)*$A$8:$A$1007+($C$8:$C$1007&lt;&gt;$C37)*100000))+1)</f>
        <v>0</v>
      </c>
      <c r="L37" s="19" t="str">
        <f aca="false">IF($A37="","",IF($J37=0,"Sem registro anterior",IF($K37&lt;21,"Histórico insuficiente",IF($J37&lt;0.8,"Subcarga",IF($J37&lt;=1.3,"Zona ideal",IF($J37&lt;=1.5,"Atenção","Risco elevado"))))))</f>
        <v/>
      </c>
      <c r="M37" s="20"/>
    </row>
    <row r="38" customFormat="false" ht="15" hidden="false" customHeight="false" outlineLevel="0" collapsed="false">
      <c r="A38" s="21"/>
      <c r="B38" s="33" t="n">
        <f aca="false">IF($A38="",0,INT(($A38-Macrociclo!$C$11)/7)+1)</f>
        <v>0</v>
      </c>
      <c r="C38" s="20"/>
      <c r="D38" s="20"/>
      <c r="E38" s="22"/>
      <c r="F38" s="22"/>
      <c r="G38" s="48" t="n">
        <f aca="false">IF(OR($E38="",$F38=""),0,$E38*$F38)</f>
        <v>0</v>
      </c>
      <c r="H38" s="48" t="n">
        <f aca="false">IF($A38="",0,SUMIFS($G$8:$G$1007,$C$8:$C$1007,$C38,$A$8:$A$1007,"&gt;="&amp;$A38-6,$A$8:$A$1007,"&lt;="&amp;$A38))</f>
        <v>0</v>
      </c>
      <c r="I38" s="48" t="n">
        <f aca="false">IF($A38="",0,SUMIFS($G$8:$G$1007,$C$8:$C$1007,$C38,$A$8:$A$1007,"&gt;="&amp;$A38-27,$A$8:$A$1007,"&lt;="&amp;$A38)/4)</f>
        <v>0</v>
      </c>
      <c r="J38" s="67" t="n">
        <f aca="false">IF(OR($A38="",$I38=0),0,$H38/$I38)</f>
        <v>0</v>
      </c>
      <c r="K38" s="33" t="n">
        <f aca="false">IF($A38="",0,$A38-SUMPRODUCT(MIN(($C$8:$C$1007=$C38)*$A$8:$A$1007+($C$8:$C$1007&lt;&gt;$C38)*100000))+1)</f>
        <v>0</v>
      </c>
      <c r="L38" s="19" t="str">
        <f aca="false">IF($A38="","",IF($J38=0,"Sem registro anterior",IF($K38&lt;21,"Histórico insuficiente",IF($J38&lt;0.8,"Subcarga",IF($J38&lt;=1.3,"Zona ideal",IF($J38&lt;=1.5,"Atenção","Risco elevado"))))))</f>
        <v/>
      </c>
      <c r="M38" s="20"/>
    </row>
    <row r="39" customFormat="false" ht="15" hidden="false" customHeight="false" outlineLevel="0" collapsed="false">
      <c r="A39" s="21"/>
      <c r="B39" s="33" t="n">
        <f aca="false">IF($A39="",0,INT(($A39-Macrociclo!$C$11)/7)+1)</f>
        <v>0</v>
      </c>
      <c r="C39" s="20"/>
      <c r="D39" s="20"/>
      <c r="E39" s="22"/>
      <c r="F39" s="22"/>
      <c r="G39" s="48" t="n">
        <f aca="false">IF(OR($E39="",$F39=""),0,$E39*$F39)</f>
        <v>0</v>
      </c>
      <c r="H39" s="48" t="n">
        <f aca="false">IF($A39="",0,SUMIFS($G$8:$G$1007,$C$8:$C$1007,$C39,$A$8:$A$1007,"&gt;="&amp;$A39-6,$A$8:$A$1007,"&lt;="&amp;$A39))</f>
        <v>0</v>
      </c>
      <c r="I39" s="48" t="n">
        <f aca="false">IF($A39="",0,SUMIFS($G$8:$G$1007,$C$8:$C$1007,$C39,$A$8:$A$1007,"&gt;="&amp;$A39-27,$A$8:$A$1007,"&lt;="&amp;$A39)/4)</f>
        <v>0</v>
      </c>
      <c r="J39" s="67" t="n">
        <f aca="false">IF(OR($A39="",$I39=0),0,$H39/$I39)</f>
        <v>0</v>
      </c>
      <c r="K39" s="33" t="n">
        <f aca="false">IF($A39="",0,$A39-SUMPRODUCT(MIN(($C$8:$C$1007=$C39)*$A$8:$A$1007+($C$8:$C$1007&lt;&gt;$C39)*100000))+1)</f>
        <v>0</v>
      </c>
      <c r="L39" s="19" t="str">
        <f aca="false">IF($A39="","",IF($J39=0,"Sem registro anterior",IF($K39&lt;21,"Histórico insuficiente",IF($J39&lt;0.8,"Subcarga",IF($J39&lt;=1.3,"Zona ideal",IF($J39&lt;=1.5,"Atenção","Risco elevado"))))))</f>
        <v/>
      </c>
      <c r="M39" s="20"/>
    </row>
    <row r="40" customFormat="false" ht="15" hidden="false" customHeight="false" outlineLevel="0" collapsed="false">
      <c r="A40" s="21"/>
      <c r="B40" s="33" t="n">
        <f aca="false">IF($A40="",0,INT(($A40-Macrociclo!$C$11)/7)+1)</f>
        <v>0</v>
      </c>
      <c r="C40" s="20"/>
      <c r="D40" s="20"/>
      <c r="E40" s="22"/>
      <c r="F40" s="22"/>
      <c r="G40" s="48" t="n">
        <f aca="false">IF(OR($E40="",$F40=""),0,$E40*$F40)</f>
        <v>0</v>
      </c>
      <c r="H40" s="48" t="n">
        <f aca="false">IF($A40="",0,SUMIFS($G$8:$G$1007,$C$8:$C$1007,$C40,$A$8:$A$1007,"&gt;="&amp;$A40-6,$A$8:$A$1007,"&lt;="&amp;$A40))</f>
        <v>0</v>
      </c>
      <c r="I40" s="48" t="n">
        <f aca="false">IF($A40="",0,SUMIFS($G$8:$G$1007,$C$8:$C$1007,$C40,$A$8:$A$1007,"&gt;="&amp;$A40-27,$A$8:$A$1007,"&lt;="&amp;$A40)/4)</f>
        <v>0</v>
      </c>
      <c r="J40" s="67" t="n">
        <f aca="false">IF(OR($A40="",$I40=0),0,$H40/$I40)</f>
        <v>0</v>
      </c>
      <c r="K40" s="33" t="n">
        <f aca="false">IF($A40="",0,$A40-SUMPRODUCT(MIN(($C$8:$C$1007=$C40)*$A$8:$A$1007+($C$8:$C$1007&lt;&gt;$C40)*100000))+1)</f>
        <v>0</v>
      </c>
      <c r="L40" s="19" t="str">
        <f aca="false">IF($A40="","",IF($J40=0,"Sem registro anterior",IF($K40&lt;21,"Histórico insuficiente",IF($J40&lt;0.8,"Subcarga",IF($J40&lt;=1.3,"Zona ideal",IF($J40&lt;=1.5,"Atenção","Risco elevado"))))))</f>
        <v/>
      </c>
      <c r="M40" s="20"/>
    </row>
    <row r="41" customFormat="false" ht="15" hidden="false" customHeight="false" outlineLevel="0" collapsed="false">
      <c r="A41" s="21"/>
      <c r="B41" s="33" t="n">
        <f aca="false">IF($A41="",0,INT(($A41-Macrociclo!$C$11)/7)+1)</f>
        <v>0</v>
      </c>
      <c r="C41" s="20"/>
      <c r="D41" s="20"/>
      <c r="E41" s="22"/>
      <c r="F41" s="22"/>
      <c r="G41" s="48" t="n">
        <f aca="false">IF(OR($E41="",$F41=""),0,$E41*$F41)</f>
        <v>0</v>
      </c>
      <c r="H41" s="48" t="n">
        <f aca="false">IF($A41="",0,SUMIFS($G$8:$G$1007,$C$8:$C$1007,$C41,$A$8:$A$1007,"&gt;="&amp;$A41-6,$A$8:$A$1007,"&lt;="&amp;$A41))</f>
        <v>0</v>
      </c>
      <c r="I41" s="48" t="n">
        <f aca="false">IF($A41="",0,SUMIFS($G$8:$G$1007,$C$8:$C$1007,$C41,$A$8:$A$1007,"&gt;="&amp;$A41-27,$A$8:$A$1007,"&lt;="&amp;$A41)/4)</f>
        <v>0</v>
      </c>
      <c r="J41" s="67" t="n">
        <f aca="false">IF(OR($A41="",$I41=0),0,$H41/$I41)</f>
        <v>0</v>
      </c>
      <c r="K41" s="33" t="n">
        <f aca="false">IF($A41="",0,$A41-SUMPRODUCT(MIN(($C$8:$C$1007=$C41)*$A$8:$A$1007+($C$8:$C$1007&lt;&gt;$C41)*100000))+1)</f>
        <v>0</v>
      </c>
      <c r="L41" s="19" t="str">
        <f aca="false">IF($A41="","",IF($J41=0,"Sem registro anterior",IF($K41&lt;21,"Histórico insuficiente",IF($J41&lt;0.8,"Subcarga",IF($J41&lt;=1.3,"Zona ideal",IF($J41&lt;=1.5,"Atenção","Risco elevado"))))))</f>
        <v/>
      </c>
      <c r="M41" s="20"/>
    </row>
    <row r="42" customFormat="false" ht="15" hidden="false" customHeight="false" outlineLevel="0" collapsed="false">
      <c r="A42" s="21"/>
      <c r="B42" s="33" t="n">
        <f aca="false">IF($A42="",0,INT(($A42-Macrociclo!$C$11)/7)+1)</f>
        <v>0</v>
      </c>
      <c r="C42" s="20"/>
      <c r="D42" s="20"/>
      <c r="E42" s="22"/>
      <c r="F42" s="22"/>
      <c r="G42" s="48" t="n">
        <f aca="false">IF(OR($E42="",$F42=""),0,$E42*$F42)</f>
        <v>0</v>
      </c>
      <c r="H42" s="48" t="n">
        <f aca="false">IF($A42="",0,SUMIFS($G$8:$G$1007,$C$8:$C$1007,$C42,$A$8:$A$1007,"&gt;="&amp;$A42-6,$A$8:$A$1007,"&lt;="&amp;$A42))</f>
        <v>0</v>
      </c>
      <c r="I42" s="48" t="n">
        <f aca="false">IF($A42="",0,SUMIFS($G$8:$G$1007,$C$8:$C$1007,$C42,$A$8:$A$1007,"&gt;="&amp;$A42-27,$A$8:$A$1007,"&lt;="&amp;$A42)/4)</f>
        <v>0</v>
      </c>
      <c r="J42" s="67" t="n">
        <f aca="false">IF(OR($A42="",$I42=0),0,$H42/$I42)</f>
        <v>0</v>
      </c>
      <c r="K42" s="33" t="n">
        <f aca="false">IF($A42="",0,$A42-SUMPRODUCT(MIN(($C$8:$C$1007=$C42)*$A$8:$A$1007+($C$8:$C$1007&lt;&gt;$C42)*100000))+1)</f>
        <v>0</v>
      </c>
      <c r="L42" s="19" t="str">
        <f aca="false">IF($A42="","",IF($J42=0,"Sem registro anterior",IF($K42&lt;21,"Histórico insuficiente",IF($J42&lt;0.8,"Subcarga",IF($J42&lt;=1.3,"Zona ideal",IF($J42&lt;=1.5,"Atenção","Risco elevado"))))))</f>
        <v/>
      </c>
      <c r="M42" s="20"/>
    </row>
    <row r="43" customFormat="false" ht="15" hidden="false" customHeight="false" outlineLevel="0" collapsed="false">
      <c r="A43" s="21"/>
      <c r="B43" s="33" t="n">
        <f aca="false">IF($A43="",0,INT(($A43-Macrociclo!$C$11)/7)+1)</f>
        <v>0</v>
      </c>
      <c r="C43" s="20"/>
      <c r="D43" s="20"/>
      <c r="E43" s="22"/>
      <c r="F43" s="22"/>
      <c r="G43" s="48" t="n">
        <f aca="false">IF(OR($E43="",$F43=""),0,$E43*$F43)</f>
        <v>0</v>
      </c>
      <c r="H43" s="48" t="n">
        <f aca="false">IF($A43="",0,SUMIFS($G$8:$G$1007,$C$8:$C$1007,$C43,$A$8:$A$1007,"&gt;="&amp;$A43-6,$A$8:$A$1007,"&lt;="&amp;$A43))</f>
        <v>0</v>
      </c>
      <c r="I43" s="48" t="n">
        <f aca="false">IF($A43="",0,SUMIFS($G$8:$G$1007,$C$8:$C$1007,$C43,$A$8:$A$1007,"&gt;="&amp;$A43-27,$A$8:$A$1007,"&lt;="&amp;$A43)/4)</f>
        <v>0</v>
      </c>
      <c r="J43" s="67" t="n">
        <f aca="false">IF(OR($A43="",$I43=0),0,$H43/$I43)</f>
        <v>0</v>
      </c>
      <c r="K43" s="33" t="n">
        <f aca="false">IF($A43="",0,$A43-SUMPRODUCT(MIN(($C$8:$C$1007=$C43)*$A$8:$A$1007+($C$8:$C$1007&lt;&gt;$C43)*100000))+1)</f>
        <v>0</v>
      </c>
      <c r="L43" s="19" t="str">
        <f aca="false">IF($A43="","",IF($J43=0,"Sem registro anterior",IF($K43&lt;21,"Histórico insuficiente",IF($J43&lt;0.8,"Subcarga",IF($J43&lt;=1.3,"Zona ideal",IF($J43&lt;=1.5,"Atenção","Risco elevado"))))))</f>
        <v/>
      </c>
      <c r="M43" s="20"/>
    </row>
    <row r="44" customFormat="false" ht="15" hidden="false" customHeight="false" outlineLevel="0" collapsed="false">
      <c r="A44" s="21"/>
      <c r="B44" s="33" t="n">
        <f aca="false">IF($A44="",0,INT(($A44-Macrociclo!$C$11)/7)+1)</f>
        <v>0</v>
      </c>
      <c r="C44" s="20"/>
      <c r="D44" s="20"/>
      <c r="E44" s="22"/>
      <c r="F44" s="22"/>
      <c r="G44" s="48" t="n">
        <f aca="false">IF(OR($E44="",$F44=""),0,$E44*$F44)</f>
        <v>0</v>
      </c>
      <c r="H44" s="48" t="n">
        <f aca="false">IF($A44="",0,SUMIFS($G$8:$G$1007,$C$8:$C$1007,$C44,$A$8:$A$1007,"&gt;="&amp;$A44-6,$A$8:$A$1007,"&lt;="&amp;$A44))</f>
        <v>0</v>
      </c>
      <c r="I44" s="48" t="n">
        <f aca="false">IF($A44="",0,SUMIFS($G$8:$G$1007,$C$8:$C$1007,$C44,$A$8:$A$1007,"&gt;="&amp;$A44-27,$A$8:$A$1007,"&lt;="&amp;$A44)/4)</f>
        <v>0</v>
      </c>
      <c r="J44" s="67" t="n">
        <f aca="false">IF(OR($A44="",$I44=0),0,$H44/$I44)</f>
        <v>0</v>
      </c>
      <c r="K44" s="33" t="n">
        <f aca="false">IF($A44="",0,$A44-SUMPRODUCT(MIN(($C$8:$C$1007=$C44)*$A$8:$A$1007+($C$8:$C$1007&lt;&gt;$C44)*100000))+1)</f>
        <v>0</v>
      </c>
      <c r="L44" s="19" t="str">
        <f aca="false">IF($A44="","",IF($J44=0,"Sem registro anterior",IF($K44&lt;21,"Histórico insuficiente",IF($J44&lt;0.8,"Subcarga",IF($J44&lt;=1.3,"Zona ideal",IF($J44&lt;=1.5,"Atenção","Risco elevado"))))))</f>
        <v/>
      </c>
      <c r="M44" s="20"/>
    </row>
    <row r="45" customFormat="false" ht="15" hidden="false" customHeight="false" outlineLevel="0" collapsed="false">
      <c r="A45" s="21"/>
      <c r="B45" s="33" t="n">
        <f aca="false">IF($A45="",0,INT(($A45-Macrociclo!$C$11)/7)+1)</f>
        <v>0</v>
      </c>
      <c r="C45" s="20"/>
      <c r="D45" s="20"/>
      <c r="E45" s="22"/>
      <c r="F45" s="22"/>
      <c r="G45" s="48" t="n">
        <f aca="false">IF(OR($E45="",$F45=""),0,$E45*$F45)</f>
        <v>0</v>
      </c>
      <c r="H45" s="48" t="n">
        <f aca="false">IF($A45="",0,SUMIFS($G$8:$G$1007,$C$8:$C$1007,$C45,$A$8:$A$1007,"&gt;="&amp;$A45-6,$A$8:$A$1007,"&lt;="&amp;$A45))</f>
        <v>0</v>
      </c>
      <c r="I45" s="48" t="n">
        <f aca="false">IF($A45="",0,SUMIFS($G$8:$G$1007,$C$8:$C$1007,$C45,$A$8:$A$1007,"&gt;="&amp;$A45-27,$A$8:$A$1007,"&lt;="&amp;$A45)/4)</f>
        <v>0</v>
      </c>
      <c r="J45" s="67" t="n">
        <f aca="false">IF(OR($A45="",$I45=0),0,$H45/$I45)</f>
        <v>0</v>
      </c>
      <c r="K45" s="33" t="n">
        <f aca="false">IF($A45="",0,$A45-SUMPRODUCT(MIN(($C$8:$C$1007=$C45)*$A$8:$A$1007+($C$8:$C$1007&lt;&gt;$C45)*100000))+1)</f>
        <v>0</v>
      </c>
      <c r="L45" s="19" t="str">
        <f aca="false">IF($A45="","",IF($J45=0,"Sem registro anterior",IF($K45&lt;21,"Histórico insuficiente",IF($J45&lt;0.8,"Subcarga",IF($J45&lt;=1.3,"Zona ideal",IF($J45&lt;=1.5,"Atenção","Risco elevado"))))))</f>
        <v/>
      </c>
      <c r="M45" s="20"/>
    </row>
    <row r="46" customFormat="false" ht="15" hidden="false" customHeight="false" outlineLevel="0" collapsed="false">
      <c r="A46" s="21"/>
      <c r="B46" s="33" t="n">
        <f aca="false">IF($A46="",0,INT(($A46-Macrociclo!$C$11)/7)+1)</f>
        <v>0</v>
      </c>
      <c r="C46" s="20"/>
      <c r="D46" s="20"/>
      <c r="E46" s="22"/>
      <c r="F46" s="22"/>
      <c r="G46" s="48" t="n">
        <f aca="false">IF(OR($E46="",$F46=""),0,$E46*$F46)</f>
        <v>0</v>
      </c>
      <c r="H46" s="48" t="n">
        <f aca="false">IF($A46="",0,SUMIFS($G$8:$G$1007,$C$8:$C$1007,$C46,$A$8:$A$1007,"&gt;="&amp;$A46-6,$A$8:$A$1007,"&lt;="&amp;$A46))</f>
        <v>0</v>
      </c>
      <c r="I46" s="48" t="n">
        <f aca="false">IF($A46="",0,SUMIFS($G$8:$G$1007,$C$8:$C$1007,$C46,$A$8:$A$1007,"&gt;="&amp;$A46-27,$A$8:$A$1007,"&lt;="&amp;$A46)/4)</f>
        <v>0</v>
      </c>
      <c r="J46" s="67" t="n">
        <f aca="false">IF(OR($A46="",$I46=0),0,$H46/$I46)</f>
        <v>0</v>
      </c>
      <c r="K46" s="33" t="n">
        <f aca="false">IF($A46="",0,$A46-SUMPRODUCT(MIN(($C$8:$C$1007=$C46)*$A$8:$A$1007+($C$8:$C$1007&lt;&gt;$C46)*100000))+1)</f>
        <v>0</v>
      </c>
      <c r="L46" s="19" t="str">
        <f aca="false">IF($A46="","",IF($J46=0,"Sem registro anterior",IF($K46&lt;21,"Histórico insuficiente",IF($J46&lt;0.8,"Subcarga",IF($J46&lt;=1.3,"Zona ideal",IF($J46&lt;=1.5,"Atenção","Risco elevado"))))))</f>
        <v/>
      </c>
      <c r="M46" s="20"/>
    </row>
    <row r="47" customFormat="false" ht="15" hidden="false" customHeight="false" outlineLevel="0" collapsed="false">
      <c r="A47" s="21"/>
      <c r="B47" s="33" t="n">
        <f aca="false">IF($A47="",0,INT(($A47-Macrociclo!$C$11)/7)+1)</f>
        <v>0</v>
      </c>
      <c r="C47" s="20"/>
      <c r="D47" s="20"/>
      <c r="E47" s="22"/>
      <c r="F47" s="22"/>
      <c r="G47" s="48" t="n">
        <f aca="false">IF(OR($E47="",$F47=""),0,$E47*$F47)</f>
        <v>0</v>
      </c>
      <c r="H47" s="48" t="n">
        <f aca="false">IF($A47="",0,SUMIFS($G$8:$G$1007,$C$8:$C$1007,$C47,$A$8:$A$1007,"&gt;="&amp;$A47-6,$A$8:$A$1007,"&lt;="&amp;$A47))</f>
        <v>0</v>
      </c>
      <c r="I47" s="48" t="n">
        <f aca="false">IF($A47="",0,SUMIFS($G$8:$G$1007,$C$8:$C$1007,$C47,$A$8:$A$1007,"&gt;="&amp;$A47-27,$A$8:$A$1007,"&lt;="&amp;$A47)/4)</f>
        <v>0</v>
      </c>
      <c r="J47" s="67" t="n">
        <f aca="false">IF(OR($A47="",$I47=0),0,$H47/$I47)</f>
        <v>0</v>
      </c>
      <c r="K47" s="33" t="n">
        <f aca="false">IF($A47="",0,$A47-SUMPRODUCT(MIN(($C$8:$C$1007=$C47)*$A$8:$A$1007+($C$8:$C$1007&lt;&gt;$C47)*100000))+1)</f>
        <v>0</v>
      </c>
      <c r="L47" s="19" t="str">
        <f aca="false">IF($A47="","",IF($J47=0,"Sem registro anterior",IF($K47&lt;21,"Histórico insuficiente",IF($J47&lt;0.8,"Subcarga",IF($J47&lt;=1.3,"Zona ideal",IF($J47&lt;=1.5,"Atenção","Risco elevado"))))))</f>
        <v/>
      </c>
      <c r="M47" s="20"/>
    </row>
    <row r="48" customFormat="false" ht="15" hidden="false" customHeight="false" outlineLevel="0" collapsed="false">
      <c r="A48" s="21"/>
      <c r="B48" s="33" t="n">
        <f aca="false">IF($A48="",0,INT(($A48-Macrociclo!$C$11)/7)+1)</f>
        <v>0</v>
      </c>
      <c r="C48" s="20"/>
      <c r="D48" s="20"/>
      <c r="E48" s="22"/>
      <c r="F48" s="22"/>
      <c r="G48" s="48" t="n">
        <f aca="false">IF(OR($E48="",$F48=""),0,$E48*$F48)</f>
        <v>0</v>
      </c>
      <c r="H48" s="48" t="n">
        <f aca="false">IF($A48="",0,SUMIFS($G$8:$G$1007,$C$8:$C$1007,$C48,$A$8:$A$1007,"&gt;="&amp;$A48-6,$A$8:$A$1007,"&lt;="&amp;$A48))</f>
        <v>0</v>
      </c>
      <c r="I48" s="48" t="n">
        <f aca="false">IF($A48="",0,SUMIFS($G$8:$G$1007,$C$8:$C$1007,$C48,$A$8:$A$1007,"&gt;="&amp;$A48-27,$A$8:$A$1007,"&lt;="&amp;$A48)/4)</f>
        <v>0</v>
      </c>
      <c r="J48" s="67" t="n">
        <f aca="false">IF(OR($A48="",$I48=0),0,$H48/$I48)</f>
        <v>0</v>
      </c>
      <c r="K48" s="33" t="n">
        <f aca="false">IF($A48="",0,$A48-SUMPRODUCT(MIN(($C$8:$C$1007=$C48)*$A$8:$A$1007+($C$8:$C$1007&lt;&gt;$C48)*100000))+1)</f>
        <v>0</v>
      </c>
      <c r="L48" s="19" t="str">
        <f aca="false">IF($A48="","",IF($J48=0,"Sem registro anterior",IF($K48&lt;21,"Histórico insuficiente",IF($J48&lt;0.8,"Subcarga",IF($J48&lt;=1.3,"Zona ideal",IF($J48&lt;=1.5,"Atenção","Risco elevado"))))))</f>
        <v/>
      </c>
      <c r="M48" s="20"/>
    </row>
    <row r="49" customFormat="false" ht="15" hidden="false" customHeight="false" outlineLevel="0" collapsed="false">
      <c r="A49" s="21"/>
      <c r="B49" s="33" t="n">
        <f aca="false">IF($A49="",0,INT(($A49-Macrociclo!$C$11)/7)+1)</f>
        <v>0</v>
      </c>
      <c r="C49" s="20"/>
      <c r="D49" s="20"/>
      <c r="E49" s="22"/>
      <c r="F49" s="22"/>
      <c r="G49" s="48" t="n">
        <f aca="false">IF(OR($E49="",$F49=""),0,$E49*$F49)</f>
        <v>0</v>
      </c>
      <c r="H49" s="48" t="n">
        <f aca="false">IF($A49="",0,SUMIFS($G$8:$G$1007,$C$8:$C$1007,$C49,$A$8:$A$1007,"&gt;="&amp;$A49-6,$A$8:$A$1007,"&lt;="&amp;$A49))</f>
        <v>0</v>
      </c>
      <c r="I49" s="48" t="n">
        <f aca="false">IF($A49="",0,SUMIFS($G$8:$G$1007,$C$8:$C$1007,$C49,$A$8:$A$1007,"&gt;="&amp;$A49-27,$A$8:$A$1007,"&lt;="&amp;$A49)/4)</f>
        <v>0</v>
      </c>
      <c r="J49" s="67" t="n">
        <f aca="false">IF(OR($A49="",$I49=0),0,$H49/$I49)</f>
        <v>0</v>
      </c>
      <c r="K49" s="33" t="n">
        <f aca="false">IF($A49="",0,$A49-SUMPRODUCT(MIN(($C$8:$C$1007=$C49)*$A$8:$A$1007+($C$8:$C$1007&lt;&gt;$C49)*100000))+1)</f>
        <v>0</v>
      </c>
      <c r="L49" s="19" t="str">
        <f aca="false">IF($A49="","",IF($J49=0,"Sem registro anterior",IF($K49&lt;21,"Histórico insuficiente",IF($J49&lt;0.8,"Subcarga",IF($J49&lt;=1.3,"Zona ideal",IF($J49&lt;=1.5,"Atenção","Risco elevado"))))))</f>
        <v/>
      </c>
      <c r="M49" s="20"/>
    </row>
    <row r="50" customFormat="false" ht="15" hidden="false" customHeight="false" outlineLevel="0" collapsed="false">
      <c r="A50" s="21"/>
      <c r="B50" s="33" t="n">
        <f aca="false">IF($A50="",0,INT(($A50-Macrociclo!$C$11)/7)+1)</f>
        <v>0</v>
      </c>
      <c r="C50" s="20"/>
      <c r="D50" s="20"/>
      <c r="E50" s="22"/>
      <c r="F50" s="22"/>
      <c r="G50" s="48" t="n">
        <f aca="false">IF(OR($E50="",$F50=""),0,$E50*$F50)</f>
        <v>0</v>
      </c>
      <c r="H50" s="48" t="n">
        <f aca="false">IF($A50="",0,SUMIFS($G$8:$G$1007,$C$8:$C$1007,$C50,$A$8:$A$1007,"&gt;="&amp;$A50-6,$A$8:$A$1007,"&lt;="&amp;$A50))</f>
        <v>0</v>
      </c>
      <c r="I50" s="48" t="n">
        <f aca="false">IF($A50="",0,SUMIFS($G$8:$G$1007,$C$8:$C$1007,$C50,$A$8:$A$1007,"&gt;="&amp;$A50-27,$A$8:$A$1007,"&lt;="&amp;$A50)/4)</f>
        <v>0</v>
      </c>
      <c r="J50" s="67" t="n">
        <f aca="false">IF(OR($A50="",$I50=0),0,$H50/$I50)</f>
        <v>0</v>
      </c>
      <c r="K50" s="33" t="n">
        <f aca="false">IF($A50="",0,$A50-SUMPRODUCT(MIN(($C$8:$C$1007=$C50)*$A$8:$A$1007+($C$8:$C$1007&lt;&gt;$C50)*100000))+1)</f>
        <v>0</v>
      </c>
      <c r="L50" s="19" t="str">
        <f aca="false">IF($A50="","",IF($J50=0,"Sem registro anterior",IF($K50&lt;21,"Histórico insuficiente",IF($J50&lt;0.8,"Subcarga",IF($J50&lt;=1.3,"Zona ideal",IF($J50&lt;=1.5,"Atenção","Risco elevado"))))))</f>
        <v/>
      </c>
      <c r="M50" s="20"/>
    </row>
    <row r="51" customFormat="false" ht="15" hidden="false" customHeight="false" outlineLevel="0" collapsed="false">
      <c r="A51" s="21"/>
      <c r="B51" s="33" t="n">
        <f aca="false">IF($A51="",0,INT(($A51-Macrociclo!$C$11)/7)+1)</f>
        <v>0</v>
      </c>
      <c r="C51" s="20"/>
      <c r="D51" s="20"/>
      <c r="E51" s="22"/>
      <c r="F51" s="22"/>
      <c r="G51" s="48" t="n">
        <f aca="false">IF(OR($E51="",$F51=""),0,$E51*$F51)</f>
        <v>0</v>
      </c>
      <c r="H51" s="48" t="n">
        <f aca="false">IF($A51="",0,SUMIFS($G$8:$G$1007,$C$8:$C$1007,$C51,$A$8:$A$1007,"&gt;="&amp;$A51-6,$A$8:$A$1007,"&lt;="&amp;$A51))</f>
        <v>0</v>
      </c>
      <c r="I51" s="48" t="n">
        <f aca="false">IF($A51="",0,SUMIFS($G$8:$G$1007,$C$8:$C$1007,$C51,$A$8:$A$1007,"&gt;="&amp;$A51-27,$A$8:$A$1007,"&lt;="&amp;$A51)/4)</f>
        <v>0</v>
      </c>
      <c r="J51" s="67" t="n">
        <f aca="false">IF(OR($A51="",$I51=0),0,$H51/$I51)</f>
        <v>0</v>
      </c>
      <c r="K51" s="33" t="n">
        <f aca="false">IF($A51="",0,$A51-SUMPRODUCT(MIN(($C$8:$C$1007=$C51)*$A$8:$A$1007+($C$8:$C$1007&lt;&gt;$C51)*100000))+1)</f>
        <v>0</v>
      </c>
      <c r="L51" s="19" t="str">
        <f aca="false">IF($A51="","",IF($J51=0,"Sem registro anterior",IF($K51&lt;21,"Histórico insuficiente",IF($J51&lt;0.8,"Subcarga",IF($J51&lt;=1.3,"Zona ideal",IF($J51&lt;=1.5,"Atenção","Risco elevado"))))))</f>
        <v/>
      </c>
      <c r="M51" s="20"/>
    </row>
    <row r="52" customFormat="false" ht="15" hidden="false" customHeight="false" outlineLevel="0" collapsed="false">
      <c r="A52" s="21"/>
      <c r="B52" s="33" t="n">
        <f aca="false">IF($A52="",0,INT(($A52-Macrociclo!$C$11)/7)+1)</f>
        <v>0</v>
      </c>
      <c r="C52" s="20"/>
      <c r="D52" s="20"/>
      <c r="E52" s="22"/>
      <c r="F52" s="22"/>
      <c r="G52" s="48" t="n">
        <f aca="false">IF(OR($E52="",$F52=""),0,$E52*$F52)</f>
        <v>0</v>
      </c>
      <c r="H52" s="48" t="n">
        <f aca="false">IF($A52="",0,SUMIFS($G$8:$G$1007,$C$8:$C$1007,$C52,$A$8:$A$1007,"&gt;="&amp;$A52-6,$A$8:$A$1007,"&lt;="&amp;$A52))</f>
        <v>0</v>
      </c>
      <c r="I52" s="48" t="n">
        <f aca="false">IF($A52="",0,SUMIFS($G$8:$G$1007,$C$8:$C$1007,$C52,$A$8:$A$1007,"&gt;="&amp;$A52-27,$A$8:$A$1007,"&lt;="&amp;$A52)/4)</f>
        <v>0</v>
      </c>
      <c r="J52" s="67" t="n">
        <f aca="false">IF(OR($A52="",$I52=0),0,$H52/$I52)</f>
        <v>0</v>
      </c>
      <c r="K52" s="33" t="n">
        <f aca="false">IF($A52="",0,$A52-SUMPRODUCT(MIN(($C$8:$C$1007=$C52)*$A$8:$A$1007+($C$8:$C$1007&lt;&gt;$C52)*100000))+1)</f>
        <v>0</v>
      </c>
      <c r="L52" s="19" t="str">
        <f aca="false">IF($A52="","",IF($J52=0,"Sem registro anterior",IF($K52&lt;21,"Histórico insuficiente",IF($J52&lt;0.8,"Subcarga",IF($J52&lt;=1.3,"Zona ideal",IF($J52&lt;=1.5,"Atenção","Risco elevado"))))))</f>
        <v/>
      </c>
      <c r="M52" s="20"/>
    </row>
    <row r="53" customFormat="false" ht="15" hidden="false" customHeight="false" outlineLevel="0" collapsed="false">
      <c r="A53" s="21"/>
      <c r="B53" s="33" t="n">
        <f aca="false">IF($A53="",0,INT(($A53-Macrociclo!$C$11)/7)+1)</f>
        <v>0</v>
      </c>
      <c r="C53" s="20"/>
      <c r="D53" s="20"/>
      <c r="E53" s="22"/>
      <c r="F53" s="22"/>
      <c r="G53" s="48" t="n">
        <f aca="false">IF(OR($E53="",$F53=""),0,$E53*$F53)</f>
        <v>0</v>
      </c>
      <c r="H53" s="48" t="n">
        <f aca="false">IF($A53="",0,SUMIFS($G$8:$G$1007,$C$8:$C$1007,$C53,$A$8:$A$1007,"&gt;="&amp;$A53-6,$A$8:$A$1007,"&lt;="&amp;$A53))</f>
        <v>0</v>
      </c>
      <c r="I53" s="48" t="n">
        <f aca="false">IF($A53="",0,SUMIFS($G$8:$G$1007,$C$8:$C$1007,$C53,$A$8:$A$1007,"&gt;="&amp;$A53-27,$A$8:$A$1007,"&lt;="&amp;$A53)/4)</f>
        <v>0</v>
      </c>
      <c r="J53" s="67" t="n">
        <f aca="false">IF(OR($A53="",$I53=0),0,$H53/$I53)</f>
        <v>0</v>
      </c>
      <c r="K53" s="33" t="n">
        <f aca="false">IF($A53="",0,$A53-SUMPRODUCT(MIN(($C$8:$C$1007=$C53)*$A$8:$A$1007+($C$8:$C$1007&lt;&gt;$C53)*100000))+1)</f>
        <v>0</v>
      </c>
      <c r="L53" s="19" t="str">
        <f aca="false">IF($A53="","",IF($J53=0,"Sem registro anterior",IF($K53&lt;21,"Histórico insuficiente",IF($J53&lt;0.8,"Subcarga",IF($J53&lt;=1.3,"Zona ideal",IF($J53&lt;=1.5,"Atenção","Risco elevado"))))))</f>
        <v/>
      </c>
      <c r="M53" s="20"/>
    </row>
    <row r="54" customFormat="false" ht="15" hidden="false" customHeight="false" outlineLevel="0" collapsed="false">
      <c r="A54" s="21"/>
      <c r="B54" s="33" t="n">
        <f aca="false">IF($A54="",0,INT(($A54-Macrociclo!$C$11)/7)+1)</f>
        <v>0</v>
      </c>
      <c r="C54" s="20"/>
      <c r="D54" s="20"/>
      <c r="E54" s="22"/>
      <c r="F54" s="22"/>
      <c r="G54" s="48" t="n">
        <f aca="false">IF(OR($E54="",$F54=""),0,$E54*$F54)</f>
        <v>0</v>
      </c>
      <c r="H54" s="48" t="n">
        <f aca="false">IF($A54="",0,SUMIFS($G$8:$G$1007,$C$8:$C$1007,$C54,$A$8:$A$1007,"&gt;="&amp;$A54-6,$A$8:$A$1007,"&lt;="&amp;$A54))</f>
        <v>0</v>
      </c>
      <c r="I54" s="48" t="n">
        <f aca="false">IF($A54="",0,SUMIFS($G$8:$G$1007,$C$8:$C$1007,$C54,$A$8:$A$1007,"&gt;="&amp;$A54-27,$A$8:$A$1007,"&lt;="&amp;$A54)/4)</f>
        <v>0</v>
      </c>
      <c r="J54" s="67" t="n">
        <f aca="false">IF(OR($A54="",$I54=0),0,$H54/$I54)</f>
        <v>0</v>
      </c>
      <c r="K54" s="33" t="n">
        <f aca="false">IF($A54="",0,$A54-SUMPRODUCT(MIN(($C$8:$C$1007=$C54)*$A$8:$A$1007+($C$8:$C$1007&lt;&gt;$C54)*100000))+1)</f>
        <v>0</v>
      </c>
      <c r="L54" s="19" t="str">
        <f aca="false">IF($A54="","",IF($J54=0,"Sem registro anterior",IF($K54&lt;21,"Histórico insuficiente",IF($J54&lt;0.8,"Subcarga",IF($J54&lt;=1.3,"Zona ideal",IF($J54&lt;=1.5,"Atenção","Risco elevado"))))))</f>
        <v/>
      </c>
      <c r="M54" s="20"/>
    </row>
    <row r="55" customFormat="false" ht="15" hidden="false" customHeight="false" outlineLevel="0" collapsed="false">
      <c r="A55" s="21"/>
      <c r="B55" s="33" t="n">
        <f aca="false">IF($A55="",0,INT(($A55-Macrociclo!$C$11)/7)+1)</f>
        <v>0</v>
      </c>
      <c r="C55" s="20"/>
      <c r="D55" s="20"/>
      <c r="E55" s="22"/>
      <c r="F55" s="22"/>
      <c r="G55" s="48" t="n">
        <f aca="false">IF(OR($E55="",$F55=""),0,$E55*$F55)</f>
        <v>0</v>
      </c>
      <c r="H55" s="48" t="n">
        <f aca="false">IF($A55="",0,SUMIFS($G$8:$G$1007,$C$8:$C$1007,$C55,$A$8:$A$1007,"&gt;="&amp;$A55-6,$A$8:$A$1007,"&lt;="&amp;$A55))</f>
        <v>0</v>
      </c>
      <c r="I55" s="48" t="n">
        <f aca="false">IF($A55="",0,SUMIFS($G$8:$G$1007,$C$8:$C$1007,$C55,$A$8:$A$1007,"&gt;="&amp;$A55-27,$A$8:$A$1007,"&lt;="&amp;$A55)/4)</f>
        <v>0</v>
      </c>
      <c r="J55" s="67" t="n">
        <f aca="false">IF(OR($A55="",$I55=0),0,$H55/$I55)</f>
        <v>0</v>
      </c>
      <c r="K55" s="33" t="n">
        <f aca="false">IF($A55="",0,$A55-SUMPRODUCT(MIN(($C$8:$C$1007=$C55)*$A$8:$A$1007+($C$8:$C$1007&lt;&gt;$C55)*100000))+1)</f>
        <v>0</v>
      </c>
      <c r="L55" s="19" t="str">
        <f aca="false">IF($A55="","",IF($J55=0,"Sem registro anterior",IF($K55&lt;21,"Histórico insuficiente",IF($J55&lt;0.8,"Subcarga",IF($J55&lt;=1.3,"Zona ideal",IF($J55&lt;=1.5,"Atenção","Risco elevado"))))))</f>
        <v/>
      </c>
      <c r="M55" s="20"/>
    </row>
    <row r="56" customFormat="false" ht="15" hidden="false" customHeight="false" outlineLevel="0" collapsed="false">
      <c r="A56" s="21"/>
      <c r="B56" s="33" t="n">
        <f aca="false">IF($A56="",0,INT(($A56-Macrociclo!$C$11)/7)+1)</f>
        <v>0</v>
      </c>
      <c r="C56" s="20"/>
      <c r="D56" s="20"/>
      <c r="E56" s="22"/>
      <c r="F56" s="22"/>
      <c r="G56" s="48" t="n">
        <f aca="false">IF(OR($E56="",$F56=""),0,$E56*$F56)</f>
        <v>0</v>
      </c>
      <c r="H56" s="48" t="n">
        <f aca="false">IF($A56="",0,SUMIFS($G$8:$G$1007,$C$8:$C$1007,$C56,$A$8:$A$1007,"&gt;="&amp;$A56-6,$A$8:$A$1007,"&lt;="&amp;$A56))</f>
        <v>0</v>
      </c>
      <c r="I56" s="48" t="n">
        <f aca="false">IF($A56="",0,SUMIFS($G$8:$G$1007,$C$8:$C$1007,$C56,$A$8:$A$1007,"&gt;="&amp;$A56-27,$A$8:$A$1007,"&lt;="&amp;$A56)/4)</f>
        <v>0</v>
      </c>
      <c r="J56" s="67" t="n">
        <f aca="false">IF(OR($A56="",$I56=0),0,$H56/$I56)</f>
        <v>0</v>
      </c>
      <c r="K56" s="33" t="n">
        <f aca="false">IF($A56="",0,$A56-SUMPRODUCT(MIN(($C$8:$C$1007=$C56)*$A$8:$A$1007+($C$8:$C$1007&lt;&gt;$C56)*100000))+1)</f>
        <v>0</v>
      </c>
      <c r="L56" s="19" t="str">
        <f aca="false">IF($A56="","",IF($J56=0,"Sem registro anterior",IF($K56&lt;21,"Histórico insuficiente",IF($J56&lt;0.8,"Subcarga",IF($J56&lt;=1.3,"Zona ideal",IF($J56&lt;=1.5,"Atenção","Risco elevado"))))))</f>
        <v/>
      </c>
      <c r="M56" s="20"/>
    </row>
    <row r="57" customFormat="false" ht="15" hidden="false" customHeight="false" outlineLevel="0" collapsed="false">
      <c r="A57" s="21"/>
      <c r="B57" s="33" t="n">
        <f aca="false">IF($A57="",0,INT(($A57-Macrociclo!$C$11)/7)+1)</f>
        <v>0</v>
      </c>
      <c r="C57" s="20"/>
      <c r="D57" s="20"/>
      <c r="E57" s="22"/>
      <c r="F57" s="22"/>
      <c r="G57" s="48" t="n">
        <f aca="false">IF(OR($E57="",$F57=""),0,$E57*$F57)</f>
        <v>0</v>
      </c>
      <c r="H57" s="48" t="n">
        <f aca="false">IF($A57="",0,SUMIFS($G$8:$G$1007,$C$8:$C$1007,$C57,$A$8:$A$1007,"&gt;="&amp;$A57-6,$A$8:$A$1007,"&lt;="&amp;$A57))</f>
        <v>0</v>
      </c>
      <c r="I57" s="48" t="n">
        <f aca="false">IF($A57="",0,SUMIFS($G$8:$G$1007,$C$8:$C$1007,$C57,$A$8:$A$1007,"&gt;="&amp;$A57-27,$A$8:$A$1007,"&lt;="&amp;$A57)/4)</f>
        <v>0</v>
      </c>
      <c r="J57" s="67" t="n">
        <f aca="false">IF(OR($A57="",$I57=0),0,$H57/$I57)</f>
        <v>0</v>
      </c>
      <c r="K57" s="33" t="n">
        <f aca="false">IF($A57="",0,$A57-SUMPRODUCT(MIN(($C$8:$C$1007=$C57)*$A$8:$A$1007+($C$8:$C$1007&lt;&gt;$C57)*100000))+1)</f>
        <v>0</v>
      </c>
      <c r="L57" s="19" t="str">
        <f aca="false">IF($A57="","",IF($J57=0,"Sem registro anterior",IF($K57&lt;21,"Histórico insuficiente",IF($J57&lt;0.8,"Subcarga",IF($J57&lt;=1.3,"Zona ideal",IF($J57&lt;=1.5,"Atenção","Risco elevado"))))))</f>
        <v/>
      </c>
      <c r="M57" s="20"/>
    </row>
    <row r="58" customFormat="false" ht="15" hidden="false" customHeight="false" outlineLevel="0" collapsed="false">
      <c r="A58" s="21"/>
      <c r="B58" s="33" t="n">
        <f aca="false">IF($A58="",0,INT(($A58-Macrociclo!$C$11)/7)+1)</f>
        <v>0</v>
      </c>
      <c r="C58" s="20"/>
      <c r="D58" s="20"/>
      <c r="E58" s="22"/>
      <c r="F58" s="22"/>
      <c r="G58" s="48" t="n">
        <f aca="false">IF(OR($E58="",$F58=""),0,$E58*$F58)</f>
        <v>0</v>
      </c>
      <c r="H58" s="48" t="n">
        <f aca="false">IF($A58="",0,SUMIFS($G$8:$G$1007,$C$8:$C$1007,$C58,$A$8:$A$1007,"&gt;="&amp;$A58-6,$A$8:$A$1007,"&lt;="&amp;$A58))</f>
        <v>0</v>
      </c>
      <c r="I58" s="48" t="n">
        <f aca="false">IF($A58="",0,SUMIFS($G$8:$G$1007,$C$8:$C$1007,$C58,$A$8:$A$1007,"&gt;="&amp;$A58-27,$A$8:$A$1007,"&lt;="&amp;$A58)/4)</f>
        <v>0</v>
      </c>
      <c r="J58" s="67" t="n">
        <f aca="false">IF(OR($A58="",$I58=0),0,$H58/$I58)</f>
        <v>0</v>
      </c>
      <c r="K58" s="33" t="n">
        <f aca="false">IF($A58="",0,$A58-SUMPRODUCT(MIN(($C$8:$C$1007=$C58)*$A$8:$A$1007+($C$8:$C$1007&lt;&gt;$C58)*100000))+1)</f>
        <v>0</v>
      </c>
      <c r="L58" s="19" t="str">
        <f aca="false">IF($A58="","",IF($J58=0,"Sem registro anterior",IF($K58&lt;21,"Histórico insuficiente",IF($J58&lt;0.8,"Subcarga",IF($J58&lt;=1.3,"Zona ideal",IF($J58&lt;=1.5,"Atenção","Risco elevado"))))))</f>
        <v/>
      </c>
      <c r="M58" s="20"/>
    </row>
    <row r="59" customFormat="false" ht="15" hidden="false" customHeight="false" outlineLevel="0" collapsed="false">
      <c r="A59" s="21"/>
      <c r="B59" s="33" t="n">
        <f aca="false">IF($A59="",0,INT(($A59-Macrociclo!$C$11)/7)+1)</f>
        <v>0</v>
      </c>
      <c r="C59" s="20"/>
      <c r="D59" s="20"/>
      <c r="E59" s="22"/>
      <c r="F59" s="22"/>
      <c r="G59" s="48" t="n">
        <f aca="false">IF(OR($E59="",$F59=""),0,$E59*$F59)</f>
        <v>0</v>
      </c>
      <c r="H59" s="48" t="n">
        <f aca="false">IF($A59="",0,SUMIFS($G$8:$G$1007,$C$8:$C$1007,$C59,$A$8:$A$1007,"&gt;="&amp;$A59-6,$A$8:$A$1007,"&lt;="&amp;$A59))</f>
        <v>0</v>
      </c>
      <c r="I59" s="48" t="n">
        <f aca="false">IF($A59="",0,SUMIFS($G$8:$G$1007,$C$8:$C$1007,$C59,$A$8:$A$1007,"&gt;="&amp;$A59-27,$A$8:$A$1007,"&lt;="&amp;$A59)/4)</f>
        <v>0</v>
      </c>
      <c r="J59" s="67" t="n">
        <f aca="false">IF(OR($A59="",$I59=0),0,$H59/$I59)</f>
        <v>0</v>
      </c>
      <c r="K59" s="33" t="n">
        <f aca="false">IF($A59="",0,$A59-SUMPRODUCT(MIN(($C$8:$C$1007=$C59)*$A$8:$A$1007+($C$8:$C$1007&lt;&gt;$C59)*100000))+1)</f>
        <v>0</v>
      </c>
      <c r="L59" s="19" t="str">
        <f aca="false">IF($A59="","",IF($J59=0,"Sem registro anterior",IF($K59&lt;21,"Histórico insuficiente",IF($J59&lt;0.8,"Subcarga",IF($J59&lt;=1.3,"Zona ideal",IF($J59&lt;=1.5,"Atenção","Risco elevado"))))))</f>
        <v/>
      </c>
      <c r="M59" s="20"/>
    </row>
    <row r="60" customFormat="false" ht="15" hidden="false" customHeight="false" outlineLevel="0" collapsed="false">
      <c r="A60" s="21"/>
      <c r="B60" s="33" t="n">
        <f aca="false">IF($A60="",0,INT(($A60-Macrociclo!$C$11)/7)+1)</f>
        <v>0</v>
      </c>
      <c r="C60" s="20"/>
      <c r="D60" s="20"/>
      <c r="E60" s="22"/>
      <c r="F60" s="22"/>
      <c r="G60" s="48" t="n">
        <f aca="false">IF(OR($E60="",$F60=""),0,$E60*$F60)</f>
        <v>0</v>
      </c>
      <c r="H60" s="48" t="n">
        <f aca="false">IF($A60="",0,SUMIFS($G$8:$G$1007,$C$8:$C$1007,$C60,$A$8:$A$1007,"&gt;="&amp;$A60-6,$A$8:$A$1007,"&lt;="&amp;$A60))</f>
        <v>0</v>
      </c>
      <c r="I60" s="48" t="n">
        <f aca="false">IF($A60="",0,SUMIFS($G$8:$G$1007,$C$8:$C$1007,$C60,$A$8:$A$1007,"&gt;="&amp;$A60-27,$A$8:$A$1007,"&lt;="&amp;$A60)/4)</f>
        <v>0</v>
      </c>
      <c r="J60" s="67" t="n">
        <f aca="false">IF(OR($A60="",$I60=0),0,$H60/$I60)</f>
        <v>0</v>
      </c>
      <c r="K60" s="33" t="n">
        <f aca="false">IF($A60="",0,$A60-SUMPRODUCT(MIN(($C$8:$C$1007=$C60)*$A$8:$A$1007+($C$8:$C$1007&lt;&gt;$C60)*100000))+1)</f>
        <v>0</v>
      </c>
      <c r="L60" s="19" t="str">
        <f aca="false">IF($A60="","",IF($J60=0,"Sem registro anterior",IF($K60&lt;21,"Histórico insuficiente",IF($J60&lt;0.8,"Subcarga",IF($J60&lt;=1.3,"Zona ideal",IF($J60&lt;=1.5,"Atenção","Risco elevado"))))))</f>
        <v/>
      </c>
      <c r="M60" s="20"/>
    </row>
    <row r="61" customFormat="false" ht="15" hidden="false" customHeight="false" outlineLevel="0" collapsed="false">
      <c r="A61" s="21"/>
      <c r="B61" s="33" t="n">
        <f aca="false">IF($A61="",0,INT(($A61-Macrociclo!$C$11)/7)+1)</f>
        <v>0</v>
      </c>
      <c r="C61" s="20"/>
      <c r="D61" s="20"/>
      <c r="E61" s="22"/>
      <c r="F61" s="22"/>
      <c r="G61" s="48" t="n">
        <f aca="false">IF(OR($E61="",$F61=""),0,$E61*$F61)</f>
        <v>0</v>
      </c>
      <c r="H61" s="48" t="n">
        <f aca="false">IF($A61="",0,SUMIFS($G$8:$G$1007,$C$8:$C$1007,$C61,$A$8:$A$1007,"&gt;="&amp;$A61-6,$A$8:$A$1007,"&lt;="&amp;$A61))</f>
        <v>0</v>
      </c>
      <c r="I61" s="48" t="n">
        <f aca="false">IF($A61="",0,SUMIFS($G$8:$G$1007,$C$8:$C$1007,$C61,$A$8:$A$1007,"&gt;="&amp;$A61-27,$A$8:$A$1007,"&lt;="&amp;$A61)/4)</f>
        <v>0</v>
      </c>
      <c r="J61" s="67" t="n">
        <f aca="false">IF(OR($A61="",$I61=0),0,$H61/$I61)</f>
        <v>0</v>
      </c>
      <c r="K61" s="33" t="n">
        <f aca="false">IF($A61="",0,$A61-SUMPRODUCT(MIN(($C$8:$C$1007=$C61)*$A$8:$A$1007+($C$8:$C$1007&lt;&gt;$C61)*100000))+1)</f>
        <v>0</v>
      </c>
      <c r="L61" s="19" t="str">
        <f aca="false">IF($A61="","",IF($J61=0,"Sem registro anterior",IF($K61&lt;21,"Histórico insuficiente",IF($J61&lt;0.8,"Subcarga",IF($J61&lt;=1.3,"Zona ideal",IF($J61&lt;=1.5,"Atenção","Risco elevado"))))))</f>
        <v/>
      </c>
      <c r="M61" s="20"/>
    </row>
    <row r="62" customFormat="false" ht="15" hidden="false" customHeight="false" outlineLevel="0" collapsed="false">
      <c r="A62" s="21"/>
      <c r="B62" s="33" t="n">
        <f aca="false">IF($A62="",0,INT(($A62-Macrociclo!$C$11)/7)+1)</f>
        <v>0</v>
      </c>
      <c r="C62" s="20"/>
      <c r="D62" s="20"/>
      <c r="E62" s="22"/>
      <c r="F62" s="22"/>
      <c r="G62" s="48" t="n">
        <f aca="false">IF(OR($E62="",$F62=""),0,$E62*$F62)</f>
        <v>0</v>
      </c>
      <c r="H62" s="48" t="n">
        <f aca="false">IF($A62="",0,SUMIFS($G$8:$G$1007,$C$8:$C$1007,$C62,$A$8:$A$1007,"&gt;="&amp;$A62-6,$A$8:$A$1007,"&lt;="&amp;$A62))</f>
        <v>0</v>
      </c>
      <c r="I62" s="48" t="n">
        <f aca="false">IF($A62="",0,SUMIFS($G$8:$G$1007,$C$8:$C$1007,$C62,$A$8:$A$1007,"&gt;="&amp;$A62-27,$A$8:$A$1007,"&lt;="&amp;$A62)/4)</f>
        <v>0</v>
      </c>
      <c r="J62" s="67" t="n">
        <f aca="false">IF(OR($A62="",$I62=0),0,$H62/$I62)</f>
        <v>0</v>
      </c>
      <c r="K62" s="33" t="n">
        <f aca="false">IF($A62="",0,$A62-SUMPRODUCT(MIN(($C$8:$C$1007=$C62)*$A$8:$A$1007+($C$8:$C$1007&lt;&gt;$C62)*100000))+1)</f>
        <v>0</v>
      </c>
      <c r="L62" s="19" t="str">
        <f aca="false">IF($A62="","",IF($J62=0,"Sem registro anterior",IF($K62&lt;21,"Histórico insuficiente",IF($J62&lt;0.8,"Subcarga",IF($J62&lt;=1.3,"Zona ideal",IF($J62&lt;=1.5,"Atenção","Risco elevado"))))))</f>
        <v/>
      </c>
      <c r="M62" s="20"/>
    </row>
    <row r="63" customFormat="false" ht="15" hidden="false" customHeight="false" outlineLevel="0" collapsed="false">
      <c r="A63" s="21"/>
      <c r="B63" s="33" t="n">
        <f aca="false">IF($A63="",0,INT(($A63-Macrociclo!$C$11)/7)+1)</f>
        <v>0</v>
      </c>
      <c r="C63" s="20"/>
      <c r="D63" s="20"/>
      <c r="E63" s="22"/>
      <c r="F63" s="22"/>
      <c r="G63" s="48" t="n">
        <f aca="false">IF(OR($E63="",$F63=""),0,$E63*$F63)</f>
        <v>0</v>
      </c>
      <c r="H63" s="48" t="n">
        <f aca="false">IF($A63="",0,SUMIFS($G$8:$G$1007,$C$8:$C$1007,$C63,$A$8:$A$1007,"&gt;="&amp;$A63-6,$A$8:$A$1007,"&lt;="&amp;$A63))</f>
        <v>0</v>
      </c>
      <c r="I63" s="48" t="n">
        <f aca="false">IF($A63="",0,SUMIFS($G$8:$G$1007,$C$8:$C$1007,$C63,$A$8:$A$1007,"&gt;="&amp;$A63-27,$A$8:$A$1007,"&lt;="&amp;$A63)/4)</f>
        <v>0</v>
      </c>
      <c r="J63" s="67" t="n">
        <f aca="false">IF(OR($A63="",$I63=0),0,$H63/$I63)</f>
        <v>0</v>
      </c>
      <c r="K63" s="33" t="n">
        <f aca="false">IF($A63="",0,$A63-SUMPRODUCT(MIN(($C$8:$C$1007=$C63)*$A$8:$A$1007+($C$8:$C$1007&lt;&gt;$C63)*100000))+1)</f>
        <v>0</v>
      </c>
      <c r="L63" s="19" t="str">
        <f aca="false">IF($A63="","",IF($J63=0,"Sem registro anterior",IF($K63&lt;21,"Histórico insuficiente",IF($J63&lt;0.8,"Subcarga",IF($J63&lt;=1.3,"Zona ideal",IF($J63&lt;=1.5,"Atenção","Risco elevado"))))))</f>
        <v/>
      </c>
      <c r="M63" s="20"/>
    </row>
    <row r="64" customFormat="false" ht="15" hidden="false" customHeight="false" outlineLevel="0" collapsed="false">
      <c r="A64" s="21"/>
      <c r="B64" s="33" t="n">
        <f aca="false">IF($A64="",0,INT(($A64-Macrociclo!$C$11)/7)+1)</f>
        <v>0</v>
      </c>
      <c r="C64" s="20"/>
      <c r="D64" s="20"/>
      <c r="E64" s="22"/>
      <c r="F64" s="22"/>
      <c r="G64" s="48" t="n">
        <f aca="false">IF(OR($E64="",$F64=""),0,$E64*$F64)</f>
        <v>0</v>
      </c>
      <c r="H64" s="48" t="n">
        <f aca="false">IF($A64="",0,SUMIFS($G$8:$G$1007,$C$8:$C$1007,$C64,$A$8:$A$1007,"&gt;="&amp;$A64-6,$A$8:$A$1007,"&lt;="&amp;$A64))</f>
        <v>0</v>
      </c>
      <c r="I64" s="48" t="n">
        <f aca="false">IF($A64="",0,SUMIFS($G$8:$G$1007,$C$8:$C$1007,$C64,$A$8:$A$1007,"&gt;="&amp;$A64-27,$A$8:$A$1007,"&lt;="&amp;$A64)/4)</f>
        <v>0</v>
      </c>
      <c r="J64" s="67" t="n">
        <f aca="false">IF(OR($A64="",$I64=0),0,$H64/$I64)</f>
        <v>0</v>
      </c>
      <c r="K64" s="33" t="n">
        <f aca="false">IF($A64="",0,$A64-SUMPRODUCT(MIN(($C$8:$C$1007=$C64)*$A$8:$A$1007+($C$8:$C$1007&lt;&gt;$C64)*100000))+1)</f>
        <v>0</v>
      </c>
      <c r="L64" s="19" t="str">
        <f aca="false">IF($A64="","",IF($J64=0,"Sem registro anterior",IF($K64&lt;21,"Histórico insuficiente",IF($J64&lt;0.8,"Subcarga",IF($J64&lt;=1.3,"Zona ideal",IF($J64&lt;=1.5,"Atenção","Risco elevado"))))))</f>
        <v/>
      </c>
      <c r="M64" s="20"/>
    </row>
    <row r="65" customFormat="false" ht="15" hidden="false" customHeight="false" outlineLevel="0" collapsed="false">
      <c r="A65" s="21"/>
      <c r="B65" s="33" t="n">
        <f aca="false">IF($A65="",0,INT(($A65-Macrociclo!$C$11)/7)+1)</f>
        <v>0</v>
      </c>
      <c r="C65" s="20"/>
      <c r="D65" s="20"/>
      <c r="E65" s="22"/>
      <c r="F65" s="22"/>
      <c r="G65" s="48" t="n">
        <f aca="false">IF(OR($E65="",$F65=""),0,$E65*$F65)</f>
        <v>0</v>
      </c>
      <c r="H65" s="48" t="n">
        <f aca="false">IF($A65="",0,SUMIFS($G$8:$G$1007,$C$8:$C$1007,$C65,$A$8:$A$1007,"&gt;="&amp;$A65-6,$A$8:$A$1007,"&lt;="&amp;$A65))</f>
        <v>0</v>
      </c>
      <c r="I65" s="48" t="n">
        <f aca="false">IF($A65="",0,SUMIFS($G$8:$G$1007,$C$8:$C$1007,$C65,$A$8:$A$1007,"&gt;="&amp;$A65-27,$A$8:$A$1007,"&lt;="&amp;$A65)/4)</f>
        <v>0</v>
      </c>
      <c r="J65" s="67" t="n">
        <f aca="false">IF(OR($A65="",$I65=0),0,$H65/$I65)</f>
        <v>0</v>
      </c>
      <c r="K65" s="33" t="n">
        <f aca="false">IF($A65="",0,$A65-SUMPRODUCT(MIN(($C$8:$C$1007=$C65)*$A$8:$A$1007+($C$8:$C$1007&lt;&gt;$C65)*100000))+1)</f>
        <v>0</v>
      </c>
      <c r="L65" s="19" t="str">
        <f aca="false">IF($A65="","",IF($J65=0,"Sem registro anterior",IF($K65&lt;21,"Histórico insuficiente",IF($J65&lt;0.8,"Subcarga",IF($J65&lt;=1.3,"Zona ideal",IF($J65&lt;=1.5,"Atenção","Risco elevado"))))))</f>
        <v/>
      </c>
      <c r="M65" s="20"/>
    </row>
    <row r="66" customFormat="false" ht="15" hidden="false" customHeight="false" outlineLevel="0" collapsed="false">
      <c r="A66" s="21"/>
      <c r="B66" s="33" t="n">
        <f aca="false">IF($A66="",0,INT(($A66-Macrociclo!$C$11)/7)+1)</f>
        <v>0</v>
      </c>
      <c r="C66" s="20"/>
      <c r="D66" s="20"/>
      <c r="E66" s="22"/>
      <c r="F66" s="22"/>
      <c r="G66" s="48" t="n">
        <f aca="false">IF(OR($E66="",$F66=""),0,$E66*$F66)</f>
        <v>0</v>
      </c>
      <c r="H66" s="48" t="n">
        <f aca="false">IF($A66="",0,SUMIFS($G$8:$G$1007,$C$8:$C$1007,$C66,$A$8:$A$1007,"&gt;="&amp;$A66-6,$A$8:$A$1007,"&lt;="&amp;$A66))</f>
        <v>0</v>
      </c>
      <c r="I66" s="48" t="n">
        <f aca="false">IF($A66="",0,SUMIFS($G$8:$G$1007,$C$8:$C$1007,$C66,$A$8:$A$1007,"&gt;="&amp;$A66-27,$A$8:$A$1007,"&lt;="&amp;$A66)/4)</f>
        <v>0</v>
      </c>
      <c r="J66" s="67" t="n">
        <f aca="false">IF(OR($A66="",$I66=0),0,$H66/$I66)</f>
        <v>0</v>
      </c>
      <c r="K66" s="33" t="n">
        <f aca="false">IF($A66="",0,$A66-SUMPRODUCT(MIN(($C$8:$C$1007=$C66)*$A$8:$A$1007+($C$8:$C$1007&lt;&gt;$C66)*100000))+1)</f>
        <v>0</v>
      </c>
      <c r="L66" s="19" t="str">
        <f aca="false">IF($A66="","",IF($J66=0,"Sem registro anterior",IF($K66&lt;21,"Histórico insuficiente",IF($J66&lt;0.8,"Subcarga",IF($J66&lt;=1.3,"Zona ideal",IF($J66&lt;=1.5,"Atenção","Risco elevado"))))))</f>
        <v/>
      </c>
      <c r="M66" s="20"/>
    </row>
    <row r="67" customFormat="false" ht="15" hidden="false" customHeight="false" outlineLevel="0" collapsed="false">
      <c r="A67" s="21"/>
      <c r="B67" s="33" t="n">
        <f aca="false">IF($A67="",0,INT(($A67-Macrociclo!$C$11)/7)+1)</f>
        <v>0</v>
      </c>
      <c r="C67" s="20"/>
      <c r="D67" s="20"/>
      <c r="E67" s="22"/>
      <c r="F67" s="22"/>
      <c r="G67" s="48" t="n">
        <f aca="false">IF(OR($E67="",$F67=""),0,$E67*$F67)</f>
        <v>0</v>
      </c>
      <c r="H67" s="48" t="n">
        <f aca="false">IF($A67="",0,SUMIFS($G$8:$G$1007,$C$8:$C$1007,$C67,$A$8:$A$1007,"&gt;="&amp;$A67-6,$A$8:$A$1007,"&lt;="&amp;$A67))</f>
        <v>0</v>
      </c>
      <c r="I67" s="48" t="n">
        <f aca="false">IF($A67="",0,SUMIFS($G$8:$G$1007,$C$8:$C$1007,$C67,$A$8:$A$1007,"&gt;="&amp;$A67-27,$A$8:$A$1007,"&lt;="&amp;$A67)/4)</f>
        <v>0</v>
      </c>
      <c r="J67" s="67" t="n">
        <f aca="false">IF(OR($A67="",$I67=0),0,$H67/$I67)</f>
        <v>0</v>
      </c>
      <c r="K67" s="33" t="n">
        <f aca="false">IF($A67="",0,$A67-SUMPRODUCT(MIN(($C$8:$C$1007=$C67)*$A$8:$A$1007+($C$8:$C$1007&lt;&gt;$C67)*100000))+1)</f>
        <v>0</v>
      </c>
      <c r="L67" s="19" t="str">
        <f aca="false">IF($A67="","",IF($J67=0,"Sem registro anterior",IF($K67&lt;21,"Histórico insuficiente",IF($J67&lt;0.8,"Subcarga",IF($J67&lt;=1.3,"Zona ideal",IF($J67&lt;=1.5,"Atenção","Risco elevado"))))))</f>
        <v/>
      </c>
      <c r="M67" s="20"/>
    </row>
    <row r="68" customFormat="false" ht="15" hidden="false" customHeight="false" outlineLevel="0" collapsed="false">
      <c r="A68" s="21"/>
      <c r="B68" s="33" t="n">
        <f aca="false">IF($A68="",0,INT(($A68-Macrociclo!$C$11)/7)+1)</f>
        <v>0</v>
      </c>
      <c r="C68" s="20"/>
      <c r="D68" s="20"/>
      <c r="E68" s="22"/>
      <c r="F68" s="22"/>
      <c r="G68" s="48" t="n">
        <f aca="false">IF(OR($E68="",$F68=""),0,$E68*$F68)</f>
        <v>0</v>
      </c>
      <c r="H68" s="48" t="n">
        <f aca="false">IF($A68="",0,SUMIFS($G$8:$G$1007,$C$8:$C$1007,$C68,$A$8:$A$1007,"&gt;="&amp;$A68-6,$A$8:$A$1007,"&lt;="&amp;$A68))</f>
        <v>0</v>
      </c>
      <c r="I68" s="48" t="n">
        <f aca="false">IF($A68="",0,SUMIFS($G$8:$G$1007,$C$8:$C$1007,$C68,$A$8:$A$1007,"&gt;="&amp;$A68-27,$A$8:$A$1007,"&lt;="&amp;$A68)/4)</f>
        <v>0</v>
      </c>
      <c r="J68" s="67" t="n">
        <f aca="false">IF(OR($A68="",$I68=0),0,$H68/$I68)</f>
        <v>0</v>
      </c>
      <c r="K68" s="33" t="n">
        <f aca="false">IF($A68="",0,$A68-SUMPRODUCT(MIN(($C$8:$C$1007=$C68)*$A$8:$A$1007+($C$8:$C$1007&lt;&gt;$C68)*100000))+1)</f>
        <v>0</v>
      </c>
      <c r="L68" s="19" t="str">
        <f aca="false">IF($A68="","",IF($J68=0,"Sem registro anterior",IF($K68&lt;21,"Histórico insuficiente",IF($J68&lt;0.8,"Subcarga",IF($J68&lt;=1.3,"Zona ideal",IF($J68&lt;=1.5,"Atenção","Risco elevado"))))))</f>
        <v/>
      </c>
      <c r="M68" s="20"/>
    </row>
    <row r="69" customFormat="false" ht="15" hidden="false" customHeight="false" outlineLevel="0" collapsed="false">
      <c r="A69" s="21"/>
      <c r="B69" s="33" t="n">
        <f aca="false">IF($A69="",0,INT(($A69-Macrociclo!$C$11)/7)+1)</f>
        <v>0</v>
      </c>
      <c r="C69" s="20"/>
      <c r="D69" s="20"/>
      <c r="E69" s="22"/>
      <c r="F69" s="22"/>
      <c r="G69" s="48" t="n">
        <f aca="false">IF(OR($E69="",$F69=""),0,$E69*$F69)</f>
        <v>0</v>
      </c>
      <c r="H69" s="48" t="n">
        <f aca="false">IF($A69="",0,SUMIFS($G$8:$G$1007,$C$8:$C$1007,$C69,$A$8:$A$1007,"&gt;="&amp;$A69-6,$A$8:$A$1007,"&lt;="&amp;$A69))</f>
        <v>0</v>
      </c>
      <c r="I69" s="48" t="n">
        <f aca="false">IF($A69="",0,SUMIFS($G$8:$G$1007,$C$8:$C$1007,$C69,$A$8:$A$1007,"&gt;="&amp;$A69-27,$A$8:$A$1007,"&lt;="&amp;$A69)/4)</f>
        <v>0</v>
      </c>
      <c r="J69" s="67" t="n">
        <f aca="false">IF(OR($A69="",$I69=0),0,$H69/$I69)</f>
        <v>0</v>
      </c>
      <c r="K69" s="33" t="n">
        <f aca="false">IF($A69="",0,$A69-SUMPRODUCT(MIN(($C$8:$C$1007=$C69)*$A$8:$A$1007+($C$8:$C$1007&lt;&gt;$C69)*100000))+1)</f>
        <v>0</v>
      </c>
      <c r="L69" s="19" t="str">
        <f aca="false">IF($A69="","",IF($J69=0,"Sem registro anterior",IF($K69&lt;21,"Histórico insuficiente",IF($J69&lt;0.8,"Subcarga",IF($J69&lt;=1.3,"Zona ideal",IF($J69&lt;=1.5,"Atenção","Risco elevado"))))))</f>
        <v/>
      </c>
      <c r="M69" s="20"/>
    </row>
    <row r="70" customFormat="false" ht="15" hidden="false" customHeight="false" outlineLevel="0" collapsed="false">
      <c r="A70" s="21"/>
      <c r="B70" s="33" t="n">
        <f aca="false">IF($A70="",0,INT(($A70-Macrociclo!$C$11)/7)+1)</f>
        <v>0</v>
      </c>
      <c r="C70" s="20"/>
      <c r="D70" s="20"/>
      <c r="E70" s="22"/>
      <c r="F70" s="22"/>
      <c r="G70" s="48" t="n">
        <f aca="false">IF(OR($E70="",$F70=""),0,$E70*$F70)</f>
        <v>0</v>
      </c>
      <c r="H70" s="48" t="n">
        <f aca="false">IF($A70="",0,SUMIFS($G$8:$G$1007,$C$8:$C$1007,$C70,$A$8:$A$1007,"&gt;="&amp;$A70-6,$A$8:$A$1007,"&lt;="&amp;$A70))</f>
        <v>0</v>
      </c>
      <c r="I70" s="48" t="n">
        <f aca="false">IF($A70="",0,SUMIFS($G$8:$G$1007,$C$8:$C$1007,$C70,$A$8:$A$1007,"&gt;="&amp;$A70-27,$A$8:$A$1007,"&lt;="&amp;$A70)/4)</f>
        <v>0</v>
      </c>
      <c r="J70" s="67" t="n">
        <f aca="false">IF(OR($A70="",$I70=0),0,$H70/$I70)</f>
        <v>0</v>
      </c>
      <c r="K70" s="33" t="n">
        <f aca="false">IF($A70="",0,$A70-SUMPRODUCT(MIN(($C$8:$C$1007=$C70)*$A$8:$A$1007+($C$8:$C$1007&lt;&gt;$C70)*100000))+1)</f>
        <v>0</v>
      </c>
      <c r="L70" s="19" t="str">
        <f aca="false">IF($A70="","",IF($J70=0,"Sem registro anterior",IF($K70&lt;21,"Histórico insuficiente",IF($J70&lt;0.8,"Subcarga",IF($J70&lt;=1.3,"Zona ideal",IF($J70&lt;=1.5,"Atenção","Risco elevado"))))))</f>
        <v/>
      </c>
      <c r="M70" s="20"/>
    </row>
    <row r="71" customFormat="false" ht="15" hidden="false" customHeight="false" outlineLevel="0" collapsed="false">
      <c r="A71" s="21"/>
      <c r="B71" s="33" t="n">
        <f aca="false">IF($A71="",0,INT(($A71-Macrociclo!$C$11)/7)+1)</f>
        <v>0</v>
      </c>
      <c r="C71" s="20"/>
      <c r="D71" s="20"/>
      <c r="E71" s="22"/>
      <c r="F71" s="22"/>
      <c r="G71" s="48" t="n">
        <f aca="false">IF(OR($E71="",$F71=""),0,$E71*$F71)</f>
        <v>0</v>
      </c>
      <c r="H71" s="48" t="n">
        <f aca="false">IF($A71="",0,SUMIFS($G$8:$G$1007,$C$8:$C$1007,$C71,$A$8:$A$1007,"&gt;="&amp;$A71-6,$A$8:$A$1007,"&lt;="&amp;$A71))</f>
        <v>0</v>
      </c>
      <c r="I71" s="48" t="n">
        <f aca="false">IF($A71="",0,SUMIFS($G$8:$G$1007,$C$8:$C$1007,$C71,$A$8:$A$1007,"&gt;="&amp;$A71-27,$A$8:$A$1007,"&lt;="&amp;$A71)/4)</f>
        <v>0</v>
      </c>
      <c r="J71" s="67" t="n">
        <f aca="false">IF(OR($A71="",$I71=0),0,$H71/$I71)</f>
        <v>0</v>
      </c>
      <c r="K71" s="33" t="n">
        <f aca="false">IF($A71="",0,$A71-SUMPRODUCT(MIN(($C$8:$C$1007=$C71)*$A$8:$A$1007+($C$8:$C$1007&lt;&gt;$C71)*100000))+1)</f>
        <v>0</v>
      </c>
      <c r="L71" s="19" t="str">
        <f aca="false">IF($A71="","",IF($J71=0,"Sem registro anterior",IF($K71&lt;21,"Histórico insuficiente",IF($J71&lt;0.8,"Subcarga",IF($J71&lt;=1.3,"Zona ideal",IF($J71&lt;=1.5,"Atenção","Risco elevado"))))))</f>
        <v/>
      </c>
      <c r="M71" s="20"/>
    </row>
    <row r="72" customFormat="false" ht="15" hidden="false" customHeight="false" outlineLevel="0" collapsed="false">
      <c r="A72" s="21"/>
      <c r="B72" s="33" t="n">
        <f aca="false">IF($A72="",0,INT(($A72-Macrociclo!$C$11)/7)+1)</f>
        <v>0</v>
      </c>
      <c r="C72" s="20"/>
      <c r="D72" s="20"/>
      <c r="E72" s="22"/>
      <c r="F72" s="22"/>
      <c r="G72" s="48" t="n">
        <f aca="false">IF(OR($E72="",$F72=""),0,$E72*$F72)</f>
        <v>0</v>
      </c>
      <c r="H72" s="48" t="n">
        <f aca="false">IF($A72="",0,SUMIFS($G$8:$G$1007,$C$8:$C$1007,$C72,$A$8:$A$1007,"&gt;="&amp;$A72-6,$A$8:$A$1007,"&lt;="&amp;$A72))</f>
        <v>0</v>
      </c>
      <c r="I72" s="48" t="n">
        <f aca="false">IF($A72="",0,SUMIFS($G$8:$G$1007,$C$8:$C$1007,$C72,$A$8:$A$1007,"&gt;="&amp;$A72-27,$A$8:$A$1007,"&lt;="&amp;$A72)/4)</f>
        <v>0</v>
      </c>
      <c r="J72" s="67" t="n">
        <f aca="false">IF(OR($A72="",$I72=0),0,$H72/$I72)</f>
        <v>0</v>
      </c>
      <c r="K72" s="33" t="n">
        <f aca="false">IF($A72="",0,$A72-SUMPRODUCT(MIN(($C$8:$C$1007=$C72)*$A$8:$A$1007+($C$8:$C$1007&lt;&gt;$C72)*100000))+1)</f>
        <v>0</v>
      </c>
      <c r="L72" s="19" t="str">
        <f aca="false">IF($A72="","",IF($J72=0,"Sem registro anterior",IF($K72&lt;21,"Histórico insuficiente",IF($J72&lt;0.8,"Subcarga",IF($J72&lt;=1.3,"Zona ideal",IF($J72&lt;=1.5,"Atenção","Risco elevado"))))))</f>
        <v/>
      </c>
      <c r="M72" s="20"/>
    </row>
    <row r="73" customFormat="false" ht="15" hidden="false" customHeight="false" outlineLevel="0" collapsed="false">
      <c r="A73" s="21"/>
      <c r="B73" s="33" t="n">
        <f aca="false">IF($A73="",0,INT(($A73-Macrociclo!$C$11)/7)+1)</f>
        <v>0</v>
      </c>
      <c r="C73" s="20"/>
      <c r="D73" s="20"/>
      <c r="E73" s="22"/>
      <c r="F73" s="22"/>
      <c r="G73" s="48" t="n">
        <f aca="false">IF(OR($E73="",$F73=""),0,$E73*$F73)</f>
        <v>0</v>
      </c>
      <c r="H73" s="48" t="n">
        <f aca="false">IF($A73="",0,SUMIFS($G$8:$G$1007,$C$8:$C$1007,$C73,$A$8:$A$1007,"&gt;="&amp;$A73-6,$A$8:$A$1007,"&lt;="&amp;$A73))</f>
        <v>0</v>
      </c>
      <c r="I73" s="48" t="n">
        <f aca="false">IF($A73="",0,SUMIFS($G$8:$G$1007,$C$8:$C$1007,$C73,$A$8:$A$1007,"&gt;="&amp;$A73-27,$A$8:$A$1007,"&lt;="&amp;$A73)/4)</f>
        <v>0</v>
      </c>
      <c r="J73" s="67" t="n">
        <f aca="false">IF(OR($A73="",$I73=0),0,$H73/$I73)</f>
        <v>0</v>
      </c>
      <c r="K73" s="33" t="n">
        <f aca="false">IF($A73="",0,$A73-SUMPRODUCT(MIN(($C$8:$C$1007=$C73)*$A$8:$A$1007+($C$8:$C$1007&lt;&gt;$C73)*100000))+1)</f>
        <v>0</v>
      </c>
      <c r="L73" s="19" t="str">
        <f aca="false">IF($A73="","",IF($J73=0,"Sem registro anterior",IF($K73&lt;21,"Histórico insuficiente",IF($J73&lt;0.8,"Subcarga",IF($J73&lt;=1.3,"Zona ideal",IF($J73&lt;=1.5,"Atenção","Risco elevado"))))))</f>
        <v/>
      </c>
      <c r="M73" s="20"/>
    </row>
    <row r="74" customFormat="false" ht="15" hidden="false" customHeight="false" outlineLevel="0" collapsed="false">
      <c r="A74" s="21"/>
      <c r="B74" s="33" t="n">
        <f aca="false">IF($A74="",0,INT(($A74-Macrociclo!$C$11)/7)+1)</f>
        <v>0</v>
      </c>
      <c r="C74" s="20"/>
      <c r="D74" s="20"/>
      <c r="E74" s="22"/>
      <c r="F74" s="22"/>
      <c r="G74" s="48" t="n">
        <f aca="false">IF(OR($E74="",$F74=""),0,$E74*$F74)</f>
        <v>0</v>
      </c>
      <c r="H74" s="48" t="n">
        <f aca="false">IF($A74="",0,SUMIFS($G$8:$G$1007,$C$8:$C$1007,$C74,$A$8:$A$1007,"&gt;="&amp;$A74-6,$A$8:$A$1007,"&lt;="&amp;$A74))</f>
        <v>0</v>
      </c>
      <c r="I74" s="48" t="n">
        <f aca="false">IF($A74="",0,SUMIFS($G$8:$G$1007,$C$8:$C$1007,$C74,$A$8:$A$1007,"&gt;="&amp;$A74-27,$A$8:$A$1007,"&lt;="&amp;$A74)/4)</f>
        <v>0</v>
      </c>
      <c r="J74" s="67" t="n">
        <f aca="false">IF(OR($A74="",$I74=0),0,$H74/$I74)</f>
        <v>0</v>
      </c>
      <c r="K74" s="33" t="n">
        <f aca="false">IF($A74="",0,$A74-SUMPRODUCT(MIN(($C$8:$C$1007=$C74)*$A$8:$A$1007+($C$8:$C$1007&lt;&gt;$C74)*100000))+1)</f>
        <v>0</v>
      </c>
      <c r="L74" s="19" t="str">
        <f aca="false">IF($A74="","",IF($J74=0,"Sem registro anterior",IF($K74&lt;21,"Histórico insuficiente",IF($J74&lt;0.8,"Subcarga",IF($J74&lt;=1.3,"Zona ideal",IF($J74&lt;=1.5,"Atenção","Risco elevado"))))))</f>
        <v/>
      </c>
      <c r="M74" s="20"/>
    </row>
    <row r="75" customFormat="false" ht="15" hidden="false" customHeight="false" outlineLevel="0" collapsed="false">
      <c r="A75" s="21"/>
      <c r="B75" s="33" t="n">
        <f aca="false">IF($A75="",0,INT(($A75-Macrociclo!$C$11)/7)+1)</f>
        <v>0</v>
      </c>
      <c r="C75" s="20"/>
      <c r="D75" s="20"/>
      <c r="E75" s="22"/>
      <c r="F75" s="22"/>
      <c r="G75" s="48" t="n">
        <f aca="false">IF(OR($E75="",$F75=""),0,$E75*$F75)</f>
        <v>0</v>
      </c>
      <c r="H75" s="48" t="n">
        <f aca="false">IF($A75="",0,SUMIFS($G$8:$G$1007,$C$8:$C$1007,$C75,$A$8:$A$1007,"&gt;="&amp;$A75-6,$A$8:$A$1007,"&lt;="&amp;$A75))</f>
        <v>0</v>
      </c>
      <c r="I75" s="48" t="n">
        <f aca="false">IF($A75="",0,SUMIFS($G$8:$G$1007,$C$8:$C$1007,$C75,$A$8:$A$1007,"&gt;="&amp;$A75-27,$A$8:$A$1007,"&lt;="&amp;$A75)/4)</f>
        <v>0</v>
      </c>
      <c r="J75" s="67" t="n">
        <f aca="false">IF(OR($A75="",$I75=0),0,$H75/$I75)</f>
        <v>0</v>
      </c>
      <c r="K75" s="33" t="n">
        <f aca="false">IF($A75="",0,$A75-SUMPRODUCT(MIN(($C$8:$C$1007=$C75)*$A$8:$A$1007+($C$8:$C$1007&lt;&gt;$C75)*100000))+1)</f>
        <v>0</v>
      </c>
      <c r="L75" s="19" t="str">
        <f aca="false">IF($A75="","",IF($J75=0,"Sem registro anterior",IF($K75&lt;21,"Histórico insuficiente",IF($J75&lt;0.8,"Subcarga",IF($J75&lt;=1.3,"Zona ideal",IF($J75&lt;=1.5,"Atenção","Risco elevado"))))))</f>
        <v/>
      </c>
      <c r="M75" s="20"/>
    </row>
    <row r="76" customFormat="false" ht="15" hidden="false" customHeight="false" outlineLevel="0" collapsed="false">
      <c r="A76" s="21"/>
      <c r="B76" s="33" t="n">
        <f aca="false">IF($A76="",0,INT(($A76-Macrociclo!$C$11)/7)+1)</f>
        <v>0</v>
      </c>
      <c r="C76" s="20"/>
      <c r="D76" s="20"/>
      <c r="E76" s="22"/>
      <c r="F76" s="22"/>
      <c r="G76" s="48" t="n">
        <f aca="false">IF(OR($E76="",$F76=""),0,$E76*$F76)</f>
        <v>0</v>
      </c>
      <c r="H76" s="48" t="n">
        <f aca="false">IF($A76="",0,SUMIFS($G$8:$G$1007,$C$8:$C$1007,$C76,$A$8:$A$1007,"&gt;="&amp;$A76-6,$A$8:$A$1007,"&lt;="&amp;$A76))</f>
        <v>0</v>
      </c>
      <c r="I76" s="48" t="n">
        <f aca="false">IF($A76="",0,SUMIFS($G$8:$G$1007,$C$8:$C$1007,$C76,$A$8:$A$1007,"&gt;="&amp;$A76-27,$A$8:$A$1007,"&lt;="&amp;$A76)/4)</f>
        <v>0</v>
      </c>
      <c r="J76" s="67" t="n">
        <f aca="false">IF(OR($A76="",$I76=0),0,$H76/$I76)</f>
        <v>0</v>
      </c>
      <c r="K76" s="33" t="n">
        <f aca="false">IF($A76="",0,$A76-SUMPRODUCT(MIN(($C$8:$C$1007=$C76)*$A$8:$A$1007+($C$8:$C$1007&lt;&gt;$C76)*100000))+1)</f>
        <v>0</v>
      </c>
      <c r="L76" s="19" t="str">
        <f aca="false">IF($A76="","",IF($J76=0,"Sem registro anterior",IF($K76&lt;21,"Histórico insuficiente",IF($J76&lt;0.8,"Subcarga",IF($J76&lt;=1.3,"Zona ideal",IF($J76&lt;=1.5,"Atenção","Risco elevado"))))))</f>
        <v/>
      </c>
      <c r="M76" s="20"/>
    </row>
    <row r="77" customFormat="false" ht="15" hidden="false" customHeight="false" outlineLevel="0" collapsed="false">
      <c r="A77" s="21"/>
      <c r="B77" s="33" t="n">
        <f aca="false">IF($A77="",0,INT(($A77-Macrociclo!$C$11)/7)+1)</f>
        <v>0</v>
      </c>
      <c r="C77" s="20"/>
      <c r="D77" s="20"/>
      <c r="E77" s="22"/>
      <c r="F77" s="22"/>
      <c r="G77" s="48" t="n">
        <f aca="false">IF(OR($E77="",$F77=""),0,$E77*$F77)</f>
        <v>0</v>
      </c>
      <c r="H77" s="48" t="n">
        <f aca="false">IF($A77="",0,SUMIFS($G$8:$G$1007,$C$8:$C$1007,$C77,$A$8:$A$1007,"&gt;="&amp;$A77-6,$A$8:$A$1007,"&lt;="&amp;$A77))</f>
        <v>0</v>
      </c>
      <c r="I77" s="48" t="n">
        <f aca="false">IF($A77="",0,SUMIFS($G$8:$G$1007,$C$8:$C$1007,$C77,$A$8:$A$1007,"&gt;="&amp;$A77-27,$A$8:$A$1007,"&lt;="&amp;$A77)/4)</f>
        <v>0</v>
      </c>
      <c r="J77" s="67" t="n">
        <f aca="false">IF(OR($A77="",$I77=0),0,$H77/$I77)</f>
        <v>0</v>
      </c>
      <c r="K77" s="33" t="n">
        <f aca="false">IF($A77="",0,$A77-SUMPRODUCT(MIN(($C$8:$C$1007=$C77)*$A$8:$A$1007+($C$8:$C$1007&lt;&gt;$C77)*100000))+1)</f>
        <v>0</v>
      </c>
      <c r="L77" s="19" t="str">
        <f aca="false">IF($A77="","",IF($J77=0,"Sem registro anterior",IF($K77&lt;21,"Histórico insuficiente",IF($J77&lt;0.8,"Subcarga",IF($J77&lt;=1.3,"Zona ideal",IF($J77&lt;=1.5,"Atenção","Risco elevado"))))))</f>
        <v/>
      </c>
      <c r="M77" s="20"/>
    </row>
    <row r="78" customFormat="false" ht="15" hidden="false" customHeight="false" outlineLevel="0" collapsed="false">
      <c r="A78" s="21"/>
      <c r="B78" s="33" t="n">
        <f aca="false">IF($A78="",0,INT(($A78-Macrociclo!$C$11)/7)+1)</f>
        <v>0</v>
      </c>
      <c r="C78" s="20"/>
      <c r="D78" s="20"/>
      <c r="E78" s="22"/>
      <c r="F78" s="22"/>
      <c r="G78" s="48" t="n">
        <f aca="false">IF(OR($E78="",$F78=""),0,$E78*$F78)</f>
        <v>0</v>
      </c>
      <c r="H78" s="48" t="n">
        <f aca="false">IF($A78="",0,SUMIFS($G$8:$G$1007,$C$8:$C$1007,$C78,$A$8:$A$1007,"&gt;="&amp;$A78-6,$A$8:$A$1007,"&lt;="&amp;$A78))</f>
        <v>0</v>
      </c>
      <c r="I78" s="48" t="n">
        <f aca="false">IF($A78="",0,SUMIFS($G$8:$G$1007,$C$8:$C$1007,$C78,$A$8:$A$1007,"&gt;="&amp;$A78-27,$A$8:$A$1007,"&lt;="&amp;$A78)/4)</f>
        <v>0</v>
      </c>
      <c r="J78" s="67" t="n">
        <f aca="false">IF(OR($A78="",$I78=0),0,$H78/$I78)</f>
        <v>0</v>
      </c>
      <c r="K78" s="33" t="n">
        <f aca="false">IF($A78="",0,$A78-SUMPRODUCT(MIN(($C$8:$C$1007=$C78)*$A$8:$A$1007+($C$8:$C$1007&lt;&gt;$C78)*100000))+1)</f>
        <v>0</v>
      </c>
      <c r="L78" s="19" t="str">
        <f aca="false">IF($A78="","",IF($J78=0,"Sem registro anterior",IF($K78&lt;21,"Histórico insuficiente",IF($J78&lt;0.8,"Subcarga",IF($J78&lt;=1.3,"Zona ideal",IF($J78&lt;=1.5,"Atenção","Risco elevado"))))))</f>
        <v/>
      </c>
      <c r="M78" s="20"/>
    </row>
    <row r="79" customFormat="false" ht="15" hidden="false" customHeight="false" outlineLevel="0" collapsed="false">
      <c r="A79" s="21"/>
      <c r="B79" s="33" t="n">
        <f aca="false">IF($A79="",0,INT(($A79-Macrociclo!$C$11)/7)+1)</f>
        <v>0</v>
      </c>
      <c r="C79" s="20"/>
      <c r="D79" s="20"/>
      <c r="E79" s="22"/>
      <c r="F79" s="22"/>
      <c r="G79" s="48" t="n">
        <f aca="false">IF(OR($E79="",$F79=""),0,$E79*$F79)</f>
        <v>0</v>
      </c>
      <c r="H79" s="48" t="n">
        <f aca="false">IF($A79="",0,SUMIFS($G$8:$G$1007,$C$8:$C$1007,$C79,$A$8:$A$1007,"&gt;="&amp;$A79-6,$A$8:$A$1007,"&lt;="&amp;$A79))</f>
        <v>0</v>
      </c>
      <c r="I79" s="48" t="n">
        <f aca="false">IF($A79="",0,SUMIFS($G$8:$G$1007,$C$8:$C$1007,$C79,$A$8:$A$1007,"&gt;="&amp;$A79-27,$A$8:$A$1007,"&lt;="&amp;$A79)/4)</f>
        <v>0</v>
      </c>
      <c r="J79" s="67" t="n">
        <f aca="false">IF(OR($A79="",$I79=0),0,$H79/$I79)</f>
        <v>0</v>
      </c>
      <c r="K79" s="33" t="n">
        <f aca="false">IF($A79="",0,$A79-SUMPRODUCT(MIN(($C$8:$C$1007=$C79)*$A$8:$A$1007+($C$8:$C$1007&lt;&gt;$C79)*100000))+1)</f>
        <v>0</v>
      </c>
      <c r="L79" s="19" t="str">
        <f aca="false">IF($A79="","",IF($J79=0,"Sem registro anterior",IF($K79&lt;21,"Histórico insuficiente",IF($J79&lt;0.8,"Subcarga",IF($J79&lt;=1.3,"Zona ideal",IF($J79&lt;=1.5,"Atenção","Risco elevado"))))))</f>
        <v/>
      </c>
      <c r="M79" s="20"/>
    </row>
    <row r="80" customFormat="false" ht="15" hidden="false" customHeight="false" outlineLevel="0" collapsed="false">
      <c r="A80" s="21"/>
      <c r="B80" s="33" t="n">
        <f aca="false">IF($A80="",0,INT(($A80-Macrociclo!$C$11)/7)+1)</f>
        <v>0</v>
      </c>
      <c r="C80" s="20"/>
      <c r="D80" s="20"/>
      <c r="E80" s="22"/>
      <c r="F80" s="22"/>
      <c r="G80" s="48" t="n">
        <f aca="false">IF(OR($E80="",$F80=""),0,$E80*$F80)</f>
        <v>0</v>
      </c>
      <c r="H80" s="48" t="n">
        <f aca="false">IF($A80="",0,SUMIFS($G$8:$G$1007,$C$8:$C$1007,$C80,$A$8:$A$1007,"&gt;="&amp;$A80-6,$A$8:$A$1007,"&lt;="&amp;$A80))</f>
        <v>0</v>
      </c>
      <c r="I80" s="48" t="n">
        <f aca="false">IF($A80="",0,SUMIFS($G$8:$G$1007,$C$8:$C$1007,$C80,$A$8:$A$1007,"&gt;="&amp;$A80-27,$A$8:$A$1007,"&lt;="&amp;$A80)/4)</f>
        <v>0</v>
      </c>
      <c r="J80" s="67" t="n">
        <f aca="false">IF(OR($A80="",$I80=0),0,$H80/$I80)</f>
        <v>0</v>
      </c>
      <c r="K80" s="33" t="n">
        <f aca="false">IF($A80="",0,$A80-SUMPRODUCT(MIN(($C$8:$C$1007=$C80)*$A$8:$A$1007+($C$8:$C$1007&lt;&gt;$C80)*100000))+1)</f>
        <v>0</v>
      </c>
      <c r="L80" s="19" t="str">
        <f aca="false">IF($A80="","",IF($J80=0,"Sem registro anterior",IF($K80&lt;21,"Histórico insuficiente",IF($J80&lt;0.8,"Subcarga",IF($J80&lt;=1.3,"Zona ideal",IF($J80&lt;=1.5,"Atenção","Risco elevado"))))))</f>
        <v/>
      </c>
      <c r="M80" s="20"/>
    </row>
    <row r="81" customFormat="false" ht="15" hidden="false" customHeight="false" outlineLevel="0" collapsed="false">
      <c r="A81" s="21"/>
      <c r="B81" s="33" t="n">
        <f aca="false">IF($A81="",0,INT(($A81-Macrociclo!$C$11)/7)+1)</f>
        <v>0</v>
      </c>
      <c r="C81" s="20"/>
      <c r="D81" s="20"/>
      <c r="E81" s="22"/>
      <c r="F81" s="22"/>
      <c r="G81" s="48" t="n">
        <f aca="false">IF(OR($E81="",$F81=""),0,$E81*$F81)</f>
        <v>0</v>
      </c>
      <c r="H81" s="48" t="n">
        <f aca="false">IF($A81="",0,SUMIFS($G$8:$G$1007,$C$8:$C$1007,$C81,$A$8:$A$1007,"&gt;="&amp;$A81-6,$A$8:$A$1007,"&lt;="&amp;$A81))</f>
        <v>0</v>
      </c>
      <c r="I81" s="48" t="n">
        <f aca="false">IF($A81="",0,SUMIFS($G$8:$G$1007,$C$8:$C$1007,$C81,$A$8:$A$1007,"&gt;="&amp;$A81-27,$A$8:$A$1007,"&lt;="&amp;$A81)/4)</f>
        <v>0</v>
      </c>
      <c r="J81" s="67" t="n">
        <f aca="false">IF(OR($A81="",$I81=0),0,$H81/$I81)</f>
        <v>0</v>
      </c>
      <c r="K81" s="33" t="n">
        <f aca="false">IF($A81="",0,$A81-SUMPRODUCT(MIN(($C$8:$C$1007=$C81)*$A$8:$A$1007+($C$8:$C$1007&lt;&gt;$C81)*100000))+1)</f>
        <v>0</v>
      </c>
      <c r="L81" s="19" t="str">
        <f aca="false">IF($A81="","",IF($J81=0,"Sem registro anterior",IF($K81&lt;21,"Histórico insuficiente",IF($J81&lt;0.8,"Subcarga",IF($J81&lt;=1.3,"Zona ideal",IF($J81&lt;=1.5,"Atenção","Risco elevado"))))))</f>
        <v/>
      </c>
      <c r="M81" s="20"/>
    </row>
    <row r="82" customFormat="false" ht="15" hidden="false" customHeight="false" outlineLevel="0" collapsed="false">
      <c r="A82" s="21"/>
      <c r="B82" s="33" t="n">
        <f aca="false">IF($A82="",0,INT(($A82-Macrociclo!$C$11)/7)+1)</f>
        <v>0</v>
      </c>
      <c r="C82" s="20"/>
      <c r="D82" s="20"/>
      <c r="E82" s="22"/>
      <c r="F82" s="22"/>
      <c r="G82" s="48" t="n">
        <f aca="false">IF(OR($E82="",$F82=""),0,$E82*$F82)</f>
        <v>0</v>
      </c>
      <c r="H82" s="48" t="n">
        <f aca="false">IF($A82="",0,SUMIFS($G$8:$G$1007,$C$8:$C$1007,$C82,$A$8:$A$1007,"&gt;="&amp;$A82-6,$A$8:$A$1007,"&lt;="&amp;$A82))</f>
        <v>0</v>
      </c>
      <c r="I82" s="48" t="n">
        <f aca="false">IF($A82="",0,SUMIFS($G$8:$G$1007,$C$8:$C$1007,$C82,$A$8:$A$1007,"&gt;="&amp;$A82-27,$A$8:$A$1007,"&lt;="&amp;$A82)/4)</f>
        <v>0</v>
      </c>
      <c r="J82" s="67" t="n">
        <f aca="false">IF(OR($A82="",$I82=0),0,$H82/$I82)</f>
        <v>0</v>
      </c>
      <c r="K82" s="33" t="n">
        <f aca="false">IF($A82="",0,$A82-SUMPRODUCT(MIN(($C$8:$C$1007=$C82)*$A$8:$A$1007+($C$8:$C$1007&lt;&gt;$C82)*100000))+1)</f>
        <v>0</v>
      </c>
      <c r="L82" s="19" t="str">
        <f aca="false">IF($A82="","",IF($J82=0,"Sem registro anterior",IF($K82&lt;21,"Histórico insuficiente",IF($J82&lt;0.8,"Subcarga",IF($J82&lt;=1.3,"Zona ideal",IF($J82&lt;=1.5,"Atenção","Risco elevado"))))))</f>
        <v/>
      </c>
      <c r="M82" s="20"/>
    </row>
    <row r="83" customFormat="false" ht="15" hidden="false" customHeight="false" outlineLevel="0" collapsed="false">
      <c r="A83" s="21"/>
      <c r="B83" s="33" t="n">
        <f aca="false">IF($A83="",0,INT(($A83-Macrociclo!$C$11)/7)+1)</f>
        <v>0</v>
      </c>
      <c r="C83" s="20"/>
      <c r="D83" s="20"/>
      <c r="E83" s="22"/>
      <c r="F83" s="22"/>
      <c r="G83" s="48" t="n">
        <f aca="false">IF(OR($E83="",$F83=""),0,$E83*$F83)</f>
        <v>0</v>
      </c>
      <c r="H83" s="48" t="n">
        <f aca="false">IF($A83="",0,SUMIFS($G$8:$G$1007,$C$8:$C$1007,$C83,$A$8:$A$1007,"&gt;="&amp;$A83-6,$A$8:$A$1007,"&lt;="&amp;$A83))</f>
        <v>0</v>
      </c>
      <c r="I83" s="48" t="n">
        <f aca="false">IF($A83="",0,SUMIFS($G$8:$G$1007,$C$8:$C$1007,$C83,$A$8:$A$1007,"&gt;="&amp;$A83-27,$A$8:$A$1007,"&lt;="&amp;$A83)/4)</f>
        <v>0</v>
      </c>
      <c r="J83" s="67" t="n">
        <f aca="false">IF(OR($A83="",$I83=0),0,$H83/$I83)</f>
        <v>0</v>
      </c>
      <c r="K83" s="33" t="n">
        <f aca="false">IF($A83="",0,$A83-SUMPRODUCT(MIN(($C$8:$C$1007=$C83)*$A$8:$A$1007+($C$8:$C$1007&lt;&gt;$C83)*100000))+1)</f>
        <v>0</v>
      </c>
      <c r="L83" s="19" t="str">
        <f aca="false">IF($A83="","",IF($J83=0,"Sem registro anterior",IF($K83&lt;21,"Histórico insuficiente",IF($J83&lt;0.8,"Subcarga",IF($J83&lt;=1.3,"Zona ideal",IF($J83&lt;=1.5,"Atenção","Risco elevado"))))))</f>
        <v/>
      </c>
      <c r="M83" s="20"/>
    </row>
    <row r="84" customFormat="false" ht="15" hidden="false" customHeight="false" outlineLevel="0" collapsed="false">
      <c r="A84" s="21"/>
      <c r="B84" s="33" t="n">
        <f aca="false">IF($A84="",0,INT(($A84-Macrociclo!$C$11)/7)+1)</f>
        <v>0</v>
      </c>
      <c r="C84" s="20"/>
      <c r="D84" s="20"/>
      <c r="E84" s="22"/>
      <c r="F84" s="22"/>
      <c r="G84" s="48" t="n">
        <f aca="false">IF(OR($E84="",$F84=""),0,$E84*$F84)</f>
        <v>0</v>
      </c>
      <c r="H84" s="48" t="n">
        <f aca="false">IF($A84="",0,SUMIFS($G$8:$G$1007,$C$8:$C$1007,$C84,$A$8:$A$1007,"&gt;="&amp;$A84-6,$A$8:$A$1007,"&lt;="&amp;$A84))</f>
        <v>0</v>
      </c>
      <c r="I84" s="48" t="n">
        <f aca="false">IF($A84="",0,SUMIFS($G$8:$G$1007,$C$8:$C$1007,$C84,$A$8:$A$1007,"&gt;="&amp;$A84-27,$A$8:$A$1007,"&lt;="&amp;$A84)/4)</f>
        <v>0</v>
      </c>
      <c r="J84" s="67" t="n">
        <f aca="false">IF(OR($A84="",$I84=0),0,$H84/$I84)</f>
        <v>0</v>
      </c>
      <c r="K84" s="33" t="n">
        <f aca="false">IF($A84="",0,$A84-SUMPRODUCT(MIN(($C$8:$C$1007=$C84)*$A$8:$A$1007+($C$8:$C$1007&lt;&gt;$C84)*100000))+1)</f>
        <v>0</v>
      </c>
      <c r="L84" s="19" t="str">
        <f aca="false">IF($A84="","",IF($J84=0,"Sem registro anterior",IF($K84&lt;21,"Histórico insuficiente",IF($J84&lt;0.8,"Subcarga",IF($J84&lt;=1.3,"Zona ideal",IF($J84&lt;=1.5,"Atenção","Risco elevado"))))))</f>
        <v/>
      </c>
      <c r="M84" s="20"/>
    </row>
    <row r="85" customFormat="false" ht="15" hidden="false" customHeight="false" outlineLevel="0" collapsed="false">
      <c r="A85" s="21"/>
      <c r="B85" s="33" t="n">
        <f aca="false">IF($A85="",0,INT(($A85-Macrociclo!$C$11)/7)+1)</f>
        <v>0</v>
      </c>
      <c r="C85" s="20"/>
      <c r="D85" s="20"/>
      <c r="E85" s="22"/>
      <c r="F85" s="22"/>
      <c r="G85" s="48" t="n">
        <f aca="false">IF(OR($E85="",$F85=""),0,$E85*$F85)</f>
        <v>0</v>
      </c>
      <c r="H85" s="48" t="n">
        <f aca="false">IF($A85="",0,SUMIFS($G$8:$G$1007,$C$8:$C$1007,$C85,$A$8:$A$1007,"&gt;="&amp;$A85-6,$A$8:$A$1007,"&lt;="&amp;$A85))</f>
        <v>0</v>
      </c>
      <c r="I85" s="48" t="n">
        <f aca="false">IF($A85="",0,SUMIFS($G$8:$G$1007,$C$8:$C$1007,$C85,$A$8:$A$1007,"&gt;="&amp;$A85-27,$A$8:$A$1007,"&lt;="&amp;$A85)/4)</f>
        <v>0</v>
      </c>
      <c r="J85" s="67" t="n">
        <f aca="false">IF(OR($A85="",$I85=0),0,$H85/$I85)</f>
        <v>0</v>
      </c>
      <c r="K85" s="33" t="n">
        <f aca="false">IF($A85="",0,$A85-SUMPRODUCT(MIN(($C$8:$C$1007=$C85)*$A$8:$A$1007+($C$8:$C$1007&lt;&gt;$C85)*100000))+1)</f>
        <v>0</v>
      </c>
      <c r="L85" s="19" t="str">
        <f aca="false">IF($A85="","",IF($J85=0,"Sem registro anterior",IF($K85&lt;21,"Histórico insuficiente",IF($J85&lt;0.8,"Subcarga",IF($J85&lt;=1.3,"Zona ideal",IF($J85&lt;=1.5,"Atenção","Risco elevado"))))))</f>
        <v/>
      </c>
      <c r="M85" s="20"/>
    </row>
    <row r="86" customFormat="false" ht="15" hidden="false" customHeight="false" outlineLevel="0" collapsed="false">
      <c r="A86" s="21"/>
      <c r="B86" s="33" t="n">
        <f aca="false">IF($A86="",0,INT(($A86-Macrociclo!$C$11)/7)+1)</f>
        <v>0</v>
      </c>
      <c r="C86" s="20"/>
      <c r="D86" s="20"/>
      <c r="E86" s="22"/>
      <c r="F86" s="22"/>
      <c r="G86" s="48" t="n">
        <f aca="false">IF(OR($E86="",$F86=""),0,$E86*$F86)</f>
        <v>0</v>
      </c>
      <c r="H86" s="48" t="n">
        <f aca="false">IF($A86="",0,SUMIFS($G$8:$G$1007,$C$8:$C$1007,$C86,$A$8:$A$1007,"&gt;="&amp;$A86-6,$A$8:$A$1007,"&lt;="&amp;$A86))</f>
        <v>0</v>
      </c>
      <c r="I86" s="48" t="n">
        <f aca="false">IF($A86="",0,SUMIFS($G$8:$G$1007,$C$8:$C$1007,$C86,$A$8:$A$1007,"&gt;="&amp;$A86-27,$A$8:$A$1007,"&lt;="&amp;$A86)/4)</f>
        <v>0</v>
      </c>
      <c r="J86" s="67" t="n">
        <f aca="false">IF(OR($A86="",$I86=0),0,$H86/$I86)</f>
        <v>0</v>
      </c>
      <c r="K86" s="33" t="n">
        <f aca="false">IF($A86="",0,$A86-SUMPRODUCT(MIN(($C$8:$C$1007=$C86)*$A$8:$A$1007+($C$8:$C$1007&lt;&gt;$C86)*100000))+1)</f>
        <v>0</v>
      </c>
      <c r="L86" s="19" t="str">
        <f aca="false">IF($A86="","",IF($J86=0,"Sem registro anterior",IF($K86&lt;21,"Histórico insuficiente",IF($J86&lt;0.8,"Subcarga",IF($J86&lt;=1.3,"Zona ideal",IF($J86&lt;=1.5,"Atenção","Risco elevado"))))))</f>
        <v/>
      </c>
      <c r="M86" s="20"/>
    </row>
    <row r="87" customFormat="false" ht="15" hidden="false" customHeight="false" outlineLevel="0" collapsed="false">
      <c r="A87" s="21"/>
      <c r="B87" s="33" t="n">
        <f aca="false">IF($A87="",0,INT(($A87-Macrociclo!$C$11)/7)+1)</f>
        <v>0</v>
      </c>
      <c r="C87" s="20"/>
      <c r="D87" s="20"/>
      <c r="E87" s="22"/>
      <c r="F87" s="22"/>
      <c r="G87" s="48" t="n">
        <f aca="false">IF(OR($E87="",$F87=""),0,$E87*$F87)</f>
        <v>0</v>
      </c>
      <c r="H87" s="48" t="n">
        <f aca="false">IF($A87="",0,SUMIFS($G$8:$G$1007,$C$8:$C$1007,$C87,$A$8:$A$1007,"&gt;="&amp;$A87-6,$A$8:$A$1007,"&lt;="&amp;$A87))</f>
        <v>0</v>
      </c>
      <c r="I87" s="48" t="n">
        <f aca="false">IF($A87="",0,SUMIFS($G$8:$G$1007,$C$8:$C$1007,$C87,$A$8:$A$1007,"&gt;="&amp;$A87-27,$A$8:$A$1007,"&lt;="&amp;$A87)/4)</f>
        <v>0</v>
      </c>
      <c r="J87" s="67" t="n">
        <f aca="false">IF(OR($A87="",$I87=0),0,$H87/$I87)</f>
        <v>0</v>
      </c>
      <c r="K87" s="33" t="n">
        <f aca="false">IF($A87="",0,$A87-SUMPRODUCT(MIN(($C$8:$C$1007=$C87)*$A$8:$A$1007+($C$8:$C$1007&lt;&gt;$C87)*100000))+1)</f>
        <v>0</v>
      </c>
      <c r="L87" s="19" t="str">
        <f aca="false">IF($A87="","",IF($J87=0,"Sem registro anterior",IF($K87&lt;21,"Histórico insuficiente",IF($J87&lt;0.8,"Subcarga",IF($J87&lt;=1.3,"Zona ideal",IF($J87&lt;=1.5,"Atenção","Risco elevado"))))))</f>
        <v/>
      </c>
      <c r="M87" s="20"/>
    </row>
    <row r="88" customFormat="false" ht="15" hidden="false" customHeight="false" outlineLevel="0" collapsed="false">
      <c r="A88" s="21"/>
      <c r="B88" s="33" t="n">
        <f aca="false">IF($A88="",0,INT(($A88-Macrociclo!$C$11)/7)+1)</f>
        <v>0</v>
      </c>
      <c r="C88" s="20"/>
      <c r="D88" s="20"/>
      <c r="E88" s="22"/>
      <c r="F88" s="22"/>
      <c r="G88" s="48" t="n">
        <f aca="false">IF(OR($E88="",$F88=""),0,$E88*$F88)</f>
        <v>0</v>
      </c>
      <c r="H88" s="48" t="n">
        <f aca="false">IF($A88="",0,SUMIFS($G$8:$G$1007,$C$8:$C$1007,$C88,$A$8:$A$1007,"&gt;="&amp;$A88-6,$A$8:$A$1007,"&lt;="&amp;$A88))</f>
        <v>0</v>
      </c>
      <c r="I88" s="48" t="n">
        <f aca="false">IF($A88="",0,SUMIFS($G$8:$G$1007,$C$8:$C$1007,$C88,$A$8:$A$1007,"&gt;="&amp;$A88-27,$A$8:$A$1007,"&lt;="&amp;$A88)/4)</f>
        <v>0</v>
      </c>
      <c r="J88" s="67" t="n">
        <f aca="false">IF(OR($A88="",$I88=0),0,$H88/$I88)</f>
        <v>0</v>
      </c>
      <c r="K88" s="33" t="n">
        <f aca="false">IF($A88="",0,$A88-SUMPRODUCT(MIN(($C$8:$C$1007=$C88)*$A$8:$A$1007+($C$8:$C$1007&lt;&gt;$C88)*100000))+1)</f>
        <v>0</v>
      </c>
      <c r="L88" s="19" t="str">
        <f aca="false">IF($A88="","",IF($J88=0,"Sem registro anterior",IF($K88&lt;21,"Histórico insuficiente",IF($J88&lt;0.8,"Subcarga",IF($J88&lt;=1.3,"Zona ideal",IF($J88&lt;=1.5,"Atenção","Risco elevado"))))))</f>
        <v/>
      </c>
      <c r="M88" s="20"/>
    </row>
    <row r="89" customFormat="false" ht="15" hidden="false" customHeight="false" outlineLevel="0" collapsed="false">
      <c r="A89" s="21"/>
      <c r="B89" s="33" t="n">
        <f aca="false">IF($A89="",0,INT(($A89-Macrociclo!$C$11)/7)+1)</f>
        <v>0</v>
      </c>
      <c r="C89" s="20"/>
      <c r="D89" s="20"/>
      <c r="E89" s="22"/>
      <c r="F89" s="22"/>
      <c r="G89" s="48" t="n">
        <f aca="false">IF(OR($E89="",$F89=""),0,$E89*$F89)</f>
        <v>0</v>
      </c>
      <c r="H89" s="48" t="n">
        <f aca="false">IF($A89="",0,SUMIFS($G$8:$G$1007,$C$8:$C$1007,$C89,$A$8:$A$1007,"&gt;="&amp;$A89-6,$A$8:$A$1007,"&lt;="&amp;$A89))</f>
        <v>0</v>
      </c>
      <c r="I89" s="48" t="n">
        <f aca="false">IF($A89="",0,SUMIFS($G$8:$G$1007,$C$8:$C$1007,$C89,$A$8:$A$1007,"&gt;="&amp;$A89-27,$A$8:$A$1007,"&lt;="&amp;$A89)/4)</f>
        <v>0</v>
      </c>
      <c r="J89" s="67" t="n">
        <f aca="false">IF(OR($A89="",$I89=0),0,$H89/$I89)</f>
        <v>0</v>
      </c>
      <c r="K89" s="33" t="n">
        <f aca="false">IF($A89="",0,$A89-SUMPRODUCT(MIN(($C$8:$C$1007=$C89)*$A$8:$A$1007+($C$8:$C$1007&lt;&gt;$C89)*100000))+1)</f>
        <v>0</v>
      </c>
      <c r="L89" s="19" t="str">
        <f aca="false">IF($A89="","",IF($J89=0,"Sem registro anterior",IF($K89&lt;21,"Histórico insuficiente",IF($J89&lt;0.8,"Subcarga",IF($J89&lt;=1.3,"Zona ideal",IF($J89&lt;=1.5,"Atenção","Risco elevado"))))))</f>
        <v/>
      </c>
      <c r="M89" s="20"/>
    </row>
    <row r="90" customFormat="false" ht="15" hidden="false" customHeight="false" outlineLevel="0" collapsed="false">
      <c r="A90" s="21"/>
      <c r="B90" s="33" t="n">
        <f aca="false">IF($A90="",0,INT(($A90-Macrociclo!$C$11)/7)+1)</f>
        <v>0</v>
      </c>
      <c r="C90" s="20"/>
      <c r="D90" s="20"/>
      <c r="E90" s="22"/>
      <c r="F90" s="22"/>
      <c r="G90" s="48" t="n">
        <f aca="false">IF(OR($E90="",$F90=""),0,$E90*$F90)</f>
        <v>0</v>
      </c>
      <c r="H90" s="48" t="n">
        <f aca="false">IF($A90="",0,SUMIFS($G$8:$G$1007,$C$8:$C$1007,$C90,$A$8:$A$1007,"&gt;="&amp;$A90-6,$A$8:$A$1007,"&lt;="&amp;$A90))</f>
        <v>0</v>
      </c>
      <c r="I90" s="48" t="n">
        <f aca="false">IF($A90="",0,SUMIFS($G$8:$G$1007,$C$8:$C$1007,$C90,$A$8:$A$1007,"&gt;="&amp;$A90-27,$A$8:$A$1007,"&lt;="&amp;$A90)/4)</f>
        <v>0</v>
      </c>
      <c r="J90" s="67" t="n">
        <f aca="false">IF(OR($A90="",$I90=0),0,$H90/$I90)</f>
        <v>0</v>
      </c>
      <c r="K90" s="33" t="n">
        <f aca="false">IF($A90="",0,$A90-SUMPRODUCT(MIN(($C$8:$C$1007=$C90)*$A$8:$A$1007+($C$8:$C$1007&lt;&gt;$C90)*100000))+1)</f>
        <v>0</v>
      </c>
      <c r="L90" s="19" t="str">
        <f aca="false">IF($A90="","",IF($J90=0,"Sem registro anterior",IF($K90&lt;21,"Histórico insuficiente",IF($J90&lt;0.8,"Subcarga",IF($J90&lt;=1.3,"Zona ideal",IF($J90&lt;=1.5,"Atenção","Risco elevado"))))))</f>
        <v/>
      </c>
      <c r="M90" s="20"/>
    </row>
    <row r="91" customFormat="false" ht="15" hidden="false" customHeight="false" outlineLevel="0" collapsed="false">
      <c r="A91" s="21"/>
      <c r="B91" s="33" t="n">
        <f aca="false">IF($A91="",0,INT(($A91-Macrociclo!$C$11)/7)+1)</f>
        <v>0</v>
      </c>
      <c r="C91" s="20"/>
      <c r="D91" s="20"/>
      <c r="E91" s="22"/>
      <c r="F91" s="22"/>
      <c r="G91" s="48" t="n">
        <f aca="false">IF(OR($E91="",$F91=""),0,$E91*$F91)</f>
        <v>0</v>
      </c>
      <c r="H91" s="48" t="n">
        <f aca="false">IF($A91="",0,SUMIFS($G$8:$G$1007,$C$8:$C$1007,$C91,$A$8:$A$1007,"&gt;="&amp;$A91-6,$A$8:$A$1007,"&lt;="&amp;$A91))</f>
        <v>0</v>
      </c>
      <c r="I91" s="48" t="n">
        <f aca="false">IF($A91="",0,SUMIFS($G$8:$G$1007,$C$8:$C$1007,$C91,$A$8:$A$1007,"&gt;="&amp;$A91-27,$A$8:$A$1007,"&lt;="&amp;$A91)/4)</f>
        <v>0</v>
      </c>
      <c r="J91" s="67" t="n">
        <f aca="false">IF(OR($A91="",$I91=0),0,$H91/$I91)</f>
        <v>0</v>
      </c>
      <c r="K91" s="33" t="n">
        <f aca="false">IF($A91="",0,$A91-SUMPRODUCT(MIN(($C$8:$C$1007=$C91)*$A$8:$A$1007+($C$8:$C$1007&lt;&gt;$C91)*100000))+1)</f>
        <v>0</v>
      </c>
      <c r="L91" s="19" t="str">
        <f aca="false">IF($A91="","",IF($J91=0,"Sem registro anterior",IF($K91&lt;21,"Histórico insuficiente",IF($J91&lt;0.8,"Subcarga",IF($J91&lt;=1.3,"Zona ideal",IF($J91&lt;=1.5,"Atenção","Risco elevado"))))))</f>
        <v/>
      </c>
      <c r="M91" s="20"/>
    </row>
    <row r="92" customFormat="false" ht="15" hidden="false" customHeight="false" outlineLevel="0" collapsed="false">
      <c r="A92" s="21"/>
      <c r="B92" s="33" t="n">
        <f aca="false">IF($A92="",0,INT(($A92-Macrociclo!$C$11)/7)+1)</f>
        <v>0</v>
      </c>
      <c r="C92" s="20"/>
      <c r="D92" s="20"/>
      <c r="E92" s="22"/>
      <c r="F92" s="22"/>
      <c r="G92" s="48" t="n">
        <f aca="false">IF(OR($E92="",$F92=""),0,$E92*$F92)</f>
        <v>0</v>
      </c>
      <c r="H92" s="48" t="n">
        <f aca="false">IF($A92="",0,SUMIFS($G$8:$G$1007,$C$8:$C$1007,$C92,$A$8:$A$1007,"&gt;="&amp;$A92-6,$A$8:$A$1007,"&lt;="&amp;$A92))</f>
        <v>0</v>
      </c>
      <c r="I92" s="48" t="n">
        <f aca="false">IF($A92="",0,SUMIFS($G$8:$G$1007,$C$8:$C$1007,$C92,$A$8:$A$1007,"&gt;="&amp;$A92-27,$A$8:$A$1007,"&lt;="&amp;$A92)/4)</f>
        <v>0</v>
      </c>
      <c r="J92" s="67" t="n">
        <f aca="false">IF(OR($A92="",$I92=0),0,$H92/$I92)</f>
        <v>0</v>
      </c>
      <c r="K92" s="33" t="n">
        <f aca="false">IF($A92="",0,$A92-SUMPRODUCT(MIN(($C$8:$C$1007=$C92)*$A$8:$A$1007+($C$8:$C$1007&lt;&gt;$C92)*100000))+1)</f>
        <v>0</v>
      </c>
      <c r="L92" s="19" t="str">
        <f aca="false">IF($A92="","",IF($J92=0,"Sem registro anterior",IF($K92&lt;21,"Histórico insuficiente",IF($J92&lt;0.8,"Subcarga",IF($J92&lt;=1.3,"Zona ideal",IF($J92&lt;=1.5,"Atenção","Risco elevado"))))))</f>
        <v/>
      </c>
      <c r="M92" s="20"/>
    </row>
    <row r="93" customFormat="false" ht="15" hidden="false" customHeight="false" outlineLevel="0" collapsed="false">
      <c r="A93" s="21"/>
      <c r="B93" s="33" t="n">
        <f aca="false">IF($A93="",0,INT(($A93-Macrociclo!$C$11)/7)+1)</f>
        <v>0</v>
      </c>
      <c r="C93" s="20"/>
      <c r="D93" s="20"/>
      <c r="E93" s="22"/>
      <c r="F93" s="22"/>
      <c r="G93" s="48" t="n">
        <f aca="false">IF(OR($E93="",$F93=""),0,$E93*$F93)</f>
        <v>0</v>
      </c>
      <c r="H93" s="48" t="n">
        <f aca="false">IF($A93="",0,SUMIFS($G$8:$G$1007,$C$8:$C$1007,$C93,$A$8:$A$1007,"&gt;="&amp;$A93-6,$A$8:$A$1007,"&lt;="&amp;$A93))</f>
        <v>0</v>
      </c>
      <c r="I93" s="48" t="n">
        <f aca="false">IF($A93="",0,SUMIFS($G$8:$G$1007,$C$8:$C$1007,$C93,$A$8:$A$1007,"&gt;="&amp;$A93-27,$A$8:$A$1007,"&lt;="&amp;$A93)/4)</f>
        <v>0</v>
      </c>
      <c r="J93" s="67" t="n">
        <f aca="false">IF(OR($A93="",$I93=0),0,$H93/$I93)</f>
        <v>0</v>
      </c>
      <c r="K93" s="33" t="n">
        <f aca="false">IF($A93="",0,$A93-SUMPRODUCT(MIN(($C$8:$C$1007=$C93)*$A$8:$A$1007+($C$8:$C$1007&lt;&gt;$C93)*100000))+1)</f>
        <v>0</v>
      </c>
      <c r="L93" s="19" t="str">
        <f aca="false">IF($A93="","",IF($J93=0,"Sem registro anterior",IF($K93&lt;21,"Histórico insuficiente",IF($J93&lt;0.8,"Subcarga",IF($J93&lt;=1.3,"Zona ideal",IF($J93&lt;=1.5,"Atenção","Risco elevado"))))))</f>
        <v/>
      </c>
      <c r="M93" s="20"/>
    </row>
    <row r="94" customFormat="false" ht="15" hidden="false" customHeight="false" outlineLevel="0" collapsed="false">
      <c r="A94" s="21"/>
      <c r="B94" s="33" t="n">
        <f aca="false">IF($A94="",0,INT(($A94-Macrociclo!$C$11)/7)+1)</f>
        <v>0</v>
      </c>
      <c r="C94" s="20"/>
      <c r="D94" s="20"/>
      <c r="E94" s="22"/>
      <c r="F94" s="22"/>
      <c r="G94" s="48" t="n">
        <f aca="false">IF(OR($E94="",$F94=""),0,$E94*$F94)</f>
        <v>0</v>
      </c>
      <c r="H94" s="48" t="n">
        <f aca="false">IF($A94="",0,SUMIFS($G$8:$G$1007,$C$8:$C$1007,$C94,$A$8:$A$1007,"&gt;="&amp;$A94-6,$A$8:$A$1007,"&lt;="&amp;$A94))</f>
        <v>0</v>
      </c>
      <c r="I94" s="48" t="n">
        <f aca="false">IF($A94="",0,SUMIFS($G$8:$G$1007,$C$8:$C$1007,$C94,$A$8:$A$1007,"&gt;="&amp;$A94-27,$A$8:$A$1007,"&lt;="&amp;$A94)/4)</f>
        <v>0</v>
      </c>
      <c r="J94" s="67" t="n">
        <f aca="false">IF(OR($A94="",$I94=0),0,$H94/$I94)</f>
        <v>0</v>
      </c>
      <c r="K94" s="33" t="n">
        <f aca="false">IF($A94="",0,$A94-SUMPRODUCT(MIN(($C$8:$C$1007=$C94)*$A$8:$A$1007+($C$8:$C$1007&lt;&gt;$C94)*100000))+1)</f>
        <v>0</v>
      </c>
      <c r="L94" s="19" t="str">
        <f aca="false">IF($A94="","",IF($J94=0,"Sem registro anterior",IF($K94&lt;21,"Histórico insuficiente",IF($J94&lt;0.8,"Subcarga",IF($J94&lt;=1.3,"Zona ideal",IF($J94&lt;=1.5,"Atenção","Risco elevado"))))))</f>
        <v/>
      </c>
      <c r="M94" s="20"/>
    </row>
    <row r="95" customFormat="false" ht="15" hidden="false" customHeight="false" outlineLevel="0" collapsed="false">
      <c r="A95" s="21"/>
      <c r="B95" s="33" t="n">
        <f aca="false">IF($A95="",0,INT(($A95-Macrociclo!$C$11)/7)+1)</f>
        <v>0</v>
      </c>
      <c r="C95" s="20"/>
      <c r="D95" s="20"/>
      <c r="E95" s="22"/>
      <c r="F95" s="22"/>
      <c r="G95" s="48" t="n">
        <f aca="false">IF(OR($E95="",$F95=""),0,$E95*$F95)</f>
        <v>0</v>
      </c>
      <c r="H95" s="48" t="n">
        <f aca="false">IF($A95="",0,SUMIFS($G$8:$G$1007,$C$8:$C$1007,$C95,$A$8:$A$1007,"&gt;="&amp;$A95-6,$A$8:$A$1007,"&lt;="&amp;$A95))</f>
        <v>0</v>
      </c>
      <c r="I95" s="48" t="n">
        <f aca="false">IF($A95="",0,SUMIFS($G$8:$G$1007,$C$8:$C$1007,$C95,$A$8:$A$1007,"&gt;="&amp;$A95-27,$A$8:$A$1007,"&lt;="&amp;$A95)/4)</f>
        <v>0</v>
      </c>
      <c r="J95" s="67" t="n">
        <f aca="false">IF(OR($A95="",$I95=0),0,$H95/$I95)</f>
        <v>0</v>
      </c>
      <c r="K95" s="33" t="n">
        <f aca="false">IF($A95="",0,$A95-SUMPRODUCT(MIN(($C$8:$C$1007=$C95)*$A$8:$A$1007+($C$8:$C$1007&lt;&gt;$C95)*100000))+1)</f>
        <v>0</v>
      </c>
      <c r="L95" s="19" t="str">
        <f aca="false">IF($A95="","",IF($J95=0,"Sem registro anterior",IF($K95&lt;21,"Histórico insuficiente",IF($J95&lt;0.8,"Subcarga",IF($J95&lt;=1.3,"Zona ideal",IF($J95&lt;=1.5,"Atenção","Risco elevado"))))))</f>
        <v/>
      </c>
      <c r="M95" s="20"/>
    </row>
    <row r="96" customFormat="false" ht="15" hidden="false" customHeight="false" outlineLevel="0" collapsed="false">
      <c r="A96" s="21"/>
      <c r="B96" s="33" t="n">
        <f aca="false">IF($A96="",0,INT(($A96-Macrociclo!$C$11)/7)+1)</f>
        <v>0</v>
      </c>
      <c r="C96" s="20"/>
      <c r="D96" s="20"/>
      <c r="E96" s="22"/>
      <c r="F96" s="22"/>
      <c r="G96" s="48" t="n">
        <f aca="false">IF(OR($E96="",$F96=""),0,$E96*$F96)</f>
        <v>0</v>
      </c>
      <c r="H96" s="48" t="n">
        <f aca="false">IF($A96="",0,SUMIFS($G$8:$G$1007,$C$8:$C$1007,$C96,$A$8:$A$1007,"&gt;="&amp;$A96-6,$A$8:$A$1007,"&lt;="&amp;$A96))</f>
        <v>0</v>
      </c>
      <c r="I96" s="48" t="n">
        <f aca="false">IF($A96="",0,SUMIFS($G$8:$G$1007,$C$8:$C$1007,$C96,$A$8:$A$1007,"&gt;="&amp;$A96-27,$A$8:$A$1007,"&lt;="&amp;$A96)/4)</f>
        <v>0</v>
      </c>
      <c r="J96" s="67" t="n">
        <f aca="false">IF(OR($A96="",$I96=0),0,$H96/$I96)</f>
        <v>0</v>
      </c>
      <c r="K96" s="33" t="n">
        <f aca="false">IF($A96="",0,$A96-SUMPRODUCT(MIN(($C$8:$C$1007=$C96)*$A$8:$A$1007+($C$8:$C$1007&lt;&gt;$C96)*100000))+1)</f>
        <v>0</v>
      </c>
      <c r="L96" s="19" t="str">
        <f aca="false">IF($A96="","",IF($J96=0,"Sem registro anterior",IF($K96&lt;21,"Histórico insuficiente",IF($J96&lt;0.8,"Subcarga",IF($J96&lt;=1.3,"Zona ideal",IF($J96&lt;=1.5,"Atenção","Risco elevado"))))))</f>
        <v/>
      </c>
      <c r="M96" s="20"/>
    </row>
    <row r="97" customFormat="false" ht="15" hidden="false" customHeight="false" outlineLevel="0" collapsed="false">
      <c r="A97" s="21"/>
      <c r="B97" s="33" t="n">
        <f aca="false">IF($A97="",0,INT(($A97-Macrociclo!$C$11)/7)+1)</f>
        <v>0</v>
      </c>
      <c r="C97" s="20"/>
      <c r="D97" s="20"/>
      <c r="E97" s="22"/>
      <c r="F97" s="22"/>
      <c r="G97" s="48" t="n">
        <f aca="false">IF(OR($E97="",$F97=""),0,$E97*$F97)</f>
        <v>0</v>
      </c>
      <c r="H97" s="48" t="n">
        <f aca="false">IF($A97="",0,SUMIFS($G$8:$G$1007,$C$8:$C$1007,$C97,$A$8:$A$1007,"&gt;="&amp;$A97-6,$A$8:$A$1007,"&lt;="&amp;$A97))</f>
        <v>0</v>
      </c>
      <c r="I97" s="48" t="n">
        <f aca="false">IF($A97="",0,SUMIFS($G$8:$G$1007,$C$8:$C$1007,$C97,$A$8:$A$1007,"&gt;="&amp;$A97-27,$A$8:$A$1007,"&lt;="&amp;$A97)/4)</f>
        <v>0</v>
      </c>
      <c r="J97" s="67" t="n">
        <f aca="false">IF(OR($A97="",$I97=0),0,$H97/$I97)</f>
        <v>0</v>
      </c>
      <c r="K97" s="33" t="n">
        <f aca="false">IF($A97="",0,$A97-SUMPRODUCT(MIN(($C$8:$C$1007=$C97)*$A$8:$A$1007+($C$8:$C$1007&lt;&gt;$C97)*100000))+1)</f>
        <v>0</v>
      </c>
      <c r="L97" s="19" t="str">
        <f aca="false">IF($A97="","",IF($J97=0,"Sem registro anterior",IF($K97&lt;21,"Histórico insuficiente",IF($J97&lt;0.8,"Subcarga",IF($J97&lt;=1.3,"Zona ideal",IF($J97&lt;=1.5,"Atenção","Risco elevado"))))))</f>
        <v/>
      </c>
      <c r="M97" s="20"/>
    </row>
    <row r="98" customFormat="false" ht="15" hidden="false" customHeight="false" outlineLevel="0" collapsed="false">
      <c r="A98" s="21"/>
      <c r="B98" s="33" t="n">
        <f aca="false">IF($A98="",0,INT(($A98-Macrociclo!$C$11)/7)+1)</f>
        <v>0</v>
      </c>
      <c r="C98" s="20"/>
      <c r="D98" s="20"/>
      <c r="E98" s="22"/>
      <c r="F98" s="22"/>
      <c r="G98" s="48" t="n">
        <f aca="false">IF(OR($E98="",$F98=""),0,$E98*$F98)</f>
        <v>0</v>
      </c>
      <c r="H98" s="48" t="n">
        <f aca="false">IF($A98="",0,SUMIFS($G$8:$G$1007,$C$8:$C$1007,$C98,$A$8:$A$1007,"&gt;="&amp;$A98-6,$A$8:$A$1007,"&lt;="&amp;$A98))</f>
        <v>0</v>
      </c>
      <c r="I98" s="48" t="n">
        <f aca="false">IF($A98="",0,SUMIFS($G$8:$G$1007,$C$8:$C$1007,$C98,$A$8:$A$1007,"&gt;="&amp;$A98-27,$A$8:$A$1007,"&lt;="&amp;$A98)/4)</f>
        <v>0</v>
      </c>
      <c r="J98" s="67" t="n">
        <f aca="false">IF(OR($A98="",$I98=0),0,$H98/$I98)</f>
        <v>0</v>
      </c>
      <c r="K98" s="33" t="n">
        <f aca="false">IF($A98="",0,$A98-SUMPRODUCT(MIN(($C$8:$C$1007=$C98)*$A$8:$A$1007+($C$8:$C$1007&lt;&gt;$C98)*100000))+1)</f>
        <v>0</v>
      </c>
      <c r="L98" s="19" t="str">
        <f aca="false">IF($A98="","",IF($J98=0,"Sem registro anterior",IF($K98&lt;21,"Histórico insuficiente",IF($J98&lt;0.8,"Subcarga",IF($J98&lt;=1.3,"Zona ideal",IF($J98&lt;=1.5,"Atenção","Risco elevado"))))))</f>
        <v/>
      </c>
      <c r="M98" s="20"/>
    </row>
    <row r="99" customFormat="false" ht="15" hidden="false" customHeight="false" outlineLevel="0" collapsed="false">
      <c r="A99" s="21"/>
      <c r="B99" s="33" t="n">
        <f aca="false">IF($A99="",0,INT(($A99-Macrociclo!$C$11)/7)+1)</f>
        <v>0</v>
      </c>
      <c r="C99" s="20"/>
      <c r="D99" s="20"/>
      <c r="E99" s="22"/>
      <c r="F99" s="22"/>
      <c r="G99" s="48" t="n">
        <f aca="false">IF(OR($E99="",$F99=""),0,$E99*$F99)</f>
        <v>0</v>
      </c>
      <c r="H99" s="48" t="n">
        <f aca="false">IF($A99="",0,SUMIFS($G$8:$G$1007,$C$8:$C$1007,$C99,$A$8:$A$1007,"&gt;="&amp;$A99-6,$A$8:$A$1007,"&lt;="&amp;$A99))</f>
        <v>0</v>
      </c>
      <c r="I99" s="48" t="n">
        <f aca="false">IF($A99="",0,SUMIFS($G$8:$G$1007,$C$8:$C$1007,$C99,$A$8:$A$1007,"&gt;="&amp;$A99-27,$A$8:$A$1007,"&lt;="&amp;$A99)/4)</f>
        <v>0</v>
      </c>
      <c r="J99" s="67" t="n">
        <f aca="false">IF(OR($A99="",$I99=0),0,$H99/$I99)</f>
        <v>0</v>
      </c>
      <c r="K99" s="33" t="n">
        <f aca="false">IF($A99="",0,$A99-SUMPRODUCT(MIN(($C$8:$C$1007=$C99)*$A$8:$A$1007+($C$8:$C$1007&lt;&gt;$C99)*100000))+1)</f>
        <v>0</v>
      </c>
      <c r="L99" s="19" t="str">
        <f aca="false">IF($A99="","",IF($J99=0,"Sem registro anterior",IF($K99&lt;21,"Histórico insuficiente",IF($J99&lt;0.8,"Subcarga",IF($J99&lt;=1.3,"Zona ideal",IF($J99&lt;=1.5,"Atenção","Risco elevado"))))))</f>
        <v/>
      </c>
      <c r="M99" s="20"/>
    </row>
    <row r="100" customFormat="false" ht="15" hidden="false" customHeight="false" outlineLevel="0" collapsed="false">
      <c r="A100" s="21"/>
      <c r="B100" s="33" t="n">
        <f aca="false">IF($A100="",0,INT(($A100-Macrociclo!$C$11)/7)+1)</f>
        <v>0</v>
      </c>
      <c r="C100" s="20"/>
      <c r="D100" s="20"/>
      <c r="E100" s="22"/>
      <c r="F100" s="22"/>
      <c r="G100" s="48" t="n">
        <f aca="false">IF(OR($E100="",$F100=""),0,$E100*$F100)</f>
        <v>0</v>
      </c>
      <c r="H100" s="48" t="n">
        <f aca="false">IF($A100="",0,SUMIFS($G$8:$G$1007,$C$8:$C$1007,$C100,$A$8:$A$1007,"&gt;="&amp;$A100-6,$A$8:$A$1007,"&lt;="&amp;$A100))</f>
        <v>0</v>
      </c>
      <c r="I100" s="48" t="n">
        <f aca="false">IF($A100="",0,SUMIFS($G$8:$G$1007,$C$8:$C$1007,$C100,$A$8:$A$1007,"&gt;="&amp;$A100-27,$A$8:$A$1007,"&lt;="&amp;$A100)/4)</f>
        <v>0</v>
      </c>
      <c r="J100" s="67" t="n">
        <f aca="false">IF(OR($A100="",$I100=0),0,$H100/$I100)</f>
        <v>0</v>
      </c>
      <c r="K100" s="33" t="n">
        <f aca="false">IF($A100="",0,$A100-SUMPRODUCT(MIN(($C$8:$C$1007=$C100)*$A$8:$A$1007+($C$8:$C$1007&lt;&gt;$C100)*100000))+1)</f>
        <v>0</v>
      </c>
      <c r="L100" s="19" t="str">
        <f aca="false">IF($A100="","",IF($J100=0,"Sem registro anterior",IF($K100&lt;21,"Histórico insuficiente",IF($J100&lt;0.8,"Subcarga",IF($J100&lt;=1.3,"Zona ideal",IF($J100&lt;=1.5,"Atenção","Risco elevado"))))))</f>
        <v/>
      </c>
      <c r="M100" s="20"/>
    </row>
    <row r="101" customFormat="false" ht="15" hidden="false" customHeight="false" outlineLevel="0" collapsed="false">
      <c r="A101" s="21"/>
      <c r="B101" s="33" t="n">
        <f aca="false">IF($A101="",0,INT(($A101-Macrociclo!$C$11)/7)+1)</f>
        <v>0</v>
      </c>
      <c r="C101" s="20"/>
      <c r="D101" s="20"/>
      <c r="E101" s="22"/>
      <c r="F101" s="22"/>
      <c r="G101" s="48" t="n">
        <f aca="false">IF(OR($E101="",$F101=""),0,$E101*$F101)</f>
        <v>0</v>
      </c>
      <c r="H101" s="48" t="n">
        <f aca="false">IF($A101="",0,SUMIFS($G$8:$G$1007,$C$8:$C$1007,$C101,$A$8:$A$1007,"&gt;="&amp;$A101-6,$A$8:$A$1007,"&lt;="&amp;$A101))</f>
        <v>0</v>
      </c>
      <c r="I101" s="48" t="n">
        <f aca="false">IF($A101="",0,SUMIFS($G$8:$G$1007,$C$8:$C$1007,$C101,$A$8:$A$1007,"&gt;="&amp;$A101-27,$A$8:$A$1007,"&lt;="&amp;$A101)/4)</f>
        <v>0</v>
      </c>
      <c r="J101" s="67" t="n">
        <f aca="false">IF(OR($A101="",$I101=0),0,$H101/$I101)</f>
        <v>0</v>
      </c>
      <c r="K101" s="33" t="n">
        <f aca="false">IF($A101="",0,$A101-SUMPRODUCT(MIN(($C$8:$C$1007=$C101)*$A$8:$A$1007+($C$8:$C$1007&lt;&gt;$C101)*100000))+1)</f>
        <v>0</v>
      </c>
      <c r="L101" s="19" t="str">
        <f aca="false">IF($A101="","",IF($J101=0,"Sem registro anterior",IF($K101&lt;21,"Histórico insuficiente",IF($J101&lt;0.8,"Subcarga",IF($J101&lt;=1.3,"Zona ideal",IF($J101&lt;=1.5,"Atenção","Risco elevado"))))))</f>
        <v/>
      </c>
      <c r="M101" s="20"/>
    </row>
    <row r="102" customFormat="false" ht="15" hidden="false" customHeight="false" outlineLevel="0" collapsed="false">
      <c r="A102" s="21"/>
      <c r="B102" s="33" t="n">
        <f aca="false">IF($A102="",0,INT(($A102-Macrociclo!$C$11)/7)+1)</f>
        <v>0</v>
      </c>
      <c r="C102" s="20"/>
      <c r="D102" s="20"/>
      <c r="E102" s="22"/>
      <c r="F102" s="22"/>
      <c r="G102" s="48" t="n">
        <f aca="false">IF(OR($E102="",$F102=""),0,$E102*$F102)</f>
        <v>0</v>
      </c>
      <c r="H102" s="48" t="n">
        <f aca="false">IF($A102="",0,SUMIFS($G$8:$G$1007,$C$8:$C$1007,$C102,$A$8:$A$1007,"&gt;="&amp;$A102-6,$A$8:$A$1007,"&lt;="&amp;$A102))</f>
        <v>0</v>
      </c>
      <c r="I102" s="48" t="n">
        <f aca="false">IF($A102="",0,SUMIFS($G$8:$G$1007,$C$8:$C$1007,$C102,$A$8:$A$1007,"&gt;="&amp;$A102-27,$A$8:$A$1007,"&lt;="&amp;$A102)/4)</f>
        <v>0</v>
      </c>
      <c r="J102" s="67" t="n">
        <f aca="false">IF(OR($A102="",$I102=0),0,$H102/$I102)</f>
        <v>0</v>
      </c>
      <c r="K102" s="33" t="n">
        <f aca="false">IF($A102="",0,$A102-SUMPRODUCT(MIN(($C$8:$C$1007=$C102)*$A$8:$A$1007+($C$8:$C$1007&lt;&gt;$C102)*100000))+1)</f>
        <v>0</v>
      </c>
      <c r="L102" s="19" t="str">
        <f aca="false">IF($A102="","",IF($J102=0,"Sem registro anterior",IF($K102&lt;21,"Histórico insuficiente",IF($J102&lt;0.8,"Subcarga",IF($J102&lt;=1.3,"Zona ideal",IF($J102&lt;=1.5,"Atenção","Risco elevado"))))))</f>
        <v/>
      </c>
      <c r="M102" s="20"/>
    </row>
    <row r="103" customFormat="false" ht="15" hidden="false" customHeight="false" outlineLevel="0" collapsed="false">
      <c r="A103" s="21"/>
      <c r="B103" s="33" t="n">
        <f aca="false">IF($A103="",0,INT(($A103-Macrociclo!$C$11)/7)+1)</f>
        <v>0</v>
      </c>
      <c r="C103" s="20"/>
      <c r="D103" s="20"/>
      <c r="E103" s="22"/>
      <c r="F103" s="22"/>
      <c r="G103" s="48" t="n">
        <f aca="false">IF(OR($E103="",$F103=""),0,$E103*$F103)</f>
        <v>0</v>
      </c>
      <c r="H103" s="48" t="n">
        <f aca="false">IF($A103="",0,SUMIFS($G$8:$G$1007,$C$8:$C$1007,$C103,$A$8:$A$1007,"&gt;="&amp;$A103-6,$A$8:$A$1007,"&lt;="&amp;$A103))</f>
        <v>0</v>
      </c>
      <c r="I103" s="48" t="n">
        <f aca="false">IF($A103="",0,SUMIFS($G$8:$G$1007,$C$8:$C$1007,$C103,$A$8:$A$1007,"&gt;="&amp;$A103-27,$A$8:$A$1007,"&lt;="&amp;$A103)/4)</f>
        <v>0</v>
      </c>
      <c r="J103" s="67" t="n">
        <f aca="false">IF(OR($A103="",$I103=0),0,$H103/$I103)</f>
        <v>0</v>
      </c>
      <c r="K103" s="33" t="n">
        <f aca="false">IF($A103="",0,$A103-SUMPRODUCT(MIN(($C$8:$C$1007=$C103)*$A$8:$A$1007+($C$8:$C$1007&lt;&gt;$C103)*100000))+1)</f>
        <v>0</v>
      </c>
      <c r="L103" s="19" t="str">
        <f aca="false">IF($A103="","",IF($J103=0,"Sem registro anterior",IF($K103&lt;21,"Histórico insuficiente",IF($J103&lt;0.8,"Subcarga",IF($J103&lt;=1.3,"Zona ideal",IF($J103&lt;=1.5,"Atenção","Risco elevado"))))))</f>
        <v/>
      </c>
      <c r="M103" s="20"/>
    </row>
    <row r="104" customFormat="false" ht="15" hidden="false" customHeight="false" outlineLevel="0" collapsed="false">
      <c r="A104" s="21"/>
      <c r="B104" s="33" t="n">
        <f aca="false">IF($A104="",0,INT(($A104-Macrociclo!$C$11)/7)+1)</f>
        <v>0</v>
      </c>
      <c r="C104" s="20"/>
      <c r="D104" s="20"/>
      <c r="E104" s="22"/>
      <c r="F104" s="22"/>
      <c r="G104" s="48" t="n">
        <f aca="false">IF(OR($E104="",$F104=""),0,$E104*$F104)</f>
        <v>0</v>
      </c>
      <c r="H104" s="48" t="n">
        <f aca="false">IF($A104="",0,SUMIFS($G$8:$G$1007,$C$8:$C$1007,$C104,$A$8:$A$1007,"&gt;="&amp;$A104-6,$A$8:$A$1007,"&lt;="&amp;$A104))</f>
        <v>0</v>
      </c>
      <c r="I104" s="48" t="n">
        <f aca="false">IF($A104="",0,SUMIFS($G$8:$G$1007,$C$8:$C$1007,$C104,$A$8:$A$1007,"&gt;="&amp;$A104-27,$A$8:$A$1007,"&lt;="&amp;$A104)/4)</f>
        <v>0</v>
      </c>
      <c r="J104" s="67" t="n">
        <f aca="false">IF(OR($A104="",$I104=0),0,$H104/$I104)</f>
        <v>0</v>
      </c>
      <c r="K104" s="33" t="n">
        <f aca="false">IF($A104="",0,$A104-SUMPRODUCT(MIN(($C$8:$C$1007=$C104)*$A$8:$A$1007+($C$8:$C$1007&lt;&gt;$C104)*100000))+1)</f>
        <v>0</v>
      </c>
      <c r="L104" s="19" t="str">
        <f aca="false">IF($A104="","",IF($J104=0,"Sem registro anterior",IF($K104&lt;21,"Histórico insuficiente",IF($J104&lt;0.8,"Subcarga",IF($J104&lt;=1.3,"Zona ideal",IF($J104&lt;=1.5,"Atenção","Risco elevado"))))))</f>
        <v/>
      </c>
      <c r="M104" s="20"/>
    </row>
    <row r="105" customFormat="false" ht="15" hidden="false" customHeight="false" outlineLevel="0" collapsed="false">
      <c r="A105" s="21"/>
      <c r="B105" s="33" t="n">
        <f aca="false">IF($A105="",0,INT(($A105-Macrociclo!$C$11)/7)+1)</f>
        <v>0</v>
      </c>
      <c r="C105" s="20"/>
      <c r="D105" s="20"/>
      <c r="E105" s="22"/>
      <c r="F105" s="22"/>
      <c r="G105" s="48" t="n">
        <f aca="false">IF(OR($E105="",$F105=""),0,$E105*$F105)</f>
        <v>0</v>
      </c>
      <c r="H105" s="48" t="n">
        <f aca="false">IF($A105="",0,SUMIFS($G$8:$G$1007,$C$8:$C$1007,$C105,$A$8:$A$1007,"&gt;="&amp;$A105-6,$A$8:$A$1007,"&lt;="&amp;$A105))</f>
        <v>0</v>
      </c>
      <c r="I105" s="48" t="n">
        <f aca="false">IF($A105="",0,SUMIFS($G$8:$G$1007,$C$8:$C$1007,$C105,$A$8:$A$1007,"&gt;="&amp;$A105-27,$A$8:$A$1007,"&lt;="&amp;$A105)/4)</f>
        <v>0</v>
      </c>
      <c r="J105" s="67" t="n">
        <f aca="false">IF(OR($A105="",$I105=0),0,$H105/$I105)</f>
        <v>0</v>
      </c>
      <c r="K105" s="33" t="n">
        <f aca="false">IF($A105="",0,$A105-SUMPRODUCT(MIN(($C$8:$C$1007=$C105)*$A$8:$A$1007+($C$8:$C$1007&lt;&gt;$C105)*100000))+1)</f>
        <v>0</v>
      </c>
      <c r="L105" s="19" t="str">
        <f aca="false">IF($A105="","",IF($J105=0,"Sem registro anterior",IF($K105&lt;21,"Histórico insuficiente",IF($J105&lt;0.8,"Subcarga",IF($J105&lt;=1.3,"Zona ideal",IF($J105&lt;=1.5,"Atenção","Risco elevado"))))))</f>
        <v/>
      </c>
      <c r="M105" s="20"/>
    </row>
    <row r="106" customFormat="false" ht="15" hidden="false" customHeight="false" outlineLevel="0" collapsed="false">
      <c r="A106" s="21"/>
      <c r="B106" s="33" t="n">
        <f aca="false">IF($A106="",0,INT(($A106-Macrociclo!$C$11)/7)+1)</f>
        <v>0</v>
      </c>
      <c r="C106" s="20"/>
      <c r="D106" s="20"/>
      <c r="E106" s="22"/>
      <c r="F106" s="22"/>
      <c r="G106" s="48" t="n">
        <f aca="false">IF(OR($E106="",$F106=""),0,$E106*$F106)</f>
        <v>0</v>
      </c>
      <c r="H106" s="48" t="n">
        <f aca="false">IF($A106="",0,SUMIFS($G$8:$G$1007,$C$8:$C$1007,$C106,$A$8:$A$1007,"&gt;="&amp;$A106-6,$A$8:$A$1007,"&lt;="&amp;$A106))</f>
        <v>0</v>
      </c>
      <c r="I106" s="48" t="n">
        <f aca="false">IF($A106="",0,SUMIFS($G$8:$G$1007,$C$8:$C$1007,$C106,$A$8:$A$1007,"&gt;="&amp;$A106-27,$A$8:$A$1007,"&lt;="&amp;$A106)/4)</f>
        <v>0</v>
      </c>
      <c r="J106" s="67" t="n">
        <f aca="false">IF(OR($A106="",$I106=0),0,$H106/$I106)</f>
        <v>0</v>
      </c>
      <c r="K106" s="33" t="n">
        <f aca="false">IF($A106="",0,$A106-SUMPRODUCT(MIN(($C$8:$C$1007=$C106)*$A$8:$A$1007+($C$8:$C$1007&lt;&gt;$C106)*100000))+1)</f>
        <v>0</v>
      </c>
      <c r="L106" s="19" t="str">
        <f aca="false">IF($A106="","",IF($J106=0,"Sem registro anterior",IF($K106&lt;21,"Histórico insuficiente",IF($J106&lt;0.8,"Subcarga",IF($J106&lt;=1.3,"Zona ideal",IF($J106&lt;=1.5,"Atenção","Risco elevado"))))))</f>
        <v/>
      </c>
      <c r="M106" s="20"/>
    </row>
    <row r="107" customFormat="false" ht="15" hidden="false" customHeight="false" outlineLevel="0" collapsed="false">
      <c r="A107" s="21"/>
      <c r="B107" s="33" t="n">
        <f aca="false">IF($A107="",0,INT(($A107-Macrociclo!$C$11)/7)+1)</f>
        <v>0</v>
      </c>
      <c r="C107" s="20"/>
      <c r="D107" s="20"/>
      <c r="E107" s="22"/>
      <c r="F107" s="22"/>
      <c r="G107" s="48" t="n">
        <f aca="false">IF(OR($E107="",$F107=""),0,$E107*$F107)</f>
        <v>0</v>
      </c>
      <c r="H107" s="48" t="n">
        <f aca="false">IF($A107="",0,SUMIFS($G$8:$G$1007,$C$8:$C$1007,$C107,$A$8:$A$1007,"&gt;="&amp;$A107-6,$A$8:$A$1007,"&lt;="&amp;$A107))</f>
        <v>0</v>
      </c>
      <c r="I107" s="48" t="n">
        <f aca="false">IF($A107="",0,SUMIFS($G$8:$G$1007,$C$8:$C$1007,$C107,$A$8:$A$1007,"&gt;="&amp;$A107-27,$A$8:$A$1007,"&lt;="&amp;$A107)/4)</f>
        <v>0</v>
      </c>
      <c r="J107" s="67" t="n">
        <f aca="false">IF(OR($A107="",$I107=0),0,$H107/$I107)</f>
        <v>0</v>
      </c>
      <c r="K107" s="33" t="n">
        <f aca="false">IF($A107="",0,$A107-SUMPRODUCT(MIN(($C$8:$C$1007=$C107)*$A$8:$A$1007+($C$8:$C$1007&lt;&gt;$C107)*100000))+1)</f>
        <v>0</v>
      </c>
      <c r="L107" s="19" t="str">
        <f aca="false">IF($A107="","",IF($J107=0,"Sem registro anterior",IF($K107&lt;21,"Histórico insuficiente",IF($J107&lt;0.8,"Subcarga",IF($J107&lt;=1.3,"Zona ideal",IF($J107&lt;=1.5,"Atenção","Risco elevado"))))))</f>
        <v/>
      </c>
      <c r="M107" s="20"/>
    </row>
    <row r="108" customFormat="false" ht="15" hidden="false" customHeight="false" outlineLevel="0" collapsed="false">
      <c r="A108" s="21"/>
      <c r="B108" s="33" t="n">
        <f aca="false">IF($A108="",0,INT(($A108-Macrociclo!$C$11)/7)+1)</f>
        <v>0</v>
      </c>
      <c r="C108" s="20"/>
      <c r="D108" s="20"/>
      <c r="E108" s="22"/>
      <c r="F108" s="22"/>
      <c r="G108" s="48" t="n">
        <f aca="false">IF(OR($E108="",$F108=""),0,$E108*$F108)</f>
        <v>0</v>
      </c>
      <c r="H108" s="48" t="n">
        <f aca="false">IF($A108="",0,SUMIFS($G$8:$G$1007,$C$8:$C$1007,$C108,$A$8:$A$1007,"&gt;="&amp;$A108-6,$A$8:$A$1007,"&lt;="&amp;$A108))</f>
        <v>0</v>
      </c>
      <c r="I108" s="48" t="n">
        <f aca="false">IF($A108="",0,SUMIFS($G$8:$G$1007,$C$8:$C$1007,$C108,$A$8:$A$1007,"&gt;="&amp;$A108-27,$A$8:$A$1007,"&lt;="&amp;$A108)/4)</f>
        <v>0</v>
      </c>
      <c r="J108" s="67" t="n">
        <f aca="false">IF(OR($A108="",$I108=0),0,$H108/$I108)</f>
        <v>0</v>
      </c>
      <c r="K108" s="33" t="n">
        <f aca="false">IF($A108="",0,$A108-SUMPRODUCT(MIN(($C$8:$C$1007=$C108)*$A$8:$A$1007+($C$8:$C$1007&lt;&gt;$C108)*100000))+1)</f>
        <v>0</v>
      </c>
      <c r="L108" s="19" t="str">
        <f aca="false">IF($A108="","",IF($J108=0,"Sem registro anterior",IF($K108&lt;21,"Histórico insuficiente",IF($J108&lt;0.8,"Subcarga",IF($J108&lt;=1.3,"Zona ideal",IF($J108&lt;=1.5,"Atenção","Risco elevado"))))))</f>
        <v/>
      </c>
      <c r="M108" s="20"/>
    </row>
    <row r="109" customFormat="false" ht="15" hidden="false" customHeight="false" outlineLevel="0" collapsed="false">
      <c r="A109" s="21"/>
      <c r="B109" s="33" t="n">
        <f aca="false">IF($A109="",0,INT(($A109-Macrociclo!$C$11)/7)+1)</f>
        <v>0</v>
      </c>
      <c r="C109" s="20"/>
      <c r="D109" s="20"/>
      <c r="E109" s="22"/>
      <c r="F109" s="22"/>
      <c r="G109" s="48" t="n">
        <f aca="false">IF(OR($E109="",$F109=""),0,$E109*$F109)</f>
        <v>0</v>
      </c>
      <c r="H109" s="48" t="n">
        <f aca="false">IF($A109="",0,SUMIFS($G$8:$G$1007,$C$8:$C$1007,$C109,$A$8:$A$1007,"&gt;="&amp;$A109-6,$A$8:$A$1007,"&lt;="&amp;$A109))</f>
        <v>0</v>
      </c>
      <c r="I109" s="48" t="n">
        <f aca="false">IF($A109="",0,SUMIFS($G$8:$G$1007,$C$8:$C$1007,$C109,$A$8:$A$1007,"&gt;="&amp;$A109-27,$A$8:$A$1007,"&lt;="&amp;$A109)/4)</f>
        <v>0</v>
      </c>
      <c r="J109" s="67" t="n">
        <f aca="false">IF(OR($A109="",$I109=0),0,$H109/$I109)</f>
        <v>0</v>
      </c>
      <c r="K109" s="33" t="n">
        <f aca="false">IF($A109="",0,$A109-SUMPRODUCT(MIN(($C$8:$C$1007=$C109)*$A$8:$A$1007+($C$8:$C$1007&lt;&gt;$C109)*100000))+1)</f>
        <v>0</v>
      </c>
      <c r="L109" s="19" t="str">
        <f aca="false">IF($A109="","",IF($J109=0,"Sem registro anterior",IF($K109&lt;21,"Histórico insuficiente",IF($J109&lt;0.8,"Subcarga",IF($J109&lt;=1.3,"Zona ideal",IF($J109&lt;=1.5,"Atenção","Risco elevado"))))))</f>
        <v/>
      </c>
      <c r="M109" s="20"/>
    </row>
    <row r="110" customFormat="false" ht="15" hidden="false" customHeight="false" outlineLevel="0" collapsed="false">
      <c r="A110" s="21"/>
      <c r="B110" s="33" t="n">
        <f aca="false">IF($A110="",0,INT(($A110-Macrociclo!$C$11)/7)+1)</f>
        <v>0</v>
      </c>
      <c r="C110" s="20"/>
      <c r="D110" s="20"/>
      <c r="E110" s="22"/>
      <c r="F110" s="22"/>
      <c r="G110" s="48" t="n">
        <f aca="false">IF(OR($E110="",$F110=""),0,$E110*$F110)</f>
        <v>0</v>
      </c>
      <c r="H110" s="48" t="n">
        <f aca="false">IF($A110="",0,SUMIFS($G$8:$G$1007,$C$8:$C$1007,$C110,$A$8:$A$1007,"&gt;="&amp;$A110-6,$A$8:$A$1007,"&lt;="&amp;$A110))</f>
        <v>0</v>
      </c>
      <c r="I110" s="48" t="n">
        <f aca="false">IF($A110="",0,SUMIFS($G$8:$G$1007,$C$8:$C$1007,$C110,$A$8:$A$1007,"&gt;="&amp;$A110-27,$A$8:$A$1007,"&lt;="&amp;$A110)/4)</f>
        <v>0</v>
      </c>
      <c r="J110" s="67" t="n">
        <f aca="false">IF(OR($A110="",$I110=0),0,$H110/$I110)</f>
        <v>0</v>
      </c>
      <c r="K110" s="33" t="n">
        <f aca="false">IF($A110="",0,$A110-SUMPRODUCT(MIN(($C$8:$C$1007=$C110)*$A$8:$A$1007+($C$8:$C$1007&lt;&gt;$C110)*100000))+1)</f>
        <v>0</v>
      </c>
      <c r="L110" s="19" t="str">
        <f aca="false">IF($A110="","",IF($J110=0,"Sem registro anterior",IF($K110&lt;21,"Histórico insuficiente",IF($J110&lt;0.8,"Subcarga",IF($J110&lt;=1.3,"Zona ideal",IF($J110&lt;=1.5,"Atenção","Risco elevado"))))))</f>
        <v/>
      </c>
      <c r="M110" s="20"/>
    </row>
    <row r="111" customFormat="false" ht="15" hidden="false" customHeight="false" outlineLevel="0" collapsed="false">
      <c r="A111" s="21"/>
      <c r="B111" s="33" t="n">
        <f aca="false">IF($A111="",0,INT(($A111-Macrociclo!$C$11)/7)+1)</f>
        <v>0</v>
      </c>
      <c r="C111" s="20"/>
      <c r="D111" s="20"/>
      <c r="E111" s="22"/>
      <c r="F111" s="22"/>
      <c r="G111" s="48" t="n">
        <f aca="false">IF(OR($E111="",$F111=""),0,$E111*$F111)</f>
        <v>0</v>
      </c>
      <c r="H111" s="48" t="n">
        <f aca="false">IF($A111="",0,SUMIFS($G$8:$G$1007,$C$8:$C$1007,$C111,$A$8:$A$1007,"&gt;="&amp;$A111-6,$A$8:$A$1007,"&lt;="&amp;$A111))</f>
        <v>0</v>
      </c>
      <c r="I111" s="48" t="n">
        <f aca="false">IF($A111="",0,SUMIFS($G$8:$G$1007,$C$8:$C$1007,$C111,$A$8:$A$1007,"&gt;="&amp;$A111-27,$A$8:$A$1007,"&lt;="&amp;$A111)/4)</f>
        <v>0</v>
      </c>
      <c r="J111" s="67" t="n">
        <f aca="false">IF(OR($A111="",$I111=0),0,$H111/$I111)</f>
        <v>0</v>
      </c>
      <c r="K111" s="33" t="n">
        <f aca="false">IF($A111="",0,$A111-SUMPRODUCT(MIN(($C$8:$C$1007=$C111)*$A$8:$A$1007+($C$8:$C$1007&lt;&gt;$C111)*100000))+1)</f>
        <v>0</v>
      </c>
      <c r="L111" s="19" t="str">
        <f aca="false">IF($A111="","",IF($J111=0,"Sem registro anterior",IF($K111&lt;21,"Histórico insuficiente",IF($J111&lt;0.8,"Subcarga",IF($J111&lt;=1.3,"Zona ideal",IF($J111&lt;=1.5,"Atenção","Risco elevado"))))))</f>
        <v/>
      </c>
      <c r="M111" s="20"/>
    </row>
    <row r="112" customFormat="false" ht="15" hidden="false" customHeight="false" outlineLevel="0" collapsed="false">
      <c r="A112" s="21"/>
      <c r="B112" s="33" t="n">
        <f aca="false">IF($A112="",0,INT(($A112-Macrociclo!$C$11)/7)+1)</f>
        <v>0</v>
      </c>
      <c r="C112" s="20"/>
      <c r="D112" s="20"/>
      <c r="E112" s="22"/>
      <c r="F112" s="22"/>
      <c r="G112" s="48" t="n">
        <f aca="false">IF(OR($E112="",$F112=""),0,$E112*$F112)</f>
        <v>0</v>
      </c>
      <c r="H112" s="48" t="n">
        <f aca="false">IF($A112="",0,SUMIFS($G$8:$G$1007,$C$8:$C$1007,$C112,$A$8:$A$1007,"&gt;="&amp;$A112-6,$A$8:$A$1007,"&lt;="&amp;$A112))</f>
        <v>0</v>
      </c>
      <c r="I112" s="48" t="n">
        <f aca="false">IF($A112="",0,SUMIFS($G$8:$G$1007,$C$8:$C$1007,$C112,$A$8:$A$1007,"&gt;="&amp;$A112-27,$A$8:$A$1007,"&lt;="&amp;$A112)/4)</f>
        <v>0</v>
      </c>
      <c r="J112" s="67" t="n">
        <f aca="false">IF(OR($A112="",$I112=0),0,$H112/$I112)</f>
        <v>0</v>
      </c>
      <c r="K112" s="33" t="n">
        <f aca="false">IF($A112="",0,$A112-SUMPRODUCT(MIN(($C$8:$C$1007=$C112)*$A$8:$A$1007+($C$8:$C$1007&lt;&gt;$C112)*100000))+1)</f>
        <v>0</v>
      </c>
      <c r="L112" s="19" t="str">
        <f aca="false">IF($A112="","",IF($J112=0,"Sem registro anterior",IF($K112&lt;21,"Histórico insuficiente",IF($J112&lt;0.8,"Subcarga",IF($J112&lt;=1.3,"Zona ideal",IF($J112&lt;=1.5,"Atenção","Risco elevado"))))))</f>
        <v/>
      </c>
      <c r="M112" s="20"/>
    </row>
    <row r="113" customFormat="false" ht="15" hidden="false" customHeight="false" outlineLevel="0" collapsed="false">
      <c r="A113" s="21"/>
      <c r="B113" s="33" t="n">
        <f aca="false">IF($A113="",0,INT(($A113-Macrociclo!$C$11)/7)+1)</f>
        <v>0</v>
      </c>
      <c r="C113" s="20"/>
      <c r="D113" s="20"/>
      <c r="E113" s="22"/>
      <c r="F113" s="22"/>
      <c r="G113" s="48" t="n">
        <f aca="false">IF(OR($E113="",$F113=""),0,$E113*$F113)</f>
        <v>0</v>
      </c>
      <c r="H113" s="48" t="n">
        <f aca="false">IF($A113="",0,SUMIFS($G$8:$G$1007,$C$8:$C$1007,$C113,$A$8:$A$1007,"&gt;="&amp;$A113-6,$A$8:$A$1007,"&lt;="&amp;$A113))</f>
        <v>0</v>
      </c>
      <c r="I113" s="48" t="n">
        <f aca="false">IF($A113="",0,SUMIFS($G$8:$G$1007,$C$8:$C$1007,$C113,$A$8:$A$1007,"&gt;="&amp;$A113-27,$A$8:$A$1007,"&lt;="&amp;$A113)/4)</f>
        <v>0</v>
      </c>
      <c r="J113" s="67" t="n">
        <f aca="false">IF(OR($A113="",$I113=0),0,$H113/$I113)</f>
        <v>0</v>
      </c>
      <c r="K113" s="33" t="n">
        <f aca="false">IF($A113="",0,$A113-SUMPRODUCT(MIN(($C$8:$C$1007=$C113)*$A$8:$A$1007+($C$8:$C$1007&lt;&gt;$C113)*100000))+1)</f>
        <v>0</v>
      </c>
      <c r="L113" s="19" t="str">
        <f aca="false">IF($A113="","",IF($J113=0,"Sem registro anterior",IF($K113&lt;21,"Histórico insuficiente",IF($J113&lt;0.8,"Subcarga",IF($J113&lt;=1.3,"Zona ideal",IF($J113&lt;=1.5,"Atenção","Risco elevado"))))))</f>
        <v/>
      </c>
      <c r="M113" s="20"/>
    </row>
    <row r="114" customFormat="false" ht="15" hidden="false" customHeight="false" outlineLevel="0" collapsed="false">
      <c r="A114" s="21"/>
      <c r="B114" s="33" t="n">
        <f aca="false">IF($A114="",0,INT(($A114-Macrociclo!$C$11)/7)+1)</f>
        <v>0</v>
      </c>
      <c r="C114" s="20"/>
      <c r="D114" s="20"/>
      <c r="E114" s="22"/>
      <c r="F114" s="22"/>
      <c r="G114" s="48" t="n">
        <f aca="false">IF(OR($E114="",$F114=""),0,$E114*$F114)</f>
        <v>0</v>
      </c>
      <c r="H114" s="48" t="n">
        <f aca="false">IF($A114="",0,SUMIFS($G$8:$G$1007,$C$8:$C$1007,$C114,$A$8:$A$1007,"&gt;="&amp;$A114-6,$A$8:$A$1007,"&lt;="&amp;$A114))</f>
        <v>0</v>
      </c>
      <c r="I114" s="48" t="n">
        <f aca="false">IF($A114="",0,SUMIFS($G$8:$G$1007,$C$8:$C$1007,$C114,$A$8:$A$1007,"&gt;="&amp;$A114-27,$A$8:$A$1007,"&lt;="&amp;$A114)/4)</f>
        <v>0</v>
      </c>
      <c r="J114" s="67" t="n">
        <f aca="false">IF(OR($A114="",$I114=0),0,$H114/$I114)</f>
        <v>0</v>
      </c>
      <c r="K114" s="33" t="n">
        <f aca="false">IF($A114="",0,$A114-SUMPRODUCT(MIN(($C$8:$C$1007=$C114)*$A$8:$A$1007+($C$8:$C$1007&lt;&gt;$C114)*100000))+1)</f>
        <v>0</v>
      </c>
      <c r="L114" s="19" t="str">
        <f aca="false">IF($A114="","",IF($J114=0,"Sem registro anterior",IF($K114&lt;21,"Histórico insuficiente",IF($J114&lt;0.8,"Subcarga",IF($J114&lt;=1.3,"Zona ideal",IF($J114&lt;=1.5,"Atenção","Risco elevado"))))))</f>
        <v/>
      </c>
      <c r="M114" s="20"/>
    </row>
    <row r="115" customFormat="false" ht="15" hidden="false" customHeight="false" outlineLevel="0" collapsed="false">
      <c r="A115" s="21"/>
      <c r="B115" s="33" t="n">
        <f aca="false">IF($A115="",0,INT(($A115-Macrociclo!$C$11)/7)+1)</f>
        <v>0</v>
      </c>
      <c r="C115" s="20"/>
      <c r="D115" s="20"/>
      <c r="E115" s="22"/>
      <c r="F115" s="22"/>
      <c r="G115" s="48" t="n">
        <f aca="false">IF(OR($E115="",$F115=""),0,$E115*$F115)</f>
        <v>0</v>
      </c>
      <c r="H115" s="48" t="n">
        <f aca="false">IF($A115="",0,SUMIFS($G$8:$G$1007,$C$8:$C$1007,$C115,$A$8:$A$1007,"&gt;="&amp;$A115-6,$A$8:$A$1007,"&lt;="&amp;$A115))</f>
        <v>0</v>
      </c>
      <c r="I115" s="48" t="n">
        <f aca="false">IF($A115="",0,SUMIFS($G$8:$G$1007,$C$8:$C$1007,$C115,$A$8:$A$1007,"&gt;="&amp;$A115-27,$A$8:$A$1007,"&lt;="&amp;$A115)/4)</f>
        <v>0</v>
      </c>
      <c r="J115" s="67" t="n">
        <f aca="false">IF(OR($A115="",$I115=0),0,$H115/$I115)</f>
        <v>0</v>
      </c>
      <c r="K115" s="33" t="n">
        <f aca="false">IF($A115="",0,$A115-SUMPRODUCT(MIN(($C$8:$C$1007=$C115)*$A$8:$A$1007+($C$8:$C$1007&lt;&gt;$C115)*100000))+1)</f>
        <v>0</v>
      </c>
      <c r="L115" s="19" t="str">
        <f aca="false">IF($A115="","",IF($J115=0,"Sem registro anterior",IF($K115&lt;21,"Histórico insuficiente",IF($J115&lt;0.8,"Subcarga",IF($J115&lt;=1.3,"Zona ideal",IF($J115&lt;=1.5,"Atenção","Risco elevado"))))))</f>
        <v/>
      </c>
      <c r="M115" s="20"/>
    </row>
    <row r="116" customFormat="false" ht="15" hidden="false" customHeight="false" outlineLevel="0" collapsed="false">
      <c r="A116" s="21"/>
      <c r="B116" s="33" t="n">
        <f aca="false">IF($A116="",0,INT(($A116-Macrociclo!$C$11)/7)+1)</f>
        <v>0</v>
      </c>
      <c r="C116" s="20"/>
      <c r="D116" s="20"/>
      <c r="E116" s="22"/>
      <c r="F116" s="22"/>
      <c r="G116" s="48" t="n">
        <f aca="false">IF(OR($E116="",$F116=""),0,$E116*$F116)</f>
        <v>0</v>
      </c>
      <c r="H116" s="48" t="n">
        <f aca="false">IF($A116="",0,SUMIFS($G$8:$G$1007,$C$8:$C$1007,$C116,$A$8:$A$1007,"&gt;="&amp;$A116-6,$A$8:$A$1007,"&lt;="&amp;$A116))</f>
        <v>0</v>
      </c>
      <c r="I116" s="48" t="n">
        <f aca="false">IF($A116="",0,SUMIFS($G$8:$G$1007,$C$8:$C$1007,$C116,$A$8:$A$1007,"&gt;="&amp;$A116-27,$A$8:$A$1007,"&lt;="&amp;$A116)/4)</f>
        <v>0</v>
      </c>
      <c r="J116" s="67" t="n">
        <f aca="false">IF(OR($A116="",$I116=0),0,$H116/$I116)</f>
        <v>0</v>
      </c>
      <c r="K116" s="33" t="n">
        <f aca="false">IF($A116="",0,$A116-SUMPRODUCT(MIN(($C$8:$C$1007=$C116)*$A$8:$A$1007+($C$8:$C$1007&lt;&gt;$C116)*100000))+1)</f>
        <v>0</v>
      </c>
      <c r="L116" s="19" t="str">
        <f aca="false">IF($A116="","",IF($J116=0,"Sem registro anterior",IF($K116&lt;21,"Histórico insuficiente",IF($J116&lt;0.8,"Subcarga",IF($J116&lt;=1.3,"Zona ideal",IF($J116&lt;=1.5,"Atenção","Risco elevado"))))))</f>
        <v/>
      </c>
      <c r="M116" s="20"/>
    </row>
    <row r="117" customFormat="false" ht="15" hidden="false" customHeight="false" outlineLevel="0" collapsed="false">
      <c r="A117" s="21"/>
      <c r="B117" s="33" t="n">
        <f aca="false">IF($A117="",0,INT(($A117-Macrociclo!$C$11)/7)+1)</f>
        <v>0</v>
      </c>
      <c r="C117" s="20"/>
      <c r="D117" s="20"/>
      <c r="E117" s="22"/>
      <c r="F117" s="22"/>
      <c r="G117" s="48" t="n">
        <f aca="false">IF(OR($E117="",$F117=""),0,$E117*$F117)</f>
        <v>0</v>
      </c>
      <c r="H117" s="48" t="n">
        <f aca="false">IF($A117="",0,SUMIFS($G$8:$G$1007,$C$8:$C$1007,$C117,$A$8:$A$1007,"&gt;="&amp;$A117-6,$A$8:$A$1007,"&lt;="&amp;$A117))</f>
        <v>0</v>
      </c>
      <c r="I117" s="48" t="n">
        <f aca="false">IF($A117="",0,SUMIFS($G$8:$G$1007,$C$8:$C$1007,$C117,$A$8:$A$1007,"&gt;="&amp;$A117-27,$A$8:$A$1007,"&lt;="&amp;$A117)/4)</f>
        <v>0</v>
      </c>
      <c r="J117" s="67" t="n">
        <f aca="false">IF(OR($A117="",$I117=0),0,$H117/$I117)</f>
        <v>0</v>
      </c>
      <c r="K117" s="33" t="n">
        <f aca="false">IF($A117="",0,$A117-SUMPRODUCT(MIN(($C$8:$C$1007=$C117)*$A$8:$A$1007+($C$8:$C$1007&lt;&gt;$C117)*100000))+1)</f>
        <v>0</v>
      </c>
      <c r="L117" s="19" t="str">
        <f aca="false">IF($A117="","",IF($J117=0,"Sem registro anterior",IF($K117&lt;21,"Histórico insuficiente",IF($J117&lt;0.8,"Subcarga",IF($J117&lt;=1.3,"Zona ideal",IF($J117&lt;=1.5,"Atenção","Risco elevado"))))))</f>
        <v/>
      </c>
      <c r="M117" s="20"/>
    </row>
    <row r="118" customFormat="false" ht="15" hidden="false" customHeight="false" outlineLevel="0" collapsed="false">
      <c r="A118" s="21"/>
      <c r="B118" s="33" t="n">
        <f aca="false">IF($A118="",0,INT(($A118-Macrociclo!$C$11)/7)+1)</f>
        <v>0</v>
      </c>
      <c r="C118" s="20"/>
      <c r="D118" s="20"/>
      <c r="E118" s="22"/>
      <c r="F118" s="22"/>
      <c r="G118" s="48" t="n">
        <f aca="false">IF(OR($E118="",$F118=""),0,$E118*$F118)</f>
        <v>0</v>
      </c>
      <c r="H118" s="48" t="n">
        <f aca="false">IF($A118="",0,SUMIFS($G$8:$G$1007,$C$8:$C$1007,$C118,$A$8:$A$1007,"&gt;="&amp;$A118-6,$A$8:$A$1007,"&lt;="&amp;$A118))</f>
        <v>0</v>
      </c>
      <c r="I118" s="48" t="n">
        <f aca="false">IF($A118="",0,SUMIFS($G$8:$G$1007,$C$8:$C$1007,$C118,$A$8:$A$1007,"&gt;="&amp;$A118-27,$A$8:$A$1007,"&lt;="&amp;$A118)/4)</f>
        <v>0</v>
      </c>
      <c r="J118" s="67" t="n">
        <f aca="false">IF(OR($A118="",$I118=0),0,$H118/$I118)</f>
        <v>0</v>
      </c>
      <c r="K118" s="33" t="n">
        <f aca="false">IF($A118="",0,$A118-SUMPRODUCT(MIN(($C$8:$C$1007=$C118)*$A$8:$A$1007+($C$8:$C$1007&lt;&gt;$C118)*100000))+1)</f>
        <v>0</v>
      </c>
      <c r="L118" s="19" t="str">
        <f aca="false">IF($A118="","",IF($J118=0,"Sem registro anterior",IF($K118&lt;21,"Histórico insuficiente",IF($J118&lt;0.8,"Subcarga",IF($J118&lt;=1.3,"Zona ideal",IF($J118&lt;=1.5,"Atenção","Risco elevado"))))))</f>
        <v/>
      </c>
      <c r="M118" s="20"/>
    </row>
    <row r="119" customFormat="false" ht="15" hidden="false" customHeight="false" outlineLevel="0" collapsed="false">
      <c r="A119" s="21"/>
      <c r="B119" s="33" t="n">
        <f aca="false">IF($A119="",0,INT(($A119-Macrociclo!$C$11)/7)+1)</f>
        <v>0</v>
      </c>
      <c r="C119" s="20"/>
      <c r="D119" s="20"/>
      <c r="E119" s="22"/>
      <c r="F119" s="22"/>
      <c r="G119" s="48" t="n">
        <f aca="false">IF(OR($E119="",$F119=""),0,$E119*$F119)</f>
        <v>0</v>
      </c>
      <c r="H119" s="48" t="n">
        <f aca="false">IF($A119="",0,SUMIFS($G$8:$G$1007,$C$8:$C$1007,$C119,$A$8:$A$1007,"&gt;="&amp;$A119-6,$A$8:$A$1007,"&lt;="&amp;$A119))</f>
        <v>0</v>
      </c>
      <c r="I119" s="48" t="n">
        <f aca="false">IF($A119="",0,SUMIFS($G$8:$G$1007,$C$8:$C$1007,$C119,$A$8:$A$1007,"&gt;="&amp;$A119-27,$A$8:$A$1007,"&lt;="&amp;$A119)/4)</f>
        <v>0</v>
      </c>
      <c r="J119" s="67" t="n">
        <f aca="false">IF(OR($A119="",$I119=0),0,$H119/$I119)</f>
        <v>0</v>
      </c>
      <c r="K119" s="33" t="n">
        <f aca="false">IF($A119="",0,$A119-SUMPRODUCT(MIN(($C$8:$C$1007=$C119)*$A$8:$A$1007+($C$8:$C$1007&lt;&gt;$C119)*100000))+1)</f>
        <v>0</v>
      </c>
      <c r="L119" s="19" t="str">
        <f aca="false">IF($A119="","",IF($J119=0,"Sem registro anterior",IF($K119&lt;21,"Histórico insuficiente",IF($J119&lt;0.8,"Subcarga",IF($J119&lt;=1.3,"Zona ideal",IF($J119&lt;=1.5,"Atenção","Risco elevado"))))))</f>
        <v/>
      </c>
      <c r="M119" s="20"/>
    </row>
    <row r="120" customFormat="false" ht="15" hidden="false" customHeight="false" outlineLevel="0" collapsed="false">
      <c r="A120" s="21"/>
      <c r="B120" s="33" t="n">
        <f aca="false">IF($A120="",0,INT(($A120-Macrociclo!$C$11)/7)+1)</f>
        <v>0</v>
      </c>
      <c r="C120" s="20"/>
      <c r="D120" s="20"/>
      <c r="E120" s="22"/>
      <c r="F120" s="22"/>
      <c r="G120" s="48" t="n">
        <f aca="false">IF(OR($E120="",$F120=""),0,$E120*$F120)</f>
        <v>0</v>
      </c>
      <c r="H120" s="48" t="n">
        <f aca="false">IF($A120="",0,SUMIFS($G$8:$G$1007,$C$8:$C$1007,$C120,$A$8:$A$1007,"&gt;="&amp;$A120-6,$A$8:$A$1007,"&lt;="&amp;$A120))</f>
        <v>0</v>
      </c>
      <c r="I120" s="48" t="n">
        <f aca="false">IF($A120="",0,SUMIFS($G$8:$G$1007,$C$8:$C$1007,$C120,$A$8:$A$1007,"&gt;="&amp;$A120-27,$A$8:$A$1007,"&lt;="&amp;$A120)/4)</f>
        <v>0</v>
      </c>
      <c r="J120" s="67" t="n">
        <f aca="false">IF(OR($A120="",$I120=0),0,$H120/$I120)</f>
        <v>0</v>
      </c>
      <c r="K120" s="33" t="n">
        <f aca="false">IF($A120="",0,$A120-SUMPRODUCT(MIN(($C$8:$C$1007=$C120)*$A$8:$A$1007+($C$8:$C$1007&lt;&gt;$C120)*100000))+1)</f>
        <v>0</v>
      </c>
      <c r="L120" s="19" t="str">
        <f aca="false">IF($A120="","",IF($J120=0,"Sem registro anterior",IF($K120&lt;21,"Histórico insuficiente",IF($J120&lt;0.8,"Subcarga",IF($J120&lt;=1.3,"Zona ideal",IF($J120&lt;=1.5,"Atenção","Risco elevado"))))))</f>
        <v/>
      </c>
      <c r="M120" s="20"/>
    </row>
    <row r="121" customFormat="false" ht="15" hidden="false" customHeight="false" outlineLevel="0" collapsed="false">
      <c r="A121" s="21"/>
      <c r="B121" s="33" t="n">
        <f aca="false">IF($A121="",0,INT(($A121-Macrociclo!$C$11)/7)+1)</f>
        <v>0</v>
      </c>
      <c r="C121" s="20"/>
      <c r="D121" s="20"/>
      <c r="E121" s="22"/>
      <c r="F121" s="22"/>
      <c r="G121" s="48" t="n">
        <f aca="false">IF(OR($E121="",$F121=""),0,$E121*$F121)</f>
        <v>0</v>
      </c>
      <c r="H121" s="48" t="n">
        <f aca="false">IF($A121="",0,SUMIFS($G$8:$G$1007,$C$8:$C$1007,$C121,$A$8:$A$1007,"&gt;="&amp;$A121-6,$A$8:$A$1007,"&lt;="&amp;$A121))</f>
        <v>0</v>
      </c>
      <c r="I121" s="48" t="n">
        <f aca="false">IF($A121="",0,SUMIFS($G$8:$G$1007,$C$8:$C$1007,$C121,$A$8:$A$1007,"&gt;="&amp;$A121-27,$A$8:$A$1007,"&lt;="&amp;$A121)/4)</f>
        <v>0</v>
      </c>
      <c r="J121" s="67" t="n">
        <f aca="false">IF(OR($A121="",$I121=0),0,$H121/$I121)</f>
        <v>0</v>
      </c>
      <c r="K121" s="33" t="n">
        <f aca="false">IF($A121="",0,$A121-SUMPRODUCT(MIN(($C$8:$C$1007=$C121)*$A$8:$A$1007+($C$8:$C$1007&lt;&gt;$C121)*100000))+1)</f>
        <v>0</v>
      </c>
      <c r="L121" s="19" t="str">
        <f aca="false">IF($A121="","",IF($J121=0,"Sem registro anterior",IF($K121&lt;21,"Histórico insuficiente",IF($J121&lt;0.8,"Subcarga",IF($J121&lt;=1.3,"Zona ideal",IF($J121&lt;=1.5,"Atenção","Risco elevado"))))))</f>
        <v/>
      </c>
      <c r="M121" s="20"/>
    </row>
    <row r="122" customFormat="false" ht="15" hidden="false" customHeight="false" outlineLevel="0" collapsed="false">
      <c r="A122" s="21"/>
      <c r="B122" s="33" t="n">
        <f aca="false">IF($A122="",0,INT(($A122-Macrociclo!$C$11)/7)+1)</f>
        <v>0</v>
      </c>
      <c r="C122" s="20"/>
      <c r="D122" s="20"/>
      <c r="E122" s="22"/>
      <c r="F122" s="22"/>
      <c r="G122" s="48" t="n">
        <f aca="false">IF(OR($E122="",$F122=""),0,$E122*$F122)</f>
        <v>0</v>
      </c>
      <c r="H122" s="48" t="n">
        <f aca="false">IF($A122="",0,SUMIFS($G$8:$G$1007,$C$8:$C$1007,$C122,$A$8:$A$1007,"&gt;="&amp;$A122-6,$A$8:$A$1007,"&lt;="&amp;$A122))</f>
        <v>0</v>
      </c>
      <c r="I122" s="48" t="n">
        <f aca="false">IF($A122="",0,SUMIFS($G$8:$G$1007,$C$8:$C$1007,$C122,$A$8:$A$1007,"&gt;="&amp;$A122-27,$A$8:$A$1007,"&lt;="&amp;$A122)/4)</f>
        <v>0</v>
      </c>
      <c r="J122" s="67" t="n">
        <f aca="false">IF(OR($A122="",$I122=0),0,$H122/$I122)</f>
        <v>0</v>
      </c>
      <c r="K122" s="33" t="n">
        <f aca="false">IF($A122="",0,$A122-SUMPRODUCT(MIN(($C$8:$C$1007=$C122)*$A$8:$A$1007+($C$8:$C$1007&lt;&gt;$C122)*100000))+1)</f>
        <v>0</v>
      </c>
      <c r="L122" s="19" t="str">
        <f aca="false">IF($A122="","",IF($J122=0,"Sem registro anterior",IF($K122&lt;21,"Histórico insuficiente",IF($J122&lt;0.8,"Subcarga",IF($J122&lt;=1.3,"Zona ideal",IF($J122&lt;=1.5,"Atenção","Risco elevado"))))))</f>
        <v/>
      </c>
      <c r="M122" s="20"/>
    </row>
    <row r="123" customFormat="false" ht="15" hidden="false" customHeight="false" outlineLevel="0" collapsed="false">
      <c r="A123" s="21"/>
      <c r="B123" s="33" t="n">
        <f aca="false">IF($A123="",0,INT(($A123-Macrociclo!$C$11)/7)+1)</f>
        <v>0</v>
      </c>
      <c r="C123" s="20"/>
      <c r="D123" s="20"/>
      <c r="E123" s="22"/>
      <c r="F123" s="22"/>
      <c r="G123" s="48" t="n">
        <f aca="false">IF(OR($E123="",$F123=""),0,$E123*$F123)</f>
        <v>0</v>
      </c>
      <c r="H123" s="48" t="n">
        <f aca="false">IF($A123="",0,SUMIFS($G$8:$G$1007,$C$8:$C$1007,$C123,$A$8:$A$1007,"&gt;="&amp;$A123-6,$A$8:$A$1007,"&lt;="&amp;$A123))</f>
        <v>0</v>
      </c>
      <c r="I123" s="48" t="n">
        <f aca="false">IF($A123="",0,SUMIFS($G$8:$G$1007,$C$8:$C$1007,$C123,$A$8:$A$1007,"&gt;="&amp;$A123-27,$A$8:$A$1007,"&lt;="&amp;$A123)/4)</f>
        <v>0</v>
      </c>
      <c r="J123" s="67" t="n">
        <f aca="false">IF(OR($A123="",$I123=0),0,$H123/$I123)</f>
        <v>0</v>
      </c>
      <c r="K123" s="33" t="n">
        <f aca="false">IF($A123="",0,$A123-SUMPRODUCT(MIN(($C$8:$C$1007=$C123)*$A$8:$A$1007+($C$8:$C$1007&lt;&gt;$C123)*100000))+1)</f>
        <v>0</v>
      </c>
      <c r="L123" s="19" t="str">
        <f aca="false">IF($A123="","",IF($J123=0,"Sem registro anterior",IF($K123&lt;21,"Histórico insuficiente",IF($J123&lt;0.8,"Subcarga",IF($J123&lt;=1.3,"Zona ideal",IF($J123&lt;=1.5,"Atenção","Risco elevado"))))))</f>
        <v/>
      </c>
      <c r="M123" s="20"/>
    </row>
    <row r="124" customFormat="false" ht="15" hidden="false" customHeight="false" outlineLevel="0" collapsed="false">
      <c r="A124" s="21"/>
      <c r="B124" s="33" t="n">
        <f aca="false">IF($A124="",0,INT(($A124-Macrociclo!$C$11)/7)+1)</f>
        <v>0</v>
      </c>
      <c r="C124" s="20"/>
      <c r="D124" s="20"/>
      <c r="E124" s="22"/>
      <c r="F124" s="22"/>
      <c r="G124" s="48" t="n">
        <f aca="false">IF(OR($E124="",$F124=""),0,$E124*$F124)</f>
        <v>0</v>
      </c>
      <c r="H124" s="48" t="n">
        <f aca="false">IF($A124="",0,SUMIFS($G$8:$G$1007,$C$8:$C$1007,$C124,$A$8:$A$1007,"&gt;="&amp;$A124-6,$A$8:$A$1007,"&lt;="&amp;$A124))</f>
        <v>0</v>
      </c>
      <c r="I124" s="48" t="n">
        <f aca="false">IF($A124="",0,SUMIFS($G$8:$G$1007,$C$8:$C$1007,$C124,$A$8:$A$1007,"&gt;="&amp;$A124-27,$A$8:$A$1007,"&lt;="&amp;$A124)/4)</f>
        <v>0</v>
      </c>
      <c r="J124" s="67" t="n">
        <f aca="false">IF(OR($A124="",$I124=0),0,$H124/$I124)</f>
        <v>0</v>
      </c>
      <c r="K124" s="33" t="n">
        <f aca="false">IF($A124="",0,$A124-SUMPRODUCT(MIN(($C$8:$C$1007=$C124)*$A$8:$A$1007+($C$8:$C$1007&lt;&gt;$C124)*100000))+1)</f>
        <v>0</v>
      </c>
      <c r="L124" s="19" t="str">
        <f aca="false">IF($A124="","",IF($J124=0,"Sem registro anterior",IF($K124&lt;21,"Histórico insuficiente",IF($J124&lt;0.8,"Subcarga",IF($J124&lt;=1.3,"Zona ideal",IF($J124&lt;=1.5,"Atenção","Risco elevado"))))))</f>
        <v/>
      </c>
      <c r="M124" s="20"/>
    </row>
    <row r="125" customFormat="false" ht="15" hidden="false" customHeight="false" outlineLevel="0" collapsed="false">
      <c r="A125" s="21"/>
      <c r="B125" s="33" t="n">
        <f aca="false">IF($A125="",0,INT(($A125-Macrociclo!$C$11)/7)+1)</f>
        <v>0</v>
      </c>
      <c r="C125" s="20"/>
      <c r="D125" s="20"/>
      <c r="E125" s="22"/>
      <c r="F125" s="22"/>
      <c r="G125" s="48" t="n">
        <f aca="false">IF(OR($E125="",$F125=""),0,$E125*$F125)</f>
        <v>0</v>
      </c>
      <c r="H125" s="48" t="n">
        <f aca="false">IF($A125="",0,SUMIFS($G$8:$G$1007,$C$8:$C$1007,$C125,$A$8:$A$1007,"&gt;="&amp;$A125-6,$A$8:$A$1007,"&lt;="&amp;$A125))</f>
        <v>0</v>
      </c>
      <c r="I125" s="48" t="n">
        <f aca="false">IF($A125="",0,SUMIFS($G$8:$G$1007,$C$8:$C$1007,$C125,$A$8:$A$1007,"&gt;="&amp;$A125-27,$A$8:$A$1007,"&lt;="&amp;$A125)/4)</f>
        <v>0</v>
      </c>
      <c r="J125" s="67" t="n">
        <f aca="false">IF(OR($A125="",$I125=0),0,$H125/$I125)</f>
        <v>0</v>
      </c>
      <c r="K125" s="33" t="n">
        <f aca="false">IF($A125="",0,$A125-SUMPRODUCT(MIN(($C$8:$C$1007=$C125)*$A$8:$A$1007+($C$8:$C$1007&lt;&gt;$C125)*100000))+1)</f>
        <v>0</v>
      </c>
      <c r="L125" s="19" t="str">
        <f aca="false">IF($A125="","",IF($J125=0,"Sem registro anterior",IF($K125&lt;21,"Histórico insuficiente",IF($J125&lt;0.8,"Subcarga",IF($J125&lt;=1.3,"Zona ideal",IF($J125&lt;=1.5,"Atenção","Risco elevado"))))))</f>
        <v/>
      </c>
      <c r="M125" s="20"/>
    </row>
    <row r="126" customFormat="false" ht="15" hidden="false" customHeight="false" outlineLevel="0" collapsed="false">
      <c r="A126" s="21"/>
      <c r="B126" s="33" t="n">
        <f aca="false">IF($A126="",0,INT(($A126-Macrociclo!$C$11)/7)+1)</f>
        <v>0</v>
      </c>
      <c r="C126" s="20"/>
      <c r="D126" s="20"/>
      <c r="E126" s="22"/>
      <c r="F126" s="22"/>
      <c r="G126" s="48" t="n">
        <f aca="false">IF(OR($E126="",$F126=""),0,$E126*$F126)</f>
        <v>0</v>
      </c>
      <c r="H126" s="48" t="n">
        <f aca="false">IF($A126="",0,SUMIFS($G$8:$G$1007,$C$8:$C$1007,$C126,$A$8:$A$1007,"&gt;="&amp;$A126-6,$A$8:$A$1007,"&lt;="&amp;$A126))</f>
        <v>0</v>
      </c>
      <c r="I126" s="48" t="n">
        <f aca="false">IF($A126="",0,SUMIFS($G$8:$G$1007,$C$8:$C$1007,$C126,$A$8:$A$1007,"&gt;="&amp;$A126-27,$A$8:$A$1007,"&lt;="&amp;$A126)/4)</f>
        <v>0</v>
      </c>
      <c r="J126" s="67" t="n">
        <f aca="false">IF(OR($A126="",$I126=0),0,$H126/$I126)</f>
        <v>0</v>
      </c>
      <c r="K126" s="33" t="n">
        <f aca="false">IF($A126="",0,$A126-SUMPRODUCT(MIN(($C$8:$C$1007=$C126)*$A$8:$A$1007+($C$8:$C$1007&lt;&gt;$C126)*100000))+1)</f>
        <v>0</v>
      </c>
      <c r="L126" s="19" t="str">
        <f aca="false">IF($A126="","",IF($J126=0,"Sem registro anterior",IF($K126&lt;21,"Histórico insuficiente",IF($J126&lt;0.8,"Subcarga",IF($J126&lt;=1.3,"Zona ideal",IF($J126&lt;=1.5,"Atenção","Risco elevado"))))))</f>
        <v/>
      </c>
      <c r="M126" s="20"/>
    </row>
    <row r="127" customFormat="false" ht="15" hidden="false" customHeight="false" outlineLevel="0" collapsed="false">
      <c r="A127" s="21"/>
      <c r="B127" s="33" t="n">
        <f aca="false">IF($A127="",0,INT(($A127-Macrociclo!$C$11)/7)+1)</f>
        <v>0</v>
      </c>
      <c r="C127" s="20"/>
      <c r="D127" s="20"/>
      <c r="E127" s="22"/>
      <c r="F127" s="22"/>
      <c r="G127" s="48" t="n">
        <f aca="false">IF(OR($E127="",$F127=""),0,$E127*$F127)</f>
        <v>0</v>
      </c>
      <c r="H127" s="48" t="n">
        <f aca="false">IF($A127="",0,SUMIFS($G$8:$G$1007,$C$8:$C$1007,$C127,$A$8:$A$1007,"&gt;="&amp;$A127-6,$A$8:$A$1007,"&lt;="&amp;$A127))</f>
        <v>0</v>
      </c>
      <c r="I127" s="48" t="n">
        <f aca="false">IF($A127="",0,SUMIFS($G$8:$G$1007,$C$8:$C$1007,$C127,$A$8:$A$1007,"&gt;="&amp;$A127-27,$A$8:$A$1007,"&lt;="&amp;$A127)/4)</f>
        <v>0</v>
      </c>
      <c r="J127" s="67" t="n">
        <f aca="false">IF(OR($A127="",$I127=0),0,$H127/$I127)</f>
        <v>0</v>
      </c>
      <c r="K127" s="33" t="n">
        <f aca="false">IF($A127="",0,$A127-SUMPRODUCT(MIN(($C$8:$C$1007=$C127)*$A$8:$A$1007+($C$8:$C$1007&lt;&gt;$C127)*100000))+1)</f>
        <v>0</v>
      </c>
      <c r="L127" s="19" t="str">
        <f aca="false">IF($A127="","",IF($J127=0,"Sem registro anterior",IF($K127&lt;21,"Histórico insuficiente",IF($J127&lt;0.8,"Subcarga",IF($J127&lt;=1.3,"Zona ideal",IF($J127&lt;=1.5,"Atenção","Risco elevado"))))))</f>
        <v/>
      </c>
      <c r="M127" s="20"/>
    </row>
    <row r="128" customFormat="false" ht="15" hidden="false" customHeight="false" outlineLevel="0" collapsed="false">
      <c r="A128" s="21"/>
      <c r="B128" s="33" t="n">
        <f aca="false">IF($A128="",0,INT(($A128-Macrociclo!$C$11)/7)+1)</f>
        <v>0</v>
      </c>
      <c r="C128" s="20"/>
      <c r="D128" s="20"/>
      <c r="E128" s="22"/>
      <c r="F128" s="22"/>
      <c r="G128" s="48" t="n">
        <f aca="false">IF(OR($E128="",$F128=""),0,$E128*$F128)</f>
        <v>0</v>
      </c>
      <c r="H128" s="48" t="n">
        <f aca="false">IF($A128="",0,SUMIFS($G$8:$G$1007,$C$8:$C$1007,$C128,$A$8:$A$1007,"&gt;="&amp;$A128-6,$A$8:$A$1007,"&lt;="&amp;$A128))</f>
        <v>0</v>
      </c>
      <c r="I128" s="48" t="n">
        <f aca="false">IF($A128="",0,SUMIFS($G$8:$G$1007,$C$8:$C$1007,$C128,$A$8:$A$1007,"&gt;="&amp;$A128-27,$A$8:$A$1007,"&lt;="&amp;$A128)/4)</f>
        <v>0</v>
      </c>
      <c r="J128" s="67" t="n">
        <f aca="false">IF(OR($A128="",$I128=0),0,$H128/$I128)</f>
        <v>0</v>
      </c>
      <c r="K128" s="33" t="n">
        <f aca="false">IF($A128="",0,$A128-SUMPRODUCT(MIN(($C$8:$C$1007=$C128)*$A$8:$A$1007+($C$8:$C$1007&lt;&gt;$C128)*100000))+1)</f>
        <v>0</v>
      </c>
      <c r="L128" s="19" t="str">
        <f aca="false">IF($A128="","",IF($J128=0,"Sem registro anterior",IF($K128&lt;21,"Histórico insuficiente",IF($J128&lt;0.8,"Subcarga",IF($J128&lt;=1.3,"Zona ideal",IF($J128&lt;=1.5,"Atenção","Risco elevado"))))))</f>
        <v/>
      </c>
      <c r="M128" s="20"/>
    </row>
    <row r="129" customFormat="false" ht="15" hidden="false" customHeight="false" outlineLevel="0" collapsed="false">
      <c r="A129" s="21"/>
      <c r="B129" s="33" t="n">
        <f aca="false">IF($A129="",0,INT(($A129-Macrociclo!$C$11)/7)+1)</f>
        <v>0</v>
      </c>
      <c r="C129" s="20"/>
      <c r="D129" s="20"/>
      <c r="E129" s="22"/>
      <c r="F129" s="22"/>
      <c r="G129" s="48" t="n">
        <f aca="false">IF(OR($E129="",$F129=""),0,$E129*$F129)</f>
        <v>0</v>
      </c>
      <c r="H129" s="48" t="n">
        <f aca="false">IF($A129="",0,SUMIFS($G$8:$G$1007,$C$8:$C$1007,$C129,$A$8:$A$1007,"&gt;="&amp;$A129-6,$A$8:$A$1007,"&lt;="&amp;$A129))</f>
        <v>0</v>
      </c>
      <c r="I129" s="48" t="n">
        <f aca="false">IF($A129="",0,SUMIFS($G$8:$G$1007,$C$8:$C$1007,$C129,$A$8:$A$1007,"&gt;="&amp;$A129-27,$A$8:$A$1007,"&lt;="&amp;$A129)/4)</f>
        <v>0</v>
      </c>
      <c r="J129" s="67" t="n">
        <f aca="false">IF(OR($A129="",$I129=0),0,$H129/$I129)</f>
        <v>0</v>
      </c>
      <c r="K129" s="33" t="n">
        <f aca="false">IF($A129="",0,$A129-SUMPRODUCT(MIN(($C$8:$C$1007=$C129)*$A$8:$A$1007+($C$8:$C$1007&lt;&gt;$C129)*100000))+1)</f>
        <v>0</v>
      </c>
      <c r="L129" s="19" t="str">
        <f aca="false">IF($A129="","",IF($J129=0,"Sem registro anterior",IF($K129&lt;21,"Histórico insuficiente",IF($J129&lt;0.8,"Subcarga",IF($J129&lt;=1.3,"Zona ideal",IF($J129&lt;=1.5,"Atenção","Risco elevado"))))))</f>
        <v/>
      </c>
      <c r="M129" s="20"/>
    </row>
    <row r="130" customFormat="false" ht="15" hidden="false" customHeight="false" outlineLevel="0" collapsed="false">
      <c r="A130" s="21"/>
      <c r="B130" s="33" t="n">
        <f aca="false">IF($A130="",0,INT(($A130-Macrociclo!$C$11)/7)+1)</f>
        <v>0</v>
      </c>
      <c r="C130" s="20"/>
      <c r="D130" s="20"/>
      <c r="E130" s="22"/>
      <c r="F130" s="22"/>
      <c r="G130" s="48" t="n">
        <f aca="false">IF(OR($E130="",$F130=""),0,$E130*$F130)</f>
        <v>0</v>
      </c>
      <c r="H130" s="48" t="n">
        <f aca="false">IF($A130="",0,SUMIFS($G$8:$G$1007,$C$8:$C$1007,$C130,$A$8:$A$1007,"&gt;="&amp;$A130-6,$A$8:$A$1007,"&lt;="&amp;$A130))</f>
        <v>0</v>
      </c>
      <c r="I130" s="48" t="n">
        <f aca="false">IF($A130="",0,SUMIFS($G$8:$G$1007,$C$8:$C$1007,$C130,$A$8:$A$1007,"&gt;="&amp;$A130-27,$A$8:$A$1007,"&lt;="&amp;$A130)/4)</f>
        <v>0</v>
      </c>
      <c r="J130" s="67" t="n">
        <f aca="false">IF(OR($A130="",$I130=0),0,$H130/$I130)</f>
        <v>0</v>
      </c>
      <c r="K130" s="33" t="n">
        <f aca="false">IF($A130="",0,$A130-SUMPRODUCT(MIN(($C$8:$C$1007=$C130)*$A$8:$A$1007+($C$8:$C$1007&lt;&gt;$C130)*100000))+1)</f>
        <v>0</v>
      </c>
      <c r="L130" s="19" t="str">
        <f aca="false">IF($A130="","",IF($J130=0,"Sem registro anterior",IF($K130&lt;21,"Histórico insuficiente",IF($J130&lt;0.8,"Subcarga",IF($J130&lt;=1.3,"Zona ideal",IF($J130&lt;=1.5,"Atenção","Risco elevado"))))))</f>
        <v/>
      </c>
      <c r="M130" s="20"/>
    </row>
    <row r="131" customFormat="false" ht="15" hidden="false" customHeight="false" outlineLevel="0" collapsed="false">
      <c r="A131" s="21"/>
      <c r="B131" s="33" t="n">
        <f aca="false">IF($A131="",0,INT(($A131-Macrociclo!$C$11)/7)+1)</f>
        <v>0</v>
      </c>
      <c r="C131" s="20"/>
      <c r="D131" s="20"/>
      <c r="E131" s="22"/>
      <c r="F131" s="22"/>
      <c r="G131" s="48" t="n">
        <f aca="false">IF(OR($E131="",$F131=""),0,$E131*$F131)</f>
        <v>0</v>
      </c>
      <c r="H131" s="48" t="n">
        <f aca="false">IF($A131="",0,SUMIFS($G$8:$G$1007,$C$8:$C$1007,$C131,$A$8:$A$1007,"&gt;="&amp;$A131-6,$A$8:$A$1007,"&lt;="&amp;$A131))</f>
        <v>0</v>
      </c>
      <c r="I131" s="48" t="n">
        <f aca="false">IF($A131="",0,SUMIFS($G$8:$G$1007,$C$8:$C$1007,$C131,$A$8:$A$1007,"&gt;="&amp;$A131-27,$A$8:$A$1007,"&lt;="&amp;$A131)/4)</f>
        <v>0</v>
      </c>
      <c r="J131" s="67" t="n">
        <f aca="false">IF(OR($A131="",$I131=0),0,$H131/$I131)</f>
        <v>0</v>
      </c>
      <c r="K131" s="33" t="n">
        <f aca="false">IF($A131="",0,$A131-SUMPRODUCT(MIN(($C$8:$C$1007=$C131)*$A$8:$A$1007+($C$8:$C$1007&lt;&gt;$C131)*100000))+1)</f>
        <v>0</v>
      </c>
      <c r="L131" s="19" t="str">
        <f aca="false">IF($A131="","",IF($J131=0,"Sem registro anterior",IF($K131&lt;21,"Histórico insuficiente",IF($J131&lt;0.8,"Subcarga",IF($J131&lt;=1.3,"Zona ideal",IF($J131&lt;=1.5,"Atenção","Risco elevado"))))))</f>
        <v/>
      </c>
      <c r="M131" s="20"/>
    </row>
    <row r="132" customFormat="false" ht="15" hidden="false" customHeight="false" outlineLevel="0" collapsed="false">
      <c r="A132" s="21"/>
      <c r="B132" s="33" t="n">
        <f aca="false">IF($A132="",0,INT(($A132-Macrociclo!$C$11)/7)+1)</f>
        <v>0</v>
      </c>
      <c r="C132" s="20"/>
      <c r="D132" s="20"/>
      <c r="E132" s="22"/>
      <c r="F132" s="22"/>
      <c r="G132" s="48" t="n">
        <f aca="false">IF(OR($E132="",$F132=""),0,$E132*$F132)</f>
        <v>0</v>
      </c>
      <c r="H132" s="48" t="n">
        <f aca="false">IF($A132="",0,SUMIFS($G$8:$G$1007,$C$8:$C$1007,$C132,$A$8:$A$1007,"&gt;="&amp;$A132-6,$A$8:$A$1007,"&lt;="&amp;$A132))</f>
        <v>0</v>
      </c>
      <c r="I132" s="48" t="n">
        <f aca="false">IF($A132="",0,SUMIFS($G$8:$G$1007,$C$8:$C$1007,$C132,$A$8:$A$1007,"&gt;="&amp;$A132-27,$A$8:$A$1007,"&lt;="&amp;$A132)/4)</f>
        <v>0</v>
      </c>
      <c r="J132" s="67" t="n">
        <f aca="false">IF(OR($A132="",$I132=0),0,$H132/$I132)</f>
        <v>0</v>
      </c>
      <c r="K132" s="33" t="n">
        <f aca="false">IF($A132="",0,$A132-SUMPRODUCT(MIN(($C$8:$C$1007=$C132)*$A$8:$A$1007+($C$8:$C$1007&lt;&gt;$C132)*100000))+1)</f>
        <v>0</v>
      </c>
      <c r="L132" s="19" t="str">
        <f aca="false">IF($A132="","",IF($J132=0,"Sem registro anterior",IF($K132&lt;21,"Histórico insuficiente",IF($J132&lt;0.8,"Subcarga",IF($J132&lt;=1.3,"Zona ideal",IF($J132&lt;=1.5,"Atenção","Risco elevado"))))))</f>
        <v/>
      </c>
      <c r="M132" s="20"/>
    </row>
    <row r="133" customFormat="false" ht="15" hidden="false" customHeight="false" outlineLevel="0" collapsed="false">
      <c r="A133" s="21"/>
      <c r="B133" s="33" t="n">
        <f aca="false">IF($A133="",0,INT(($A133-Macrociclo!$C$11)/7)+1)</f>
        <v>0</v>
      </c>
      <c r="C133" s="20"/>
      <c r="D133" s="20"/>
      <c r="E133" s="22"/>
      <c r="F133" s="22"/>
      <c r="G133" s="48" t="n">
        <f aca="false">IF(OR($E133="",$F133=""),0,$E133*$F133)</f>
        <v>0</v>
      </c>
      <c r="H133" s="48" t="n">
        <f aca="false">IF($A133="",0,SUMIFS($G$8:$G$1007,$C$8:$C$1007,$C133,$A$8:$A$1007,"&gt;="&amp;$A133-6,$A$8:$A$1007,"&lt;="&amp;$A133))</f>
        <v>0</v>
      </c>
      <c r="I133" s="48" t="n">
        <f aca="false">IF($A133="",0,SUMIFS($G$8:$G$1007,$C$8:$C$1007,$C133,$A$8:$A$1007,"&gt;="&amp;$A133-27,$A$8:$A$1007,"&lt;="&amp;$A133)/4)</f>
        <v>0</v>
      </c>
      <c r="J133" s="67" t="n">
        <f aca="false">IF(OR($A133="",$I133=0),0,$H133/$I133)</f>
        <v>0</v>
      </c>
      <c r="K133" s="33" t="n">
        <f aca="false">IF($A133="",0,$A133-SUMPRODUCT(MIN(($C$8:$C$1007=$C133)*$A$8:$A$1007+($C$8:$C$1007&lt;&gt;$C133)*100000))+1)</f>
        <v>0</v>
      </c>
      <c r="L133" s="19" t="str">
        <f aca="false">IF($A133="","",IF($J133=0,"Sem registro anterior",IF($K133&lt;21,"Histórico insuficiente",IF($J133&lt;0.8,"Subcarga",IF($J133&lt;=1.3,"Zona ideal",IF($J133&lt;=1.5,"Atenção","Risco elevado"))))))</f>
        <v/>
      </c>
      <c r="M133" s="20"/>
    </row>
    <row r="134" customFormat="false" ht="15" hidden="false" customHeight="false" outlineLevel="0" collapsed="false">
      <c r="A134" s="21"/>
      <c r="B134" s="33" t="n">
        <f aca="false">IF($A134="",0,INT(($A134-Macrociclo!$C$11)/7)+1)</f>
        <v>0</v>
      </c>
      <c r="C134" s="20"/>
      <c r="D134" s="20"/>
      <c r="E134" s="22"/>
      <c r="F134" s="22"/>
      <c r="G134" s="48" t="n">
        <f aca="false">IF(OR($E134="",$F134=""),0,$E134*$F134)</f>
        <v>0</v>
      </c>
      <c r="H134" s="48" t="n">
        <f aca="false">IF($A134="",0,SUMIFS($G$8:$G$1007,$C$8:$C$1007,$C134,$A$8:$A$1007,"&gt;="&amp;$A134-6,$A$8:$A$1007,"&lt;="&amp;$A134))</f>
        <v>0</v>
      </c>
      <c r="I134" s="48" t="n">
        <f aca="false">IF($A134="",0,SUMIFS($G$8:$G$1007,$C$8:$C$1007,$C134,$A$8:$A$1007,"&gt;="&amp;$A134-27,$A$8:$A$1007,"&lt;="&amp;$A134)/4)</f>
        <v>0</v>
      </c>
      <c r="J134" s="67" t="n">
        <f aca="false">IF(OR($A134="",$I134=0),0,$H134/$I134)</f>
        <v>0</v>
      </c>
      <c r="K134" s="33" t="n">
        <f aca="false">IF($A134="",0,$A134-SUMPRODUCT(MIN(($C$8:$C$1007=$C134)*$A$8:$A$1007+($C$8:$C$1007&lt;&gt;$C134)*100000))+1)</f>
        <v>0</v>
      </c>
      <c r="L134" s="19" t="str">
        <f aca="false">IF($A134="","",IF($J134=0,"Sem registro anterior",IF($K134&lt;21,"Histórico insuficiente",IF($J134&lt;0.8,"Subcarga",IF($J134&lt;=1.3,"Zona ideal",IF($J134&lt;=1.5,"Atenção","Risco elevado"))))))</f>
        <v/>
      </c>
      <c r="M134" s="20"/>
    </row>
    <row r="135" customFormat="false" ht="15" hidden="false" customHeight="false" outlineLevel="0" collapsed="false">
      <c r="A135" s="21"/>
      <c r="B135" s="33" t="n">
        <f aca="false">IF($A135="",0,INT(($A135-Macrociclo!$C$11)/7)+1)</f>
        <v>0</v>
      </c>
      <c r="C135" s="20"/>
      <c r="D135" s="20"/>
      <c r="E135" s="22"/>
      <c r="F135" s="22"/>
      <c r="G135" s="48" t="n">
        <f aca="false">IF(OR($E135="",$F135=""),0,$E135*$F135)</f>
        <v>0</v>
      </c>
      <c r="H135" s="48" t="n">
        <f aca="false">IF($A135="",0,SUMIFS($G$8:$G$1007,$C$8:$C$1007,$C135,$A$8:$A$1007,"&gt;="&amp;$A135-6,$A$8:$A$1007,"&lt;="&amp;$A135))</f>
        <v>0</v>
      </c>
      <c r="I135" s="48" t="n">
        <f aca="false">IF($A135="",0,SUMIFS($G$8:$G$1007,$C$8:$C$1007,$C135,$A$8:$A$1007,"&gt;="&amp;$A135-27,$A$8:$A$1007,"&lt;="&amp;$A135)/4)</f>
        <v>0</v>
      </c>
      <c r="J135" s="67" t="n">
        <f aca="false">IF(OR($A135="",$I135=0),0,$H135/$I135)</f>
        <v>0</v>
      </c>
      <c r="K135" s="33" t="n">
        <f aca="false">IF($A135="",0,$A135-SUMPRODUCT(MIN(($C$8:$C$1007=$C135)*$A$8:$A$1007+($C$8:$C$1007&lt;&gt;$C135)*100000))+1)</f>
        <v>0</v>
      </c>
      <c r="L135" s="19" t="str">
        <f aca="false">IF($A135="","",IF($J135=0,"Sem registro anterior",IF($K135&lt;21,"Histórico insuficiente",IF($J135&lt;0.8,"Subcarga",IF($J135&lt;=1.3,"Zona ideal",IF($J135&lt;=1.5,"Atenção","Risco elevado"))))))</f>
        <v/>
      </c>
      <c r="M135" s="20"/>
    </row>
    <row r="136" customFormat="false" ht="15" hidden="false" customHeight="false" outlineLevel="0" collapsed="false">
      <c r="A136" s="21"/>
      <c r="B136" s="33" t="n">
        <f aca="false">IF($A136="",0,INT(($A136-Macrociclo!$C$11)/7)+1)</f>
        <v>0</v>
      </c>
      <c r="C136" s="20"/>
      <c r="D136" s="20"/>
      <c r="E136" s="22"/>
      <c r="F136" s="22"/>
      <c r="G136" s="48" t="n">
        <f aca="false">IF(OR($E136="",$F136=""),0,$E136*$F136)</f>
        <v>0</v>
      </c>
      <c r="H136" s="48" t="n">
        <f aca="false">IF($A136="",0,SUMIFS($G$8:$G$1007,$C$8:$C$1007,$C136,$A$8:$A$1007,"&gt;="&amp;$A136-6,$A$8:$A$1007,"&lt;="&amp;$A136))</f>
        <v>0</v>
      </c>
      <c r="I136" s="48" t="n">
        <f aca="false">IF($A136="",0,SUMIFS($G$8:$G$1007,$C$8:$C$1007,$C136,$A$8:$A$1007,"&gt;="&amp;$A136-27,$A$8:$A$1007,"&lt;="&amp;$A136)/4)</f>
        <v>0</v>
      </c>
      <c r="J136" s="67" t="n">
        <f aca="false">IF(OR($A136="",$I136=0),0,$H136/$I136)</f>
        <v>0</v>
      </c>
      <c r="K136" s="33" t="n">
        <f aca="false">IF($A136="",0,$A136-SUMPRODUCT(MIN(($C$8:$C$1007=$C136)*$A$8:$A$1007+($C$8:$C$1007&lt;&gt;$C136)*100000))+1)</f>
        <v>0</v>
      </c>
      <c r="L136" s="19" t="str">
        <f aca="false">IF($A136="","",IF($J136=0,"Sem registro anterior",IF($K136&lt;21,"Histórico insuficiente",IF($J136&lt;0.8,"Subcarga",IF($J136&lt;=1.3,"Zona ideal",IF($J136&lt;=1.5,"Atenção","Risco elevado"))))))</f>
        <v/>
      </c>
      <c r="M136" s="20"/>
    </row>
    <row r="137" customFormat="false" ht="15" hidden="false" customHeight="false" outlineLevel="0" collapsed="false">
      <c r="A137" s="21"/>
      <c r="B137" s="33" t="n">
        <f aca="false">IF($A137="",0,INT(($A137-Macrociclo!$C$11)/7)+1)</f>
        <v>0</v>
      </c>
      <c r="C137" s="20"/>
      <c r="D137" s="20"/>
      <c r="E137" s="22"/>
      <c r="F137" s="22"/>
      <c r="G137" s="48" t="n">
        <f aca="false">IF(OR($E137="",$F137=""),0,$E137*$F137)</f>
        <v>0</v>
      </c>
      <c r="H137" s="48" t="n">
        <f aca="false">IF($A137="",0,SUMIFS($G$8:$G$1007,$C$8:$C$1007,$C137,$A$8:$A$1007,"&gt;="&amp;$A137-6,$A$8:$A$1007,"&lt;="&amp;$A137))</f>
        <v>0</v>
      </c>
      <c r="I137" s="48" t="n">
        <f aca="false">IF($A137="",0,SUMIFS($G$8:$G$1007,$C$8:$C$1007,$C137,$A$8:$A$1007,"&gt;="&amp;$A137-27,$A$8:$A$1007,"&lt;="&amp;$A137)/4)</f>
        <v>0</v>
      </c>
      <c r="J137" s="67" t="n">
        <f aca="false">IF(OR($A137="",$I137=0),0,$H137/$I137)</f>
        <v>0</v>
      </c>
      <c r="K137" s="33" t="n">
        <f aca="false">IF($A137="",0,$A137-SUMPRODUCT(MIN(($C$8:$C$1007=$C137)*$A$8:$A$1007+($C$8:$C$1007&lt;&gt;$C137)*100000))+1)</f>
        <v>0</v>
      </c>
      <c r="L137" s="19" t="str">
        <f aca="false">IF($A137="","",IF($J137=0,"Sem registro anterior",IF($K137&lt;21,"Histórico insuficiente",IF($J137&lt;0.8,"Subcarga",IF($J137&lt;=1.3,"Zona ideal",IF($J137&lt;=1.5,"Atenção","Risco elevado"))))))</f>
        <v/>
      </c>
      <c r="M137" s="20"/>
    </row>
    <row r="138" customFormat="false" ht="15" hidden="false" customHeight="false" outlineLevel="0" collapsed="false">
      <c r="A138" s="21"/>
      <c r="B138" s="33" t="n">
        <f aca="false">IF($A138="",0,INT(($A138-Macrociclo!$C$11)/7)+1)</f>
        <v>0</v>
      </c>
      <c r="C138" s="20"/>
      <c r="D138" s="20"/>
      <c r="E138" s="22"/>
      <c r="F138" s="22"/>
      <c r="G138" s="48" t="n">
        <f aca="false">IF(OR($E138="",$F138=""),0,$E138*$F138)</f>
        <v>0</v>
      </c>
      <c r="H138" s="48" t="n">
        <f aca="false">IF($A138="",0,SUMIFS($G$8:$G$1007,$C$8:$C$1007,$C138,$A$8:$A$1007,"&gt;="&amp;$A138-6,$A$8:$A$1007,"&lt;="&amp;$A138))</f>
        <v>0</v>
      </c>
      <c r="I138" s="48" t="n">
        <f aca="false">IF($A138="",0,SUMIFS($G$8:$G$1007,$C$8:$C$1007,$C138,$A$8:$A$1007,"&gt;="&amp;$A138-27,$A$8:$A$1007,"&lt;="&amp;$A138)/4)</f>
        <v>0</v>
      </c>
      <c r="J138" s="67" t="n">
        <f aca="false">IF(OR($A138="",$I138=0),0,$H138/$I138)</f>
        <v>0</v>
      </c>
      <c r="K138" s="33" t="n">
        <f aca="false">IF($A138="",0,$A138-SUMPRODUCT(MIN(($C$8:$C$1007=$C138)*$A$8:$A$1007+($C$8:$C$1007&lt;&gt;$C138)*100000))+1)</f>
        <v>0</v>
      </c>
      <c r="L138" s="19" t="str">
        <f aca="false">IF($A138="","",IF($J138=0,"Sem registro anterior",IF($K138&lt;21,"Histórico insuficiente",IF($J138&lt;0.8,"Subcarga",IF($J138&lt;=1.3,"Zona ideal",IF($J138&lt;=1.5,"Atenção","Risco elevado"))))))</f>
        <v/>
      </c>
      <c r="M138" s="20"/>
    </row>
    <row r="139" customFormat="false" ht="15" hidden="false" customHeight="false" outlineLevel="0" collapsed="false">
      <c r="A139" s="21"/>
      <c r="B139" s="33" t="n">
        <f aca="false">IF($A139="",0,INT(($A139-Macrociclo!$C$11)/7)+1)</f>
        <v>0</v>
      </c>
      <c r="C139" s="20"/>
      <c r="D139" s="20"/>
      <c r="E139" s="22"/>
      <c r="F139" s="22"/>
      <c r="G139" s="48" t="n">
        <f aca="false">IF(OR($E139="",$F139=""),0,$E139*$F139)</f>
        <v>0</v>
      </c>
      <c r="H139" s="48" t="n">
        <f aca="false">IF($A139="",0,SUMIFS($G$8:$G$1007,$C$8:$C$1007,$C139,$A$8:$A$1007,"&gt;="&amp;$A139-6,$A$8:$A$1007,"&lt;="&amp;$A139))</f>
        <v>0</v>
      </c>
      <c r="I139" s="48" t="n">
        <f aca="false">IF($A139="",0,SUMIFS($G$8:$G$1007,$C$8:$C$1007,$C139,$A$8:$A$1007,"&gt;="&amp;$A139-27,$A$8:$A$1007,"&lt;="&amp;$A139)/4)</f>
        <v>0</v>
      </c>
      <c r="J139" s="67" t="n">
        <f aca="false">IF(OR($A139="",$I139=0),0,$H139/$I139)</f>
        <v>0</v>
      </c>
      <c r="K139" s="33" t="n">
        <f aca="false">IF($A139="",0,$A139-SUMPRODUCT(MIN(($C$8:$C$1007=$C139)*$A$8:$A$1007+($C$8:$C$1007&lt;&gt;$C139)*100000))+1)</f>
        <v>0</v>
      </c>
      <c r="L139" s="19" t="str">
        <f aca="false">IF($A139="","",IF($J139=0,"Sem registro anterior",IF($K139&lt;21,"Histórico insuficiente",IF($J139&lt;0.8,"Subcarga",IF($J139&lt;=1.3,"Zona ideal",IF($J139&lt;=1.5,"Atenção","Risco elevado"))))))</f>
        <v/>
      </c>
      <c r="M139" s="20"/>
    </row>
    <row r="140" customFormat="false" ht="15" hidden="false" customHeight="false" outlineLevel="0" collapsed="false">
      <c r="A140" s="21"/>
      <c r="B140" s="33" t="n">
        <f aca="false">IF($A140="",0,INT(($A140-Macrociclo!$C$11)/7)+1)</f>
        <v>0</v>
      </c>
      <c r="C140" s="20"/>
      <c r="D140" s="20"/>
      <c r="E140" s="22"/>
      <c r="F140" s="22"/>
      <c r="G140" s="48" t="n">
        <f aca="false">IF(OR($E140="",$F140=""),0,$E140*$F140)</f>
        <v>0</v>
      </c>
      <c r="H140" s="48" t="n">
        <f aca="false">IF($A140="",0,SUMIFS($G$8:$G$1007,$C$8:$C$1007,$C140,$A$8:$A$1007,"&gt;="&amp;$A140-6,$A$8:$A$1007,"&lt;="&amp;$A140))</f>
        <v>0</v>
      </c>
      <c r="I140" s="48" t="n">
        <f aca="false">IF($A140="",0,SUMIFS($G$8:$G$1007,$C$8:$C$1007,$C140,$A$8:$A$1007,"&gt;="&amp;$A140-27,$A$8:$A$1007,"&lt;="&amp;$A140)/4)</f>
        <v>0</v>
      </c>
      <c r="J140" s="67" t="n">
        <f aca="false">IF(OR($A140="",$I140=0),0,$H140/$I140)</f>
        <v>0</v>
      </c>
      <c r="K140" s="33" t="n">
        <f aca="false">IF($A140="",0,$A140-SUMPRODUCT(MIN(($C$8:$C$1007=$C140)*$A$8:$A$1007+($C$8:$C$1007&lt;&gt;$C140)*100000))+1)</f>
        <v>0</v>
      </c>
      <c r="L140" s="19" t="str">
        <f aca="false">IF($A140="","",IF($J140=0,"Sem registro anterior",IF($K140&lt;21,"Histórico insuficiente",IF($J140&lt;0.8,"Subcarga",IF($J140&lt;=1.3,"Zona ideal",IF($J140&lt;=1.5,"Atenção","Risco elevado"))))))</f>
        <v/>
      </c>
      <c r="M140" s="20"/>
    </row>
    <row r="141" customFormat="false" ht="15" hidden="false" customHeight="false" outlineLevel="0" collapsed="false">
      <c r="A141" s="21"/>
      <c r="B141" s="33" t="n">
        <f aca="false">IF($A141="",0,INT(($A141-Macrociclo!$C$11)/7)+1)</f>
        <v>0</v>
      </c>
      <c r="C141" s="20"/>
      <c r="D141" s="20"/>
      <c r="E141" s="22"/>
      <c r="F141" s="22"/>
      <c r="G141" s="48" t="n">
        <f aca="false">IF(OR($E141="",$F141=""),0,$E141*$F141)</f>
        <v>0</v>
      </c>
      <c r="H141" s="48" t="n">
        <f aca="false">IF($A141="",0,SUMIFS($G$8:$G$1007,$C$8:$C$1007,$C141,$A$8:$A$1007,"&gt;="&amp;$A141-6,$A$8:$A$1007,"&lt;="&amp;$A141))</f>
        <v>0</v>
      </c>
      <c r="I141" s="48" t="n">
        <f aca="false">IF($A141="",0,SUMIFS($G$8:$G$1007,$C$8:$C$1007,$C141,$A$8:$A$1007,"&gt;="&amp;$A141-27,$A$8:$A$1007,"&lt;="&amp;$A141)/4)</f>
        <v>0</v>
      </c>
      <c r="J141" s="67" t="n">
        <f aca="false">IF(OR($A141="",$I141=0),0,$H141/$I141)</f>
        <v>0</v>
      </c>
      <c r="K141" s="33" t="n">
        <f aca="false">IF($A141="",0,$A141-SUMPRODUCT(MIN(($C$8:$C$1007=$C141)*$A$8:$A$1007+($C$8:$C$1007&lt;&gt;$C141)*100000))+1)</f>
        <v>0</v>
      </c>
      <c r="L141" s="19" t="str">
        <f aca="false">IF($A141="","",IF($J141=0,"Sem registro anterior",IF($K141&lt;21,"Histórico insuficiente",IF($J141&lt;0.8,"Subcarga",IF($J141&lt;=1.3,"Zona ideal",IF($J141&lt;=1.5,"Atenção","Risco elevado"))))))</f>
        <v/>
      </c>
      <c r="M141" s="20"/>
    </row>
    <row r="142" customFormat="false" ht="15" hidden="false" customHeight="false" outlineLevel="0" collapsed="false">
      <c r="A142" s="21"/>
      <c r="B142" s="33" t="n">
        <f aca="false">IF($A142="",0,INT(($A142-Macrociclo!$C$11)/7)+1)</f>
        <v>0</v>
      </c>
      <c r="C142" s="20"/>
      <c r="D142" s="20"/>
      <c r="E142" s="22"/>
      <c r="F142" s="22"/>
      <c r="G142" s="48" t="n">
        <f aca="false">IF(OR($E142="",$F142=""),0,$E142*$F142)</f>
        <v>0</v>
      </c>
      <c r="H142" s="48" t="n">
        <f aca="false">IF($A142="",0,SUMIFS($G$8:$G$1007,$C$8:$C$1007,$C142,$A$8:$A$1007,"&gt;="&amp;$A142-6,$A$8:$A$1007,"&lt;="&amp;$A142))</f>
        <v>0</v>
      </c>
      <c r="I142" s="48" t="n">
        <f aca="false">IF($A142="",0,SUMIFS($G$8:$G$1007,$C$8:$C$1007,$C142,$A$8:$A$1007,"&gt;="&amp;$A142-27,$A$8:$A$1007,"&lt;="&amp;$A142)/4)</f>
        <v>0</v>
      </c>
      <c r="J142" s="67" t="n">
        <f aca="false">IF(OR($A142="",$I142=0),0,$H142/$I142)</f>
        <v>0</v>
      </c>
      <c r="K142" s="33" t="n">
        <f aca="false">IF($A142="",0,$A142-SUMPRODUCT(MIN(($C$8:$C$1007=$C142)*$A$8:$A$1007+($C$8:$C$1007&lt;&gt;$C142)*100000))+1)</f>
        <v>0</v>
      </c>
      <c r="L142" s="19" t="str">
        <f aca="false">IF($A142="","",IF($J142=0,"Sem registro anterior",IF($K142&lt;21,"Histórico insuficiente",IF($J142&lt;0.8,"Subcarga",IF($J142&lt;=1.3,"Zona ideal",IF($J142&lt;=1.5,"Atenção","Risco elevado"))))))</f>
        <v/>
      </c>
      <c r="M142" s="20"/>
    </row>
    <row r="143" customFormat="false" ht="15" hidden="false" customHeight="false" outlineLevel="0" collapsed="false">
      <c r="A143" s="21"/>
      <c r="B143" s="33" t="n">
        <f aca="false">IF($A143="",0,INT(($A143-Macrociclo!$C$11)/7)+1)</f>
        <v>0</v>
      </c>
      <c r="C143" s="20"/>
      <c r="D143" s="20"/>
      <c r="E143" s="22"/>
      <c r="F143" s="22"/>
      <c r="G143" s="48" t="n">
        <f aca="false">IF(OR($E143="",$F143=""),0,$E143*$F143)</f>
        <v>0</v>
      </c>
      <c r="H143" s="48" t="n">
        <f aca="false">IF($A143="",0,SUMIFS($G$8:$G$1007,$C$8:$C$1007,$C143,$A$8:$A$1007,"&gt;="&amp;$A143-6,$A$8:$A$1007,"&lt;="&amp;$A143))</f>
        <v>0</v>
      </c>
      <c r="I143" s="48" t="n">
        <f aca="false">IF($A143="",0,SUMIFS($G$8:$G$1007,$C$8:$C$1007,$C143,$A$8:$A$1007,"&gt;="&amp;$A143-27,$A$8:$A$1007,"&lt;="&amp;$A143)/4)</f>
        <v>0</v>
      </c>
      <c r="J143" s="67" t="n">
        <f aca="false">IF(OR($A143="",$I143=0),0,$H143/$I143)</f>
        <v>0</v>
      </c>
      <c r="K143" s="33" t="n">
        <f aca="false">IF($A143="",0,$A143-SUMPRODUCT(MIN(($C$8:$C$1007=$C143)*$A$8:$A$1007+($C$8:$C$1007&lt;&gt;$C143)*100000))+1)</f>
        <v>0</v>
      </c>
      <c r="L143" s="19" t="str">
        <f aca="false">IF($A143="","",IF($J143=0,"Sem registro anterior",IF($K143&lt;21,"Histórico insuficiente",IF($J143&lt;0.8,"Subcarga",IF($J143&lt;=1.3,"Zona ideal",IF($J143&lt;=1.5,"Atenção","Risco elevado"))))))</f>
        <v/>
      </c>
      <c r="M143" s="20"/>
    </row>
    <row r="144" customFormat="false" ht="15" hidden="false" customHeight="false" outlineLevel="0" collapsed="false">
      <c r="A144" s="21"/>
      <c r="B144" s="33" t="n">
        <f aca="false">IF($A144="",0,INT(($A144-Macrociclo!$C$11)/7)+1)</f>
        <v>0</v>
      </c>
      <c r="C144" s="20"/>
      <c r="D144" s="20"/>
      <c r="E144" s="22"/>
      <c r="F144" s="22"/>
      <c r="G144" s="48" t="n">
        <f aca="false">IF(OR($E144="",$F144=""),0,$E144*$F144)</f>
        <v>0</v>
      </c>
      <c r="H144" s="48" t="n">
        <f aca="false">IF($A144="",0,SUMIFS($G$8:$G$1007,$C$8:$C$1007,$C144,$A$8:$A$1007,"&gt;="&amp;$A144-6,$A$8:$A$1007,"&lt;="&amp;$A144))</f>
        <v>0</v>
      </c>
      <c r="I144" s="48" t="n">
        <f aca="false">IF($A144="",0,SUMIFS($G$8:$G$1007,$C$8:$C$1007,$C144,$A$8:$A$1007,"&gt;="&amp;$A144-27,$A$8:$A$1007,"&lt;="&amp;$A144)/4)</f>
        <v>0</v>
      </c>
      <c r="J144" s="67" t="n">
        <f aca="false">IF(OR($A144="",$I144=0),0,$H144/$I144)</f>
        <v>0</v>
      </c>
      <c r="K144" s="33" t="n">
        <f aca="false">IF($A144="",0,$A144-SUMPRODUCT(MIN(($C$8:$C$1007=$C144)*$A$8:$A$1007+($C$8:$C$1007&lt;&gt;$C144)*100000))+1)</f>
        <v>0</v>
      </c>
      <c r="L144" s="19" t="str">
        <f aca="false">IF($A144="","",IF($J144=0,"Sem registro anterior",IF($K144&lt;21,"Histórico insuficiente",IF($J144&lt;0.8,"Subcarga",IF($J144&lt;=1.3,"Zona ideal",IF($J144&lt;=1.5,"Atenção","Risco elevado"))))))</f>
        <v/>
      </c>
      <c r="M144" s="20"/>
    </row>
    <row r="145" customFormat="false" ht="15" hidden="false" customHeight="false" outlineLevel="0" collapsed="false">
      <c r="A145" s="21"/>
      <c r="B145" s="33" t="n">
        <f aca="false">IF($A145="",0,INT(($A145-Macrociclo!$C$11)/7)+1)</f>
        <v>0</v>
      </c>
      <c r="C145" s="20"/>
      <c r="D145" s="20"/>
      <c r="E145" s="22"/>
      <c r="F145" s="22"/>
      <c r="G145" s="48" t="n">
        <f aca="false">IF(OR($E145="",$F145=""),0,$E145*$F145)</f>
        <v>0</v>
      </c>
      <c r="H145" s="48" t="n">
        <f aca="false">IF($A145="",0,SUMIFS($G$8:$G$1007,$C$8:$C$1007,$C145,$A$8:$A$1007,"&gt;="&amp;$A145-6,$A$8:$A$1007,"&lt;="&amp;$A145))</f>
        <v>0</v>
      </c>
      <c r="I145" s="48" t="n">
        <f aca="false">IF($A145="",0,SUMIFS($G$8:$G$1007,$C$8:$C$1007,$C145,$A$8:$A$1007,"&gt;="&amp;$A145-27,$A$8:$A$1007,"&lt;="&amp;$A145)/4)</f>
        <v>0</v>
      </c>
      <c r="J145" s="67" t="n">
        <f aca="false">IF(OR($A145="",$I145=0),0,$H145/$I145)</f>
        <v>0</v>
      </c>
      <c r="K145" s="33" t="n">
        <f aca="false">IF($A145="",0,$A145-SUMPRODUCT(MIN(($C$8:$C$1007=$C145)*$A$8:$A$1007+($C$8:$C$1007&lt;&gt;$C145)*100000))+1)</f>
        <v>0</v>
      </c>
      <c r="L145" s="19" t="str">
        <f aca="false">IF($A145="","",IF($J145=0,"Sem registro anterior",IF($K145&lt;21,"Histórico insuficiente",IF($J145&lt;0.8,"Subcarga",IF($J145&lt;=1.3,"Zona ideal",IF($J145&lt;=1.5,"Atenção","Risco elevado"))))))</f>
        <v/>
      </c>
      <c r="M145" s="20"/>
    </row>
    <row r="146" customFormat="false" ht="15" hidden="false" customHeight="false" outlineLevel="0" collapsed="false">
      <c r="A146" s="21"/>
      <c r="B146" s="33" t="n">
        <f aca="false">IF($A146="",0,INT(($A146-Macrociclo!$C$11)/7)+1)</f>
        <v>0</v>
      </c>
      <c r="C146" s="20"/>
      <c r="D146" s="20"/>
      <c r="E146" s="22"/>
      <c r="F146" s="22"/>
      <c r="G146" s="48" t="n">
        <f aca="false">IF(OR($E146="",$F146=""),0,$E146*$F146)</f>
        <v>0</v>
      </c>
      <c r="H146" s="48" t="n">
        <f aca="false">IF($A146="",0,SUMIFS($G$8:$G$1007,$C$8:$C$1007,$C146,$A$8:$A$1007,"&gt;="&amp;$A146-6,$A$8:$A$1007,"&lt;="&amp;$A146))</f>
        <v>0</v>
      </c>
      <c r="I146" s="48" t="n">
        <f aca="false">IF($A146="",0,SUMIFS($G$8:$G$1007,$C$8:$C$1007,$C146,$A$8:$A$1007,"&gt;="&amp;$A146-27,$A$8:$A$1007,"&lt;="&amp;$A146)/4)</f>
        <v>0</v>
      </c>
      <c r="J146" s="67" t="n">
        <f aca="false">IF(OR($A146="",$I146=0),0,$H146/$I146)</f>
        <v>0</v>
      </c>
      <c r="K146" s="33" t="n">
        <f aca="false">IF($A146="",0,$A146-SUMPRODUCT(MIN(($C$8:$C$1007=$C146)*$A$8:$A$1007+($C$8:$C$1007&lt;&gt;$C146)*100000))+1)</f>
        <v>0</v>
      </c>
      <c r="L146" s="19" t="str">
        <f aca="false">IF($A146="","",IF($J146=0,"Sem registro anterior",IF($K146&lt;21,"Histórico insuficiente",IF($J146&lt;0.8,"Subcarga",IF($J146&lt;=1.3,"Zona ideal",IF($J146&lt;=1.5,"Atenção","Risco elevado"))))))</f>
        <v/>
      </c>
      <c r="M146" s="20"/>
    </row>
    <row r="147" customFormat="false" ht="15" hidden="false" customHeight="false" outlineLevel="0" collapsed="false">
      <c r="A147" s="21"/>
      <c r="B147" s="33" t="n">
        <f aca="false">IF($A147="",0,INT(($A147-Macrociclo!$C$11)/7)+1)</f>
        <v>0</v>
      </c>
      <c r="C147" s="20"/>
      <c r="D147" s="20"/>
      <c r="E147" s="22"/>
      <c r="F147" s="22"/>
      <c r="G147" s="48" t="n">
        <f aca="false">IF(OR($E147="",$F147=""),0,$E147*$F147)</f>
        <v>0</v>
      </c>
      <c r="H147" s="48" t="n">
        <f aca="false">IF($A147="",0,SUMIFS($G$8:$G$1007,$C$8:$C$1007,$C147,$A$8:$A$1007,"&gt;="&amp;$A147-6,$A$8:$A$1007,"&lt;="&amp;$A147))</f>
        <v>0</v>
      </c>
      <c r="I147" s="48" t="n">
        <f aca="false">IF($A147="",0,SUMIFS($G$8:$G$1007,$C$8:$C$1007,$C147,$A$8:$A$1007,"&gt;="&amp;$A147-27,$A$8:$A$1007,"&lt;="&amp;$A147)/4)</f>
        <v>0</v>
      </c>
      <c r="J147" s="67" t="n">
        <f aca="false">IF(OR($A147="",$I147=0),0,$H147/$I147)</f>
        <v>0</v>
      </c>
      <c r="K147" s="33" t="n">
        <f aca="false">IF($A147="",0,$A147-SUMPRODUCT(MIN(($C$8:$C$1007=$C147)*$A$8:$A$1007+($C$8:$C$1007&lt;&gt;$C147)*100000))+1)</f>
        <v>0</v>
      </c>
      <c r="L147" s="19" t="str">
        <f aca="false">IF($A147="","",IF($J147=0,"Sem registro anterior",IF($K147&lt;21,"Histórico insuficiente",IF($J147&lt;0.8,"Subcarga",IF($J147&lt;=1.3,"Zona ideal",IF($J147&lt;=1.5,"Atenção","Risco elevado"))))))</f>
        <v/>
      </c>
      <c r="M147" s="20"/>
    </row>
    <row r="148" customFormat="false" ht="15" hidden="false" customHeight="false" outlineLevel="0" collapsed="false">
      <c r="A148" s="21"/>
      <c r="B148" s="33" t="n">
        <f aca="false">IF($A148="",0,INT(($A148-Macrociclo!$C$11)/7)+1)</f>
        <v>0</v>
      </c>
      <c r="C148" s="20"/>
      <c r="D148" s="20"/>
      <c r="E148" s="22"/>
      <c r="F148" s="22"/>
      <c r="G148" s="48" t="n">
        <f aca="false">IF(OR($E148="",$F148=""),0,$E148*$F148)</f>
        <v>0</v>
      </c>
      <c r="H148" s="48" t="n">
        <f aca="false">IF($A148="",0,SUMIFS($G$8:$G$1007,$C$8:$C$1007,$C148,$A$8:$A$1007,"&gt;="&amp;$A148-6,$A$8:$A$1007,"&lt;="&amp;$A148))</f>
        <v>0</v>
      </c>
      <c r="I148" s="48" t="n">
        <f aca="false">IF($A148="",0,SUMIFS($G$8:$G$1007,$C$8:$C$1007,$C148,$A$8:$A$1007,"&gt;="&amp;$A148-27,$A$8:$A$1007,"&lt;="&amp;$A148)/4)</f>
        <v>0</v>
      </c>
      <c r="J148" s="67" t="n">
        <f aca="false">IF(OR($A148="",$I148=0),0,$H148/$I148)</f>
        <v>0</v>
      </c>
      <c r="K148" s="33" t="n">
        <f aca="false">IF($A148="",0,$A148-SUMPRODUCT(MIN(($C$8:$C$1007=$C148)*$A$8:$A$1007+($C$8:$C$1007&lt;&gt;$C148)*100000))+1)</f>
        <v>0</v>
      </c>
      <c r="L148" s="19" t="str">
        <f aca="false">IF($A148="","",IF($J148=0,"Sem registro anterior",IF($K148&lt;21,"Histórico insuficiente",IF($J148&lt;0.8,"Subcarga",IF($J148&lt;=1.3,"Zona ideal",IF($J148&lt;=1.5,"Atenção","Risco elevado"))))))</f>
        <v/>
      </c>
      <c r="M148" s="20"/>
    </row>
    <row r="149" customFormat="false" ht="15" hidden="false" customHeight="false" outlineLevel="0" collapsed="false">
      <c r="A149" s="21"/>
      <c r="B149" s="33" t="n">
        <f aca="false">IF($A149="",0,INT(($A149-Macrociclo!$C$11)/7)+1)</f>
        <v>0</v>
      </c>
      <c r="C149" s="20"/>
      <c r="D149" s="20"/>
      <c r="E149" s="22"/>
      <c r="F149" s="22"/>
      <c r="G149" s="48" t="n">
        <f aca="false">IF(OR($E149="",$F149=""),0,$E149*$F149)</f>
        <v>0</v>
      </c>
      <c r="H149" s="48" t="n">
        <f aca="false">IF($A149="",0,SUMIFS($G$8:$G$1007,$C$8:$C$1007,$C149,$A$8:$A$1007,"&gt;="&amp;$A149-6,$A$8:$A$1007,"&lt;="&amp;$A149))</f>
        <v>0</v>
      </c>
      <c r="I149" s="48" t="n">
        <f aca="false">IF($A149="",0,SUMIFS($G$8:$G$1007,$C$8:$C$1007,$C149,$A$8:$A$1007,"&gt;="&amp;$A149-27,$A$8:$A$1007,"&lt;="&amp;$A149)/4)</f>
        <v>0</v>
      </c>
      <c r="J149" s="67" t="n">
        <f aca="false">IF(OR($A149="",$I149=0),0,$H149/$I149)</f>
        <v>0</v>
      </c>
      <c r="K149" s="33" t="n">
        <f aca="false">IF($A149="",0,$A149-SUMPRODUCT(MIN(($C$8:$C$1007=$C149)*$A$8:$A$1007+($C$8:$C$1007&lt;&gt;$C149)*100000))+1)</f>
        <v>0</v>
      </c>
      <c r="L149" s="19" t="str">
        <f aca="false">IF($A149="","",IF($J149=0,"Sem registro anterior",IF($K149&lt;21,"Histórico insuficiente",IF($J149&lt;0.8,"Subcarga",IF($J149&lt;=1.3,"Zona ideal",IF($J149&lt;=1.5,"Atenção","Risco elevado"))))))</f>
        <v/>
      </c>
      <c r="M149" s="20"/>
    </row>
    <row r="150" customFormat="false" ht="15" hidden="false" customHeight="false" outlineLevel="0" collapsed="false">
      <c r="A150" s="21"/>
      <c r="B150" s="33" t="n">
        <f aca="false">IF($A150="",0,INT(($A150-Macrociclo!$C$11)/7)+1)</f>
        <v>0</v>
      </c>
      <c r="C150" s="20"/>
      <c r="D150" s="20"/>
      <c r="E150" s="22"/>
      <c r="F150" s="22"/>
      <c r="G150" s="48" t="n">
        <f aca="false">IF(OR($E150="",$F150=""),0,$E150*$F150)</f>
        <v>0</v>
      </c>
      <c r="H150" s="48" t="n">
        <f aca="false">IF($A150="",0,SUMIFS($G$8:$G$1007,$C$8:$C$1007,$C150,$A$8:$A$1007,"&gt;="&amp;$A150-6,$A$8:$A$1007,"&lt;="&amp;$A150))</f>
        <v>0</v>
      </c>
      <c r="I150" s="48" t="n">
        <f aca="false">IF($A150="",0,SUMIFS($G$8:$G$1007,$C$8:$C$1007,$C150,$A$8:$A$1007,"&gt;="&amp;$A150-27,$A$8:$A$1007,"&lt;="&amp;$A150)/4)</f>
        <v>0</v>
      </c>
      <c r="J150" s="67" t="n">
        <f aca="false">IF(OR($A150="",$I150=0),0,$H150/$I150)</f>
        <v>0</v>
      </c>
      <c r="K150" s="33" t="n">
        <f aca="false">IF($A150="",0,$A150-SUMPRODUCT(MIN(($C$8:$C$1007=$C150)*$A$8:$A$1007+($C$8:$C$1007&lt;&gt;$C150)*100000))+1)</f>
        <v>0</v>
      </c>
      <c r="L150" s="19" t="str">
        <f aca="false">IF($A150="","",IF($J150=0,"Sem registro anterior",IF($K150&lt;21,"Histórico insuficiente",IF($J150&lt;0.8,"Subcarga",IF($J150&lt;=1.3,"Zona ideal",IF($J150&lt;=1.5,"Atenção","Risco elevado"))))))</f>
        <v/>
      </c>
      <c r="M150" s="20"/>
    </row>
    <row r="151" customFormat="false" ht="15" hidden="false" customHeight="false" outlineLevel="0" collapsed="false">
      <c r="A151" s="21"/>
      <c r="B151" s="33" t="n">
        <f aca="false">IF($A151="",0,INT(($A151-Macrociclo!$C$11)/7)+1)</f>
        <v>0</v>
      </c>
      <c r="C151" s="20"/>
      <c r="D151" s="20"/>
      <c r="E151" s="22"/>
      <c r="F151" s="22"/>
      <c r="G151" s="48" t="n">
        <f aca="false">IF(OR($E151="",$F151=""),0,$E151*$F151)</f>
        <v>0</v>
      </c>
      <c r="H151" s="48" t="n">
        <f aca="false">IF($A151="",0,SUMIFS($G$8:$G$1007,$C$8:$C$1007,$C151,$A$8:$A$1007,"&gt;="&amp;$A151-6,$A$8:$A$1007,"&lt;="&amp;$A151))</f>
        <v>0</v>
      </c>
      <c r="I151" s="48" t="n">
        <f aca="false">IF($A151="",0,SUMIFS($G$8:$G$1007,$C$8:$C$1007,$C151,$A$8:$A$1007,"&gt;="&amp;$A151-27,$A$8:$A$1007,"&lt;="&amp;$A151)/4)</f>
        <v>0</v>
      </c>
      <c r="J151" s="67" t="n">
        <f aca="false">IF(OR($A151="",$I151=0),0,$H151/$I151)</f>
        <v>0</v>
      </c>
      <c r="K151" s="33" t="n">
        <f aca="false">IF($A151="",0,$A151-SUMPRODUCT(MIN(($C$8:$C$1007=$C151)*$A$8:$A$1007+($C$8:$C$1007&lt;&gt;$C151)*100000))+1)</f>
        <v>0</v>
      </c>
      <c r="L151" s="19" t="str">
        <f aca="false">IF($A151="","",IF($J151=0,"Sem registro anterior",IF($K151&lt;21,"Histórico insuficiente",IF($J151&lt;0.8,"Subcarga",IF($J151&lt;=1.3,"Zona ideal",IF($J151&lt;=1.5,"Atenção","Risco elevado"))))))</f>
        <v/>
      </c>
      <c r="M151" s="20"/>
    </row>
    <row r="152" customFormat="false" ht="15" hidden="false" customHeight="false" outlineLevel="0" collapsed="false">
      <c r="A152" s="21"/>
      <c r="B152" s="33" t="n">
        <f aca="false">IF($A152="",0,INT(($A152-Macrociclo!$C$11)/7)+1)</f>
        <v>0</v>
      </c>
      <c r="C152" s="20"/>
      <c r="D152" s="20"/>
      <c r="E152" s="22"/>
      <c r="F152" s="22"/>
      <c r="G152" s="48" t="n">
        <f aca="false">IF(OR($E152="",$F152=""),0,$E152*$F152)</f>
        <v>0</v>
      </c>
      <c r="H152" s="48" t="n">
        <f aca="false">IF($A152="",0,SUMIFS($G$8:$G$1007,$C$8:$C$1007,$C152,$A$8:$A$1007,"&gt;="&amp;$A152-6,$A$8:$A$1007,"&lt;="&amp;$A152))</f>
        <v>0</v>
      </c>
      <c r="I152" s="48" t="n">
        <f aca="false">IF($A152="",0,SUMIFS($G$8:$G$1007,$C$8:$C$1007,$C152,$A$8:$A$1007,"&gt;="&amp;$A152-27,$A$8:$A$1007,"&lt;="&amp;$A152)/4)</f>
        <v>0</v>
      </c>
      <c r="J152" s="67" t="n">
        <f aca="false">IF(OR($A152="",$I152=0),0,$H152/$I152)</f>
        <v>0</v>
      </c>
      <c r="K152" s="33" t="n">
        <f aca="false">IF($A152="",0,$A152-SUMPRODUCT(MIN(($C$8:$C$1007=$C152)*$A$8:$A$1007+($C$8:$C$1007&lt;&gt;$C152)*100000))+1)</f>
        <v>0</v>
      </c>
      <c r="L152" s="19" t="str">
        <f aca="false">IF($A152="","",IF($J152=0,"Sem registro anterior",IF($K152&lt;21,"Histórico insuficiente",IF($J152&lt;0.8,"Subcarga",IF($J152&lt;=1.3,"Zona ideal",IF($J152&lt;=1.5,"Atenção","Risco elevado"))))))</f>
        <v/>
      </c>
      <c r="M152" s="20"/>
    </row>
    <row r="153" customFormat="false" ht="15" hidden="false" customHeight="false" outlineLevel="0" collapsed="false">
      <c r="A153" s="21"/>
      <c r="B153" s="33" t="n">
        <f aca="false">IF($A153="",0,INT(($A153-Macrociclo!$C$11)/7)+1)</f>
        <v>0</v>
      </c>
      <c r="C153" s="20"/>
      <c r="D153" s="20"/>
      <c r="E153" s="22"/>
      <c r="F153" s="22"/>
      <c r="G153" s="48" t="n">
        <f aca="false">IF(OR($E153="",$F153=""),0,$E153*$F153)</f>
        <v>0</v>
      </c>
      <c r="H153" s="48" t="n">
        <f aca="false">IF($A153="",0,SUMIFS($G$8:$G$1007,$C$8:$C$1007,$C153,$A$8:$A$1007,"&gt;="&amp;$A153-6,$A$8:$A$1007,"&lt;="&amp;$A153))</f>
        <v>0</v>
      </c>
      <c r="I153" s="48" t="n">
        <f aca="false">IF($A153="",0,SUMIFS($G$8:$G$1007,$C$8:$C$1007,$C153,$A$8:$A$1007,"&gt;="&amp;$A153-27,$A$8:$A$1007,"&lt;="&amp;$A153)/4)</f>
        <v>0</v>
      </c>
      <c r="J153" s="67" t="n">
        <f aca="false">IF(OR($A153="",$I153=0),0,$H153/$I153)</f>
        <v>0</v>
      </c>
      <c r="K153" s="33" t="n">
        <f aca="false">IF($A153="",0,$A153-SUMPRODUCT(MIN(($C$8:$C$1007=$C153)*$A$8:$A$1007+($C$8:$C$1007&lt;&gt;$C153)*100000))+1)</f>
        <v>0</v>
      </c>
      <c r="L153" s="19" t="str">
        <f aca="false">IF($A153="","",IF($J153=0,"Sem registro anterior",IF($K153&lt;21,"Histórico insuficiente",IF($J153&lt;0.8,"Subcarga",IF($J153&lt;=1.3,"Zona ideal",IF($J153&lt;=1.5,"Atenção","Risco elevado"))))))</f>
        <v/>
      </c>
      <c r="M153" s="20"/>
    </row>
    <row r="154" customFormat="false" ht="15" hidden="false" customHeight="false" outlineLevel="0" collapsed="false">
      <c r="A154" s="21"/>
      <c r="B154" s="33" t="n">
        <f aca="false">IF($A154="",0,INT(($A154-Macrociclo!$C$11)/7)+1)</f>
        <v>0</v>
      </c>
      <c r="C154" s="20"/>
      <c r="D154" s="20"/>
      <c r="E154" s="22"/>
      <c r="F154" s="22"/>
      <c r="G154" s="48" t="n">
        <f aca="false">IF(OR($E154="",$F154=""),0,$E154*$F154)</f>
        <v>0</v>
      </c>
      <c r="H154" s="48" t="n">
        <f aca="false">IF($A154="",0,SUMIFS($G$8:$G$1007,$C$8:$C$1007,$C154,$A$8:$A$1007,"&gt;="&amp;$A154-6,$A$8:$A$1007,"&lt;="&amp;$A154))</f>
        <v>0</v>
      </c>
      <c r="I154" s="48" t="n">
        <f aca="false">IF($A154="",0,SUMIFS($G$8:$G$1007,$C$8:$C$1007,$C154,$A$8:$A$1007,"&gt;="&amp;$A154-27,$A$8:$A$1007,"&lt;="&amp;$A154)/4)</f>
        <v>0</v>
      </c>
      <c r="J154" s="67" t="n">
        <f aca="false">IF(OR($A154="",$I154=0),0,$H154/$I154)</f>
        <v>0</v>
      </c>
      <c r="K154" s="33" t="n">
        <f aca="false">IF($A154="",0,$A154-SUMPRODUCT(MIN(($C$8:$C$1007=$C154)*$A$8:$A$1007+($C$8:$C$1007&lt;&gt;$C154)*100000))+1)</f>
        <v>0</v>
      </c>
      <c r="L154" s="19" t="str">
        <f aca="false">IF($A154="","",IF($J154=0,"Sem registro anterior",IF($K154&lt;21,"Histórico insuficiente",IF($J154&lt;0.8,"Subcarga",IF($J154&lt;=1.3,"Zona ideal",IF($J154&lt;=1.5,"Atenção","Risco elevado"))))))</f>
        <v/>
      </c>
      <c r="M154" s="20"/>
    </row>
    <row r="155" customFormat="false" ht="15" hidden="false" customHeight="false" outlineLevel="0" collapsed="false">
      <c r="A155" s="21"/>
      <c r="B155" s="33" t="n">
        <f aca="false">IF($A155="",0,INT(($A155-Macrociclo!$C$11)/7)+1)</f>
        <v>0</v>
      </c>
      <c r="C155" s="20"/>
      <c r="D155" s="20"/>
      <c r="E155" s="22"/>
      <c r="F155" s="22"/>
      <c r="G155" s="48" t="n">
        <f aca="false">IF(OR($E155="",$F155=""),0,$E155*$F155)</f>
        <v>0</v>
      </c>
      <c r="H155" s="48" t="n">
        <f aca="false">IF($A155="",0,SUMIFS($G$8:$G$1007,$C$8:$C$1007,$C155,$A$8:$A$1007,"&gt;="&amp;$A155-6,$A$8:$A$1007,"&lt;="&amp;$A155))</f>
        <v>0</v>
      </c>
      <c r="I155" s="48" t="n">
        <f aca="false">IF($A155="",0,SUMIFS($G$8:$G$1007,$C$8:$C$1007,$C155,$A$8:$A$1007,"&gt;="&amp;$A155-27,$A$8:$A$1007,"&lt;="&amp;$A155)/4)</f>
        <v>0</v>
      </c>
      <c r="J155" s="67" t="n">
        <f aca="false">IF(OR($A155="",$I155=0),0,$H155/$I155)</f>
        <v>0</v>
      </c>
      <c r="K155" s="33" t="n">
        <f aca="false">IF($A155="",0,$A155-SUMPRODUCT(MIN(($C$8:$C$1007=$C155)*$A$8:$A$1007+($C$8:$C$1007&lt;&gt;$C155)*100000))+1)</f>
        <v>0</v>
      </c>
      <c r="L155" s="19" t="str">
        <f aca="false">IF($A155="","",IF($J155=0,"Sem registro anterior",IF($K155&lt;21,"Histórico insuficiente",IF($J155&lt;0.8,"Subcarga",IF($J155&lt;=1.3,"Zona ideal",IF($J155&lt;=1.5,"Atenção","Risco elevado"))))))</f>
        <v/>
      </c>
      <c r="M155" s="20"/>
    </row>
    <row r="156" customFormat="false" ht="15" hidden="false" customHeight="false" outlineLevel="0" collapsed="false">
      <c r="A156" s="21"/>
      <c r="B156" s="33" t="n">
        <f aca="false">IF($A156="",0,INT(($A156-Macrociclo!$C$11)/7)+1)</f>
        <v>0</v>
      </c>
      <c r="C156" s="20"/>
      <c r="D156" s="20"/>
      <c r="E156" s="22"/>
      <c r="F156" s="22"/>
      <c r="G156" s="48" t="n">
        <f aca="false">IF(OR($E156="",$F156=""),0,$E156*$F156)</f>
        <v>0</v>
      </c>
      <c r="H156" s="48" t="n">
        <f aca="false">IF($A156="",0,SUMIFS($G$8:$G$1007,$C$8:$C$1007,$C156,$A$8:$A$1007,"&gt;="&amp;$A156-6,$A$8:$A$1007,"&lt;="&amp;$A156))</f>
        <v>0</v>
      </c>
      <c r="I156" s="48" t="n">
        <f aca="false">IF($A156="",0,SUMIFS($G$8:$G$1007,$C$8:$C$1007,$C156,$A$8:$A$1007,"&gt;="&amp;$A156-27,$A$8:$A$1007,"&lt;="&amp;$A156)/4)</f>
        <v>0</v>
      </c>
      <c r="J156" s="67" t="n">
        <f aca="false">IF(OR($A156="",$I156=0),0,$H156/$I156)</f>
        <v>0</v>
      </c>
      <c r="K156" s="33" t="n">
        <f aca="false">IF($A156="",0,$A156-SUMPRODUCT(MIN(($C$8:$C$1007=$C156)*$A$8:$A$1007+($C$8:$C$1007&lt;&gt;$C156)*100000))+1)</f>
        <v>0</v>
      </c>
      <c r="L156" s="19" t="str">
        <f aca="false">IF($A156="","",IF($J156=0,"Sem registro anterior",IF($K156&lt;21,"Histórico insuficiente",IF($J156&lt;0.8,"Subcarga",IF($J156&lt;=1.3,"Zona ideal",IF($J156&lt;=1.5,"Atenção","Risco elevado"))))))</f>
        <v/>
      </c>
      <c r="M156" s="20"/>
    </row>
    <row r="157" customFormat="false" ht="15" hidden="false" customHeight="false" outlineLevel="0" collapsed="false">
      <c r="A157" s="21"/>
      <c r="B157" s="33" t="n">
        <f aca="false">IF($A157="",0,INT(($A157-Macrociclo!$C$11)/7)+1)</f>
        <v>0</v>
      </c>
      <c r="C157" s="20"/>
      <c r="D157" s="20"/>
      <c r="E157" s="22"/>
      <c r="F157" s="22"/>
      <c r="G157" s="48" t="n">
        <f aca="false">IF(OR($E157="",$F157=""),0,$E157*$F157)</f>
        <v>0</v>
      </c>
      <c r="H157" s="48" t="n">
        <f aca="false">IF($A157="",0,SUMIFS($G$8:$G$1007,$C$8:$C$1007,$C157,$A$8:$A$1007,"&gt;="&amp;$A157-6,$A$8:$A$1007,"&lt;="&amp;$A157))</f>
        <v>0</v>
      </c>
      <c r="I157" s="48" t="n">
        <f aca="false">IF($A157="",0,SUMIFS($G$8:$G$1007,$C$8:$C$1007,$C157,$A$8:$A$1007,"&gt;="&amp;$A157-27,$A$8:$A$1007,"&lt;="&amp;$A157)/4)</f>
        <v>0</v>
      </c>
      <c r="J157" s="67" t="n">
        <f aca="false">IF(OR($A157="",$I157=0),0,$H157/$I157)</f>
        <v>0</v>
      </c>
      <c r="K157" s="33" t="n">
        <f aca="false">IF($A157="",0,$A157-SUMPRODUCT(MIN(($C$8:$C$1007=$C157)*$A$8:$A$1007+($C$8:$C$1007&lt;&gt;$C157)*100000))+1)</f>
        <v>0</v>
      </c>
      <c r="L157" s="19" t="str">
        <f aca="false">IF($A157="","",IF($J157=0,"Sem registro anterior",IF($K157&lt;21,"Histórico insuficiente",IF($J157&lt;0.8,"Subcarga",IF($J157&lt;=1.3,"Zona ideal",IF($J157&lt;=1.5,"Atenção","Risco elevado"))))))</f>
        <v/>
      </c>
      <c r="M157" s="20"/>
    </row>
    <row r="158" customFormat="false" ht="15" hidden="false" customHeight="false" outlineLevel="0" collapsed="false">
      <c r="A158" s="21"/>
      <c r="B158" s="33" t="n">
        <f aca="false">IF($A158="",0,INT(($A158-Macrociclo!$C$11)/7)+1)</f>
        <v>0</v>
      </c>
      <c r="C158" s="20"/>
      <c r="D158" s="20"/>
      <c r="E158" s="22"/>
      <c r="F158" s="22"/>
      <c r="G158" s="48" t="n">
        <f aca="false">IF(OR($E158="",$F158=""),0,$E158*$F158)</f>
        <v>0</v>
      </c>
      <c r="H158" s="48" t="n">
        <f aca="false">IF($A158="",0,SUMIFS($G$8:$G$1007,$C$8:$C$1007,$C158,$A$8:$A$1007,"&gt;="&amp;$A158-6,$A$8:$A$1007,"&lt;="&amp;$A158))</f>
        <v>0</v>
      </c>
      <c r="I158" s="48" t="n">
        <f aca="false">IF($A158="",0,SUMIFS($G$8:$G$1007,$C$8:$C$1007,$C158,$A$8:$A$1007,"&gt;="&amp;$A158-27,$A$8:$A$1007,"&lt;="&amp;$A158)/4)</f>
        <v>0</v>
      </c>
      <c r="J158" s="67" t="n">
        <f aca="false">IF(OR($A158="",$I158=0),0,$H158/$I158)</f>
        <v>0</v>
      </c>
      <c r="K158" s="33" t="n">
        <f aca="false">IF($A158="",0,$A158-SUMPRODUCT(MIN(($C$8:$C$1007=$C158)*$A$8:$A$1007+($C$8:$C$1007&lt;&gt;$C158)*100000))+1)</f>
        <v>0</v>
      </c>
      <c r="L158" s="19" t="str">
        <f aca="false">IF($A158="","",IF($J158=0,"Sem registro anterior",IF($K158&lt;21,"Histórico insuficiente",IF($J158&lt;0.8,"Subcarga",IF($J158&lt;=1.3,"Zona ideal",IF($J158&lt;=1.5,"Atenção","Risco elevado"))))))</f>
        <v/>
      </c>
      <c r="M158" s="20"/>
    </row>
    <row r="159" customFormat="false" ht="15" hidden="false" customHeight="false" outlineLevel="0" collapsed="false">
      <c r="A159" s="21"/>
      <c r="B159" s="33" t="n">
        <f aca="false">IF($A159="",0,INT(($A159-Macrociclo!$C$11)/7)+1)</f>
        <v>0</v>
      </c>
      <c r="C159" s="20"/>
      <c r="D159" s="20"/>
      <c r="E159" s="22"/>
      <c r="F159" s="22"/>
      <c r="G159" s="48" t="n">
        <f aca="false">IF(OR($E159="",$F159=""),0,$E159*$F159)</f>
        <v>0</v>
      </c>
      <c r="H159" s="48" t="n">
        <f aca="false">IF($A159="",0,SUMIFS($G$8:$G$1007,$C$8:$C$1007,$C159,$A$8:$A$1007,"&gt;="&amp;$A159-6,$A$8:$A$1007,"&lt;="&amp;$A159))</f>
        <v>0</v>
      </c>
      <c r="I159" s="48" t="n">
        <f aca="false">IF($A159="",0,SUMIFS($G$8:$G$1007,$C$8:$C$1007,$C159,$A$8:$A$1007,"&gt;="&amp;$A159-27,$A$8:$A$1007,"&lt;="&amp;$A159)/4)</f>
        <v>0</v>
      </c>
      <c r="J159" s="67" t="n">
        <f aca="false">IF(OR($A159="",$I159=0),0,$H159/$I159)</f>
        <v>0</v>
      </c>
      <c r="K159" s="33" t="n">
        <f aca="false">IF($A159="",0,$A159-SUMPRODUCT(MIN(($C$8:$C$1007=$C159)*$A$8:$A$1007+($C$8:$C$1007&lt;&gt;$C159)*100000))+1)</f>
        <v>0</v>
      </c>
      <c r="L159" s="19" t="str">
        <f aca="false">IF($A159="","",IF($J159=0,"Sem registro anterior",IF($K159&lt;21,"Histórico insuficiente",IF($J159&lt;0.8,"Subcarga",IF($J159&lt;=1.3,"Zona ideal",IF($J159&lt;=1.5,"Atenção","Risco elevado"))))))</f>
        <v/>
      </c>
      <c r="M159" s="20"/>
    </row>
    <row r="160" customFormat="false" ht="15" hidden="false" customHeight="false" outlineLevel="0" collapsed="false">
      <c r="A160" s="21"/>
      <c r="B160" s="33" t="n">
        <f aca="false">IF($A160="",0,INT(($A160-Macrociclo!$C$11)/7)+1)</f>
        <v>0</v>
      </c>
      <c r="C160" s="20"/>
      <c r="D160" s="20"/>
      <c r="E160" s="22"/>
      <c r="F160" s="22"/>
      <c r="G160" s="48" t="n">
        <f aca="false">IF(OR($E160="",$F160=""),0,$E160*$F160)</f>
        <v>0</v>
      </c>
      <c r="H160" s="48" t="n">
        <f aca="false">IF($A160="",0,SUMIFS($G$8:$G$1007,$C$8:$C$1007,$C160,$A$8:$A$1007,"&gt;="&amp;$A160-6,$A$8:$A$1007,"&lt;="&amp;$A160))</f>
        <v>0</v>
      </c>
      <c r="I160" s="48" t="n">
        <f aca="false">IF($A160="",0,SUMIFS($G$8:$G$1007,$C$8:$C$1007,$C160,$A$8:$A$1007,"&gt;="&amp;$A160-27,$A$8:$A$1007,"&lt;="&amp;$A160)/4)</f>
        <v>0</v>
      </c>
      <c r="J160" s="67" t="n">
        <f aca="false">IF(OR($A160="",$I160=0),0,$H160/$I160)</f>
        <v>0</v>
      </c>
      <c r="K160" s="33" t="n">
        <f aca="false">IF($A160="",0,$A160-SUMPRODUCT(MIN(($C$8:$C$1007=$C160)*$A$8:$A$1007+($C$8:$C$1007&lt;&gt;$C160)*100000))+1)</f>
        <v>0</v>
      </c>
      <c r="L160" s="19" t="str">
        <f aca="false">IF($A160="","",IF($J160=0,"Sem registro anterior",IF($K160&lt;21,"Histórico insuficiente",IF($J160&lt;0.8,"Subcarga",IF($J160&lt;=1.3,"Zona ideal",IF($J160&lt;=1.5,"Atenção","Risco elevado"))))))</f>
        <v/>
      </c>
      <c r="M160" s="20"/>
    </row>
    <row r="161" customFormat="false" ht="15" hidden="false" customHeight="false" outlineLevel="0" collapsed="false">
      <c r="A161" s="21"/>
      <c r="B161" s="33" t="n">
        <f aca="false">IF($A161="",0,INT(($A161-Macrociclo!$C$11)/7)+1)</f>
        <v>0</v>
      </c>
      <c r="C161" s="20"/>
      <c r="D161" s="20"/>
      <c r="E161" s="22"/>
      <c r="F161" s="22"/>
      <c r="G161" s="48" t="n">
        <f aca="false">IF(OR($E161="",$F161=""),0,$E161*$F161)</f>
        <v>0</v>
      </c>
      <c r="H161" s="48" t="n">
        <f aca="false">IF($A161="",0,SUMIFS($G$8:$G$1007,$C$8:$C$1007,$C161,$A$8:$A$1007,"&gt;="&amp;$A161-6,$A$8:$A$1007,"&lt;="&amp;$A161))</f>
        <v>0</v>
      </c>
      <c r="I161" s="48" t="n">
        <f aca="false">IF($A161="",0,SUMIFS($G$8:$G$1007,$C$8:$C$1007,$C161,$A$8:$A$1007,"&gt;="&amp;$A161-27,$A$8:$A$1007,"&lt;="&amp;$A161)/4)</f>
        <v>0</v>
      </c>
      <c r="J161" s="67" t="n">
        <f aca="false">IF(OR($A161="",$I161=0),0,$H161/$I161)</f>
        <v>0</v>
      </c>
      <c r="K161" s="33" t="n">
        <f aca="false">IF($A161="",0,$A161-SUMPRODUCT(MIN(($C$8:$C$1007=$C161)*$A$8:$A$1007+($C$8:$C$1007&lt;&gt;$C161)*100000))+1)</f>
        <v>0</v>
      </c>
      <c r="L161" s="19" t="str">
        <f aca="false">IF($A161="","",IF($J161=0,"Sem registro anterior",IF($K161&lt;21,"Histórico insuficiente",IF($J161&lt;0.8,"Subcarga",IF($J161&lt;=1.3,"Zona ideal",IF($J161&lt;=1.5,"Atenção","Risco elevado"))))))</f>
        <v/>
      </c>
      <c r="M161" s="20"/>
    </row>
    <row r="162" customFormat="false" ht="15" hidden="false" customHeight="false" outlineLevel="0" collapsed="false">
      <c r="A162" s="21"/>
      <c r="B162" s="33" t="n">
        <f aca="false">IF($A162="",0,INT(($A162-Macrociclo!$C$11)/7)+1)</f>
        <v>0</v>
      </c>
      <c r="C162" s="20"/>
      <c r="D162" s="20"/>
      <c r="E162" s="22"/>
      <c r="F162" s="22"/>
      <c r="G162" s="48" t="n">
        <f aca="false">IF(OR($E162="",$F162=""),0,$E162*$F162)</f>
        <v>0</v>
      </c>
      <c r="H162" s="48" t="n">
        <f aca="false">IF($A162="",0,SUMIFS($G$8:$G$1007,$C$8:$C$1007,$C162,$A$8:$A$1007,"&gt;="&amp;$A162-6,$A$8:$A$1007,"&lt;="&amp;$A162))</f>
        <v>0</v>
      </c>
      <c r="I162" s="48" t="n">
        <f aca="false">IF($A162="",0,SUMIFS($G$8:$G$1007,$C$8:$C$1007,$C162,$A$8:$A$1007,"&gt;="&amp;$A162-27,$A$8:$A$1007,"&lt;="&amp;$A162)/4)</f>
        <v>0</v>
      </c>
      <c r="J162" s="67" t="n">
        <f aca="false">IF(OR($A162="",$I162=0),0,$H162/$I162)</f>
        <v>0</v>
      </c>
      <c r="K162" s="33" t="n">
        <f aca="false">IF($A162="",0,$A162-SUMPRODUCT(MIN(($C$8:$C$1007=$C162)*$A$8:$A$1007+($C$8:$C$1007&lt;&gt;$C162)*100000))+1)</f>
        <v>0</v>
      </c>
      <c r="L162" s="19" t="str">
        <f aca="false">IF($A162="","",IF($J162=0,"Sem registro anterior",IF($K162&lt;21,"Histórico insuficiente",IF($J162&lt;0.8,"Subcarga",IF($J162&lt;=1.3,"Zona ideal",IF($J162&lt;=1.5,"Atenção","Risco elevado"))))))</f>
        <v/>
      </c>
      <c r="M162" s="20"/>
    </row>
    <row r="163" customFormat="false" ht="15" hidden="false" customHeight="false" outlineLevel="0" collapsed="false">
      <c r="A163" s="21"/>
      <c r="B163" s="33" t="n">
        <f aca="false">IF($A163="",0,INT(($A163-Macrociclo!$C$11)/7)+1)</f>
        <v>0</v>
      </c>
      <c r="C163" s="20"/>
      <c r="D163" s="20"/>
      <c r="E163" s="22"/>
      <c r="F163" s="22"/>
      <c r="G163" s="48" t="n">
        <f aca="false">IF(OR($E163="",$F163=""),0,$E163*$F163)</f>
        <v>0</v>
      </c>
      <c r="H163" s="48" t="n">
        <f aca="false">IF($A163="",0,SUMIFS($G$8:$G$1007,$C$8:$C$1007,$C163,$A$8:$A$1007,"&gt;="&amp;$A163-6,$A$8:$A$1007,"&lt;="&amp;$A163))</f>
        <v>0</v>
      </c>
      <c r="I163" s="48" t="n">
        <f aca="false">IF($A163="",0,SUMIFS($G$8:$G$1007,$C$8:$C$1007,$C163,$A$8:$A$1007,"&gt;="&amp;$A163-27,$A$8:$A$1007,"&lt;="&amp;$A163)/4)</f>
        <v>0</v>
      </c>
      <c r="J163" s="67" t="n">
        <f aca="false">IF(OR($A163="",$I163=0),0,$H163/$I163)</f>
        <v>0</v>
      </c>
      <c r="K163" s="33" t="n">
        <f aca="false">IF($A163="",0,$A163-SUMPRODUCT(MIN(($C$8:$C$1007=$C163)*$A$8:$A$1007+($C$8:$C$1007&lt;&gt;$C163)*100000))+1)</f>
        <v>0</v>
      </c>
      <c r="L163" s="19" t="str">
        <f aca="false">IF($A163="","",IF($J163=0,"Sem registro anterior",IF($K163&lt;21,"Histórico insuficiente",IF($J163&lt;0.8,"Subcarga",IF($J163&lt;=1.3,"Zona ideal",IF($J163&lt;=1.5,"Atenção","Risco elevado"))))))</f>
        <v/>
      </c>
      <c r="M163" s="20"/>
    </row>
    <row r="164" customFormat="false" ht="15" hidden="false" customHeight="false" outlineLevel="0" collapsed="false">
      <c r="A164" s="21"/>
      <c r="B164" s="33" t="n">
        <f aca="false">IF($A164="",0,INT(($A164-Macrociclo!$C$11)/7)+1)</f>
        <v>0</v>
      </c>
      <c r="C164" s="20"/>
      <c r="D164" s="20"/>
      <c r="E164" s="22"/>
      <c r="F164" s="22"/>
      <c r="G164" s="48" t="n">
        <f aca="false">IF(OR($E164="",$F164=""),0,$E164*$F164)</f>
        <v>0</v>
      </c>
      <c r="H164" s="48" t="n">
        <f aca="false">IF($A164="",0,SUMIFS($G$8:$G$1007,$C$8:$C$1007,$C164,$A$8:$A$1007,"&gt;="&amp;$A164-6,$A$8:$A$1007,"&lt;="&amp;$A164))</f>
        <v>0</v>
      </c>
      <c r="I164" s="48" t="n">
        <f aca="false">IF($A164="",0,SUMIFS($G$8:$G$1007,$C$8:$C$1007,$C164,$A$8:$A$1007,"&gt;="&amp;$A164-27,$A$8:$A$1007,"&lt;="&amp;$A164)/4)</f>
        <v>0</v>
      </c>
      <c r="J164" s="67" t="n">
        <f aca="false">IF(OR($A164="",$I164=0),0,$H164/$I164)</f>
        <v>0</v>
      </c>
      <c r="K164" s="33" t="n">
        <f aca="false">IF($A164="",0,$A164-SUMPRODUCT(MIN(($C$8:$C$1007=$C164)*$A$8:$A$1007+($C$8:$C$1007&lt;&gt;$C164)*100000))+1)</f>
        <v>0</v>
      </c>
      <c r="L164" s="19" t="str">
        <f aca="false">IF($A164="","",IF($J164=0,"Sem registro anterior",IF($K164&lt;21,"Histórico insuficiente",IF($J164&lt;0.8,"Subcarga",IF($J164&lt;=1.3,"Zona ideal",IF($J164&lt;=1.5,"Atenção","Risco elevado"))))))</f>
        <v/>
      </c>
      <c r="M164" s="20"/>
    </row>
    <row r="165" customFormat="false" ht="15" hidden="false" customHeight="false" outlineLevel="0" collapsed="false">
      <c r="A165" s="21"/>
      <c r="B165" s="33" t="n">
        <f aca="false">IF($A165="",0,INT(($A165-Macrociclo!$C$11)/7)+1)</f>
        <v>0</v>
      </c>
      <c r="C165" s="20"/>
      <c r="D165" s="20"/>
      <c r="E165" s="22"/>
      <c r="F165" s="22"/>
      <c r="G165" s="48" t="n">
        <f aca="false">IF(OR($E165="",$F165=""),0,$E165*$F165)</f>
        <v>0</v>
      </c>
      <c r="H165" s="48" t="n">
        <f aca="false">IF($A165="",0,SUMIFS($G$8:$G$1007,$C$8:$C$1007,$C165,$A$8:$A$1007,"&gt;="&amp;$A165-6,$A$8:$A$1007,"&lt;="&amp;$A165))</f>
        <v>0</v>
      </c>
      <c r="I165" s="48" t="n">
        <f aca="false">IF($A165="",0,SUMIFS($G$8:$G$1007,$C$8:$C$1007,$C165,$A$8:$A$1007,"&gt;="&amp;$A165-27,$A$8:$A$1007,"&lt;="&amp;$A165)/4)</f>
        <v>0</v>
      </c>
      <c r="J165" s="67" t="n">
        <f aca="false">IF(OR($A165="",$I165=0),0,$H165/$I165)</f>
        <v>0</v>
      </c>
      <c r="K165" s="33" t="n">
        <f aca="false">IF($A165="",0,$A165-SUMPRODUCT(MIN(($C$8:$C$1007=$C165)*$A$8:$A$1007+($C$8:$C$1007&lt;&gt;$C165)*100000))+1)</f>
        <v>0</v>
      </c>
      <c r="L165" s="19" t="str">
        <f aca="false">IF($A165="","",IF($J165=0,"Sem registro anterior",IF($K165&lt;21,"Histórico insuficiente",IF($J165&lt;0.8,"Subcarga",IF($J165&lt;=1.3,"Zona ideal",IF($J165&lt;=1.5,"Atenção","Risco elevado"))))))</f>
        <v/>
      </c>
      <c r="M165" s="20"/>
    </row>
    <row r="166" customFormat="false" ht="15" hidden="false" customHeight="false" outlineLevel="0" collapsed="false">
      <c r="A166" s="21"/>
      <c r="B166" s="33" t="n">
        <f aca="false">IF($A166="",0,INT(($A166-Macrociclo!$C$11)/7)+1)</f>
        <v>0</v>
      </c>
      <c r="C166" s="20"/>
      <c r="D166" s="20"/>
      <c r="E166" s="22"/>
      <c r="F166" s="22"/>
      <c r="G166" s="48" t="n">
        <f aca="false">IF(OR($E166="",$F166=""),0,$E166*$F166)</f>
        <v>0</v>
      </c>
      <c r="H166" s="48" t="n">
        <f aca="false">IF($A166="",0,SUMIFS($G$8:$G$1007,$C$8:$C$1007,$C166,$A$8:$A$1007,"&gt;="&amp;$A166-6,$A$8:$A$1007,"&lt;="&amp;$A166))</f>
        <v>0</v>
      </c>
      <c r="I166" s="48" t="n">
        <f aca="false">IF($A166="",0,SUMIFS($G$8:$G$1007,$C$8:$C$1007,$C166,$A$8:$A$1007,"&gt;="&amp;$A166-27,$A$8:$A$1007,"&lt;="&amp;$A166)/4)</f>
        <v>0</v>
      </c>
      <c r="J166" s="67" t="n">
        <f aca="false">IF(OR($A166="",$I166=0),0,$H166/$I166)</f>
        <v>0</v>
      </c>
      <c r="K166" s="33" t="n">
        <f aca="false">IF($A166="",0,$A166-SUMPRODUCT(MIN(($C$8:$C$1007=$C166)*$A$8:$A$1007+($C$8:$C$1007&lt;&gt;$C166)*100000))+1)</f>
        <v>0</v>
      </c>
      <c r="L166" s="19" t="str">
        <f aca="false">IF($A166="","",IF($J166=0,"Sem registro anterior",IF($K166&lt;21,"Histórico insuficiente",IF($J166&lt;0.8,"Subcarga",IF($J166&lt;=1.3,"Zona ideal",IF($J166&lt;=1.5,"Atenção","Risco elevado"))))))</f>
        <v/>
      </c>
      <c r="M166" s="20"/>
    </row>
    <row r="167" customFormat="false" ht="15" hidden="false" customHeight="false" outlineLevel="0" collapsed="false">
      <c r="A167" s="21"/>
      <c r="B167" s="33" t="n">
        <f aca="false">IF($A167="",0,INT(($A167-Macrociclo!$C$11)/7)+1)</f>
        <v>0</v>
      </c>
      <c r="C167" s="20"/>
      <c r="D167" s="20"/>
      <c r="E167" s="22"/>
      <c r="F167" s="22"/>
      <c r="G167" s="48" t="n">
        <f aca="false">IF(OR($E167="",$F167=""),0,$E167*$F167)</f>
        <v>0</v>
      </c>
      <c r="H167" s="48" t="n">
        <f aca="false">IF($A167="",0,SUMIFS($G$8:$G$1007,$C$8:$C$1007,$C167,$A$8:$A$1007,"&gt;="&amp;$A167-6,$A$8:$A$1007,"&lt;="&amp;$A167))</f>
        <v>0</v>
      </c>
      <c r="I167" s="48" t="n">
        <f aca="false">IF($A167="",0,SUMIFS($G$8:$G$1007,$C$8:$C$1007,$C167,$A$8:$A$1007,"&gt;="&amp;$A167-27,$A$8:$A$1007,"&lt;="&amp;$A167)/4)</f>
        <v>0</v>
      </c>
      <c r="J167" s="67" t="n">
        <f aca="false">IF(OR($A167="",$I167=0),0,$H167/$I167)</f>
        <v>0</v>
      </c>
      <c r="K167" s="33" t="n">
        <f aca="false">IF($A167="",0,$A167-SUMPRODUCT(MIN(($C$8:$C$1007=$C167)*$A$8:$A$1007+($C$8:$C$1007&lt;&gt;$C167)*100000))+1)</f>
        <v>0</v>
      </c>
      <c r="L167" s="19" t="str">
        <f aca="false">IF($A167="","",IF($J167=0,"Sem registro anterior",IF($K167&lt;21,"Histórico insuficiente",IF($J167&lt;0.8,"Subcarga",IF($J167&lt;=1.3,"Zona ideal",IF($J167&lt;=1.5,"Atenção","Risco elevado"))))))</f>
        <v/>
      </c>
      <c r="M167" s="20"/>
    </row>
    <row r="168" customFormat="false" ht="15" hidden="false" customHeight="false" outlineLevel="0" collapsed="false">
      <c r="A168" s="21"/>
      <c r="B168" s="33" t="n">
        <f aca="false">IF($A168="",0,INT(($A168-Macrociclo!$C$11)/7)+1)</f>
        <v>0</v>
      </c>
      <c r="C168" s="20"/>
      <c r="D168" s="20"/>
      <c r="E168" s="22"/>
      <c r="F168" s="22"/>
      <c r="G168" s="48" t="n">
        <f aca="false">IF(OR($E168="",$F168=""),0,$E168*$F168)</f>
        <v>0</v>
      </c>
      <c r="H168" s="48" t="n">
        <f aca="false">IF($A168="",0,SUMIFS($G$8:$G$1007,$C$8:$C$1007,$C168,$A$8:$A$1007,"&gt;="&amp;$A168-6,$A$8:$A$1007,"&lt;="&amp;$A168))</f>
        <v>0</v>
      </c>
      <c r="I168" s="48" t="n">
        <f aca="false">IF($A168="",0,SUMIFS($G$8:$G$1007,$C$8:$C$1007,$C168,$A$8:$A$1007,"&gt;="&amp;$A168-27,$A$8:$A$1007,"&lt;="&amp;$A168)/4)</f>
        <v>0</v>
      </c>
      <c r="J168" s="67" t="n">
        <f aca="false">IF(OR($A168="",$I168=0),0,$H168/$I168)</f>
        <v>0</v>
      </c>
      <c r="K168" s="33" t="n">
        <f aca="false">IF($A168="",0,$A168-SUMPRODUCT(MIN(($C$8:$C$1007=$C168)*$A$8:$A$1007+($C$8:$C$1007&lt;&gt;$C168)*100000))+1)</f>
        <v>0</v>
      </c>
      <c r="L168" s="19" t="str">
        <f aca="false">IF($A168="","",IF($J168=0,"Sem registro anterior",IF($K168&lt;21,"Histórico insuficiente",IF($J168&lt;0.8,"Subcarga",IF($J168&lt;=1.3,"Zona ideal",IF($J168&lt;=1.5,"Atenção","Risco elevado"))))))</f>
        <v/>
      </c>
      <c r="M168" s="20"/>
    </row>
    <row r="169" customFormat="false" ht="15" hidden="false" customHeight="false" outlineLevel="0" collapsed="false">
      <c r="A169" s="21"/>
      <c r="B169" s="33" t="n">
        <f aca="false">IF($A169="",0,INT(($A169-Macrociclo!$C$11)/7)+1)</f>
        <v>0</v>
      </c>
      <c r="C169" s="20"/>
      <c r="D169" s="20"/>
      <c r="E169" s="22"/>
      <c r="F169" s="22"/>
      <c r="G169" s="48" t="n">
        <f aca="false">IF(OR($E169="",$F169=""),0,$E169*$F169)</f>
        <v>0</v>
      </c>
      <c r="H169" s="48" t="n">
        <f aca="false">IF($A169="",0,SUMIFS($G$8:$G$1007,$C$8:$C$1007,$C169,$A$8:$A$1007,"&gt;="&amp;$A169-6,$A$8:$A$1007,"&lt;="&amp;$A169))</f>
        <v>0</v>
      </c>
      <c r="I169" s="48" t="n">
        <f aca="false">IF($A169="",0,SUMIFS($G$8:$G$1007,$C$8:$C$1007,$C169,$A$8:$A$1007,"&gt;="&amp;$A169-27,$A$8:$A$1007,"&lt;="&amp;$A169)/4)</f>
        <v>0</v>
      </c>
      <c r="J169" s="67" t="n">
        <f aca="false">IF(OR($A169="",$I169=0),0,$H169/$I169)</f>
        <v>0</v>
      </c>
      <c r="K169" s="33" t="n">
        <f aca="false">IF($A169="",0,$A169-SUMPRODUCT(MIN(($C$8:$C$1007=$C169)*$A$8:$A$1007+($C$8:$C$1007&lt;&gt;$C169)*100000))+1)</f>
        <v>0</v>
      </c>
      <c r="L169" s="19" t="str">
        <f aca="false">IF($A169="","",IF($J169=0,"Sem registro anterior",IF($K169&lt;21,"Histórico insuficiente",IF($J169&lt;0.8,"Subcarga",IF($J169&lt;=1.3,"Zona ideal",IF($J169&lt;=1.5,"Atenção","Risco elevado"))))))</f>
        <v/>
      </c>
      <c r="M169" s="20"/>
    </row>
    <row r="170" customFormat="false" ht="15" hidden="false" customHeight="false" outlineLevel="0" collapsed="false">
      <c r="A170" s="21"/>
      <c r="B170" s="33" t="n">
        <f aca="false">IF($A170="",0,INT(($A170-Macrociclo!$C$11)/7)+1)</f>
        <v>0</v>
      </c>
      <c r="C170" s="20"/>
      <c r="D170" s="20"/>
      <c r="E170" s="22"/>
      <c r="F170" s="22"/>
      <c r="G170" s="48" t="n">
        <f aca="false">IF(OR($E170="",$F170=""),0,$E170*$F170)</f>
        <v>0</v>
      </c>
      <c r="H170" s="48" t="n">
        <f aca="false">IF($A170="",0,SUMIFS($G$8:$G$1007,$C$8:$C$1007,$C170,$A$8:$A$1007,"&gt;="&amp;$A170-6,$A$8:$A$1007,"&lt;="&amp;$A170))</f>
        <v>0</v>
      </c>
      <c r="I170" s="48" t="n">
        <f aca="false">IF($A170="",0,SUMIFS($G$8:$G$1007,$C$8:$C$1007,$C170,$A$8:$A$1007,"&gt;="&amp;$A170-27,$A$8:$A$1007,"&lt;="&amp;$A170)/4)</f>
        <v>0</v>
      </c>
      <c r="J170" s="67" t="n">
        <f aca="false">IF(OR($A170="",$I170=0),0,$H170/$I170)</f>
        <v>0</v>
      </c>
      <c r="K170" s="33" t="n">
        <f aca="false">IF($A170="",0,$A170-SUMPRODUCT(MIN(($C$8:$C$1007=$C170)*$A$8:$A$1007+($C$8:$C$1007&lt;&gt;$C170)*100000))+1)</f>
        <v>0</v>
      </c>
      <c r="L170" s="19" t="str">
        <f aca="false">IF($A170="","",IF($J170=0,"Sem registro anterior",IF($K170&lt;21,"Histórico insuficiente",IF($J170&lt;0.8,"Subcarga",IF($J170&lt;=1.3,"Zona ideal",IF($J170&lt;=1.5,"Atenção","Risco elevado"))))))</f>
        <v/>
      </c>
      <c r="M170" s="20"/>
    </row>
    <row r="171" customFormat="false" ht="15" hidden="false" customHeight="false" outlineLevel="0" collapsed="false">
      <c r="A171" s="21"/>
      <c r="B171" s="33" t="n">
        <f aca="false">IF($A171="",0,INT(($A171-Macrociclo!$C$11)/7)+1)</f>
        <v>0</v>
      </c>
      <c r="C171" s="20"/>
      <c r="D171" s="20"/>
      <c r="E171" s="22"/>
      <c r="F171" s="22"/>
      <c r="G171" s="48" t="n">
        <f aca="false">IF(OR($E171="",$F171=""),0,$E171*$F171)</f>
        <v>0</v>
      </c>
      <c r="H171" s="48" t="n">
        <f aca="false">IF($A171="",0,SUMIFS($G$8:$G$1007,$C$8:$C$1007,$C171,$A$8:$A$1007,"&gt;="&amp;$A171-6,$A$8:$A$1007,"&lt;="&amp;$A171))</f>
        <v>0</v>
      </c>
      <c r="I171" s="48" t="n">
        <f aca="false">IF($A171="",0,SUMIFS($G$8:$G$1007,$C$8:$C$1007,$C171,$A$8:$A$1007,"&gt;="&amp;$A171-27,$A$8:$A$1007,"&lt;="&amp;$A171)/4)</f>
        <v>0</v>
      </c>
      <c r="J171" s="67" t="n">
        <f aca="false">IF(OR($A171="",$I171=0),0,$H171/$I171)</f>
        <v>0</v>
      </c>
      <c r="K171" s="33" t="n">
        <f aca="false">IF($A171="",0,$A171-SUMPRODUCT(MIN(($C$8:$C$1007=$C171)*$A$8:$A$1007+($C$8:$C$1007&lt;&gt;$C171)*100000))+1)</f>
        <v>0</v>
      </c>
      <c r="L171" s="19" t="str">
        <f aca="false">IF($A171="","",IF($J171=0,"Sem registro anterior",IF($K171&lt;21,"Histórico insuficiente",IF($J171&lt;0.8,"Subcarga",IF($J171&lt;=1.3,"Zona ideal",IF($J171&lt;=1.5,"Atenção","Risco elevado"))))))</f>
        <v/>
      </c>
      <c r="M171" s="20"/>
    </row>
    <row r="172" customFormat="false" ht="15" hidden="false" customHeight="false" outlineLevel="0" collapsed="false">
      <c r="A172" s="21"/>
      <c r="B172" s="33" t="n">
        <f aca="false">IF($A172="",0,INT(($A172-Macrociclo!$C$11)/7)+1)</f>
        <v>0</v>
      </c>
      <c r="C172" s="20"/>
      <c r="D172" s="20"/>
      <c r="E172" s="22"/>
      <c r="F172" s="22"/>
      <c r="G172" s="48" t="n">
        <f aca="false">IF(OR($E172="",$F172=""),0,$E172*$F172)</f>
        <v>0</v>
      </c>
      <c r="H172" s="48" t="n">
        <f aca="false">IF($A172="",0,SUMIFS($G$8:$G$1007,$C$8:$C$1007,$C172,$A$8:$A$1007,"&gt;="&amp;$A172-6,$A$8:$A$1007,"&lt;="&amp;$A172))</f>
        <v>0</v>
      </c>
      <c r="I172" s="48" t="n">
        <f aca="false">IF($A172="",0,SUMIFS($G$8:$G$1007,$C$8:$C$1007,$C172,$A$8:$A$1007,"&gt;="&amp;$A172-27,$A$8:$A$1007,"&lt;="&amp;$A172)/4)</f>
        <v>0</v>
      </c>
      <c r="J172" s="67" t="n">
        <f aca="false">IF(OR($A172="",$I172=0),0,$H172/$I172)</f>
        <v>0</v>
      </c>
      <c r="K172" s="33" t="n">
        <f aca="false">IF($A172="",0,$A172-SUMPRODUCT(MIN(($C$8:$C$1007=$C172)*$A$8:$A$1007+($C$8:$C$1007&lt;&gt;$C172)*100000))+1)</f>
        <v>0</v>
      </c>
      <c r="L172" s="19" t="str">
        <f aca="false">IF($A172="","",IF($J172=0,"Sem registro anterior",IF($K172&lt;21,"Histórico insuficiente",IF($J172&lt;0.8,"Subcarga",IF($J172&lt;=1.3,"Zona ideal",IF($J172&lt;=1.5,"Atenção","Risco elevado"))))))</f>
        <v/>
      </c>
      <c r="M172" s="20"/>
    </row>
    <row r="173" customFormat="false" ht="15" hidden="false" customHeight="false" outlineLevel="0" collapsed="false">
      <c r="A173" s="21"/>
      <c r="B173" s="33" t="n">
        <f aca="false">IF($A173="",0,INT(($A173-Macrociclo!$C$11)/7)+1)</f>
        <v>0</v>
      </c>
      <c r="C173" s="20"/>
      <c r="D173" s="20"/>
      <c r="E173" s="22"/>
      <c r="F173" s="22"/>
      <c r="G173" s="48" t="n">
        <f aca="false">IF(OR($E173="",$F173=""),0,$E173*$F173)</f>
        <v>0</v>
      </c>
      <c r="H173" s="48" t="n">
        <f aca="false">IF($A173="",0,SUMIFS($G$8:$G$1007,$C$8:$C$1007,$C173,$A$8:$A$1007,"&gt;="&amp;$A173-6,$A$8:$A$1007,"&lt;="&amp;$A173))</f>
        <v>0</v>
      </c>
      <c r="I173" s="48" t="n">
        <f aca="false">IF($A173="",0,SUMIFS($G$8:$G$1007,$C$8:$C$1007,$C173,$A$8:$A$1007,"&gt;="&amp;$A173-27,$A$8:$A$1007,"&lt;="&amp;$A173)/4)</f>
        <v>0</v>
      </c>
      <c r="J173" s="67" t="n">
        <f aca="false">IF(OR($A173="",$I173=0),0,$H173/$I173)</f>
        <v>0</v>
      </c>
      <c r="K173" s="33" t="n">
        <f aca="false">IF($A173="",0,$A173-SUMPRODUCT(MIN(($C$8:$C$1007=$C173)*$A$8:$A$1007+($C$8:$C$1007&lt;&gt;$C173)*100000))+1)</f>
        <v>0</v>
      </c>
      <c r="L173" s="19" t="str">
        <f aca="false">IF($A173="","",IF($J173=0,"Sem registro anterior",IF($K173&lt;21,"Histórico insuficiente",IF($J173&lt;0.8,"Subcarga",IF($J173&lt;=1.3,"Zona ideal",IF($J173&lt;=1.5,"Atenção","Risco elevado"))))))</f>
        <v/>
      </c>
      <c r="M173" s="20"/>
    </row>
    <row r="174" customFormat="false" ht="15" hidden="false" customHeight="false" outlineLevel="0" collapsed="false">
      <c r="A174" s="21"/>
      <c r="B174" s="33" t="n">
        <f aca="false">IF($A174="",0,INT(($A174-Macrociclo!$C$11)/7)+1)</f>
        <v>0</v>
      </c>
      <c r="C174" s="20"/>
      <c r="D174" s="20"/>
      <c r="E174" s="22"/>
      <c r="F174" s="22"/>
      <c r="G174" s="48" t="n">
        <f aca="false">IF(OR($E174="",$F174=""),0,$E174*$F174)</f>
        <v>0</v>
      </c>
      <c r="H174" s="48" t="n">
        <f aca="false">IF($A174="",0,SUMIFS($G$8:$G$1007,$C$8:$C$1007,$C174,$A$8:$A$1007,"&gt;="&amp;$A174-6,$A$8:$A$1007,"&lt;="&amp;$A174))</f>
        <v>0</v>
      </c>
      <c r="I174" s="48" t="n">
        <f aca="false">IF($A174="",0,SUMIFS($G$8:$G$1007,$C$8:$C$1007,$C174,$A$8:$A$1007,"&gt;="&amp;$A174-27,$A$8:$A$1007,"&lt;="&amp;$A174)/4)</f>
        <v>0</v>
      </c>
      <c r="J174" s="67" t="n">
        <f aca="false">IF(OR($A174="",$I174=0),0,$H174/$I174)</f>
        <v>0</v>
      </c>
      <c r="K174" s="33" t="n">
        <f aca="false">IF($A174="",0,$A174-SUMPRODUCT(MIN(($C$8:$C$1007=$C174)*$A$8:$A$1007+($C$8:$C$1007&lt;&gt;$C174)*100000))+1)</f>
        <v>0</v>
      </c>
      <c r="L174" s="19" t="str">
        <f aca="false">IF($A174="","",IF($J174=0,"Sem registro anterior",IF($K174&lt;21,"Histórico insuficiente",IF($J174&lt;0.8,"Subcarga",IF($J174&lt;=1.3,"Zona ideal",IF($J174&lt;=1.5,"Atenção","Risco elevado"))))))</f>
        <v/>
      </c>
      <c r="M174" s="20"/>
    </row>
    <row r="175" customFormat="false" ht="15" hidden="false" customHeight="false" outlineLevel="0" collapsed="false">
      <c r="A175" s="21"/>
      <c r="B175" s="33" t="n">
        <f aca="false">IF($A175="",0,INT(($A175-Macrociclo!$C$11)/7)+1)</f>
        <v>0</v>
      </c>
      <c r="C175" s="20"/>
      <c r="D175" s="20"/>
      <c r="E175" s="22"/>
      <c r="F175" s="22"/>
      <c r="G175" s="48" t="n">
        <f aca="false">IF(OR($E175="",$F175=""),0,$E175*$F175)</f>
        <v>0</v>
      </c>
      <c r="H175" s="48" t="n">
        <f aca="false">IF($A175="",0,SUMIFS($G$8:$G$1007,$C$8:$C$1007,$C175,$A$8:$A$1007,"&gt;="&amp;$A175-6,$A$8:$A$1007,"&lt;="&amp;$A175))</f>
        <v>0</v>
      </c>
      <c r="I175" s="48" t="n">
        <f aca="false">IF($A175="",0,SUMIFS($G$8:$G$1007,$C$8:$C$1007,$C175,$A$8:$A$1007,"&gt;="&amp;$A175-27,$A$8:$A$1007,"&lt;="&amp;$A175)/4)</f>
        <v>0</v>
      </c>
      <c r="J175" s="67" t="n">
        <f aca="false">IF(OR($A175="",$I175=0),0,$H175/$I175)</f>
        <v>0</v>
      </c>
      <c r="K175" s="33" t="n">
        <f aca="false">IF($A175="",0,$A175-SUMPRODUCT(MIN(($C$8:$C$1007=$C175)*$A$8:$A$1007+($C$8:$C$1007&lt;&gt;$C175)*100000))+1)</f>
        <v>0</v>
      </c>
      <c r="L175" s="19" t="str">
        <f aca="false">IF($A175="","",IF($J175=0,"Sem registro anterior",IF($K175&lt;21,"Histórico insuficiente",IF($J175&lt;0.8,"Subcarga",IF($J175&lt;=1.3,"Zona ideal",IF($J175&lt;=1.5,"Atenção","Risco elevado"))))))</f>
        <v/>
      </c>
      <c r="M175" s="20"/>
    </row>
    <row r="176" customFormat="false" ht="15" hidden="false" customHeight="false" outlineLevel="0" collapsed="false">
      <c r="A176" s="21"/>
      <c r="B176" s="33" t="n">
        <f aca="false">IF($A176="",0,INT(($A176-Macrociclo!$C$11)/7)+1)</f>
        <v>0</v>
      </c>
      <c r="C176" s="20"/>
      <c r="D176" s="20"/>
      <c r="E176" s="22"/>
      <c r="F176" s="22"/>
      <c r="G176" s="48" t="n">
        <f aca="false">IF(OR($E176="",$F176=""),0,$E176*$F176)</f>
        <v>0</v>
      </c>
      <c r="H176" s="48" t="n">
        <f aca="false">IF($A176="",0,SUMIFS($G$8:$G$1007,$C$8:$C$1007,$C176,$A$8:$A$1007,"&gt;="&amp;$A176-6,$A$8:$A$1007,"&lt;="&amp;$A176))</f>
        <v>0</v>
      </c>
      <c r="I176" s="48" t="n">
        <f aca="false">IF($A176="",0,SUMIFS($G$8:$G$1007,$C$8:$C$1007,$C176,$A$8:$A$1007,"&gt;="&amp;$A176-27,$A$8:$A$1007,"&lt;="&amp;$A176)/4)</f>
        <v>0</v>
      </c>
      <c r="J176" s="67" t="n">
        <f aca="false">IF(OR($A176="",$I176=0),0,$H176/$I176)</f>
        <v>0</v>
      </c>
      <c r="K176" s="33" t="n">
        <f aca="false">IF($A176="",0,$A176-SUMPRODUCT(MIN(($C$8:$C$1007=$C176)*$A$8:$A$1007+($C$8:$C$1007&lt;&gt;$C176)*100000))+1)</f>
        <v>0</v>
      </c>
      <c r="L176" s="19" t="str">
        <f aca="false">IF($A176="","",IF($J176=0,"Sem registro anterior",IF($K176&lt;21,"Histórico insuficiente",IF($J176&lt;0.8,"Subcarga",IF($J176&lt;=1.3,"Zona ideal",IF($J176&lt;=1.5,"Atenção","Risco elevado"))))))</f>
        <v/>
      </c>
      <c r="M176" s="20"/>
    </row>
    <row r="177" customFormat="false" ht="15" hidden="false" customHeight="false" outlineLevel="0" collapsed="false">
      <c r="A177" s="21"/>
      <c r="B177" s="33" t="n">
        <f aca="false">IF($A177="",0,INT(($A177-Macrociclo!$C$11)/7)+1)</f>
        <v>0</v>
      </c>
      <c r="C177" s="20"/>
      <c r="D177" s="20"/>
      <c r="E177" s="22"/>
      <c r="F177" s="22"/>
      <c r="G177" s="48" t="n">
        <f aca="false">IF(OR($E177="",$F177=""),0,$E177*$F177)</f>
        <v>0</v>
      </c>
      <c r="H177" s="48" t="n">
        <f aca="false">IF($A177="",0,SUMIFS($G$8:$G$1007,$C$8:$C$1007,$C177,$A$8:$A$1007,"&gt;="&amp;$A177-6,$A$8:$A$1007,"&lt;="&amp;$A177))</f>
        <v>0</v>
      </c>
      <c r="I177" s="48" t="n">
        <f aca="false">IF($A177="",0,SUMIFS($G$8:$G$1007,$C$8:$C$1007,$C177,$A$8:$A$1007,"&gt;="&amp;$A177-27,$A$8:$A$1007,"&lt;="&amp;$A177)/4)</f>
        <v>0</v>
      </c>
      <c r="J177" s="67" t="n">
        <f aca="false">IF(OR($A177="",$I177=0),0,$H177/$I177)</f>
        <v>0</v>
      </c>
      <c r="K177" s="33" t="n">
        <f aca="false">IF($A177="",0,$A177-SUMPRODUCT(MIN(($C$8:$C$1007=$C177)*$A$8:$A$1007+($C$8:$C$1007&lt;&gt;$C177)*100000))+1)</f>
        <v>0</v>
      </c>
      <c r="L177" s="19" t="str">
        <f aca="false">IF($A177="","",IF($J177=0,"Sem registro anterior",IF($K177&lt;21,"Histórico insuficiente",IF($J177&lt;0.8,"Subcarga",IF($J177&lt;=1.3,"Zona ideal",IF($J177&lt;=1.5,"Atenção","Risco elevado"))))))</f>
        <v/>
      </c>
      <c r="M177" s="20"/>
    </row>
    <row r="178" customFormat="false" ht="15" hidden="false" customHeight="false" outlineLevel="0" collapsed="false">
      <c r="A178" s="21"/>
      <c r="B178" s="33" t="n">
        <f aca="false">IF($A178="",0,INT(($A178-Macrociclo!$C$11)/7)+1)</f>
        <v>0</v>
      </c>
      <c r="C178" s="20"/>
      <c r="D178" s="20"/>
      <c r="E178" s="22"/>
      <c r="F178" s="22"/>
      <c r="G178" s="48" t="n">
        <f aca="false">IF(OR($E178="",$F178=""),0,$E178*$F178)</f>
        <v>0</v>
      </c>
      <c r="H178" s="48" t="n">
        <f aca="false">IF($A178="",0,SUMIFS($G$8:$G$1007,$C$8:$C$1007,$C178,$A$8:$A$1007,"&gt;="&amp;$A178-6,$A$8:$A$1007,"&lt;="&amp;$A178))</f>
        <v>0</v>
      </c>
      <c r="I178" s="48" t="n">
        <f aca="false">IF($A178="",0,SUMIFS($G$8:$G$1007,$C$8:$C$1007,$C178,$A$8:$A$1007,"&gt;="&amp;$A178-27,$A$8:$A$1007,"&lt;="&amp;$A178)/4)</f>
        <v>0</v>
      </c>
      <c r="J178" s="67" t="n">
        <f aca="false">IF(OR($A178="",$I178=0),0,$H178/$I178)</f>
        <v>0</v>
      </c>
      <c r="K178" s="33" t="n">
        <f aca="false">IF($A178="",0,$A178-SUMPRODUCT(MIN(($C$8:$C$1007=$C178)*$A$8:$A$1007+($C$8:$C$1007&lt;&gt;$C178)*100000))+1)</f>
        <v>0</v>
      </c>
      <c r="L178" s="19" t="str">
        <f aca="false">IF($A178="","",IF($J178=0,"Sem registro anterior",IF($K178&lt;21,"Histórico insuficiente",IF($J178&lt;0.8,"Subcarga",IF($J178&lt;=1.3,"Zona ideal",IF($J178&lt;=1.5,"Atenção","Risco elevado"))))))</f>
        <v/>
      </c>
      <c r="M178" s="20"/>
    </row>
    <row r="179" customFormat="false" ht="15" hidden="false" customHeight="false" outlineLevel="0" collapsed="false">
      <c r="A179" s="21"/>
      <c r="B179" s="33" t="n">
        <f aca="false">IF($A179="",0,INT(($A179-Macrociclo!$C$11)/7)+1)</f>
        <v>0</v>
      </c>
      <c r="C179" s="20"/>
      <c r="D179" s="20"/>
      <c r="E179" s="22"/>
      <c r="F179" s="22"/>
      <c r="G179" s="48" t="n">
        <f aca="false">IF(OR($E179="",$F179=""),0,$E179*$F179)</f>
        <v>0</v>
      </c>
      <c r="H179" s="48" t="n">
        <f aca="false">IF($A179="",0,SUMIFS($G$8:$G$1007,$C$8:$C$1007,$C179,$A$8:$A$1007,"&gt;="&amp;$A179-6,$A$8:$A$1007,"&lt;="&amp;$A179))</f>
        <v>0</v>
      </c>
      <c r="I179" s="48" t="n">
        <f aca="false">IF($A179="",0,SUMIFS($G$8:$G$1007,$C$8:$C$1007,$C179,$A$8:$A$1007,"&gt;="&amp;$A179-27,$A$8:$A$1007,"&lt;="&amp;$A179)/4)</f>
        <v>0</v>
      </c>
      <c r="J179" s="67" t="n">
        <f aca="false">IF(OR($A179="",$I179=0),0,$H179/$I179)</f>
        <v>0</v>
      </c>
      <c r="K179" s="33" t="n">
        <f aca="false">IF($A179="",0,$A179-SUMPRODUCT(MIN(($C$8:$C$1007=$C179)*$A$8:$A$1007+($C$8:$C$1007&lt;&gt;$C179)*100000))+1)</f>
        <v>0</v>
      </c>
      <c r="L179" s="19" t="str">
        <f aca="false">IF($A179="","",IF($J179=0,"Sem registro anterior",IF($K179&lt;21,"Histórico insuficiente",IF($J179&lt;0.8,"Subcarga",IF($J179&lt;=1.3,"Zona ideal",IF($J179&lt;=1.5,"Atenção","Risco elevado"))))))</f>
        <v/>
      </c>
      <c r="M179" s="20"/>
    </row>
    <row r="180" customFormat="false" ht="15" hidden="false" customHeight="false" outlineLevel="0" collapsed="false">
      <c r="A180" s="21"/>
      <c r="B180" s="33" t="n">
        <f aca="false">IF($A180="",0,INT(($A180-Macrociclo!$C$11)/7)+1)</f>
        <v>0</v>
      </c>
      <c r="C180" s="20"/>
      <c r="D180" s="20"/>
      <c r="E180" s="22"/>
      <c r="F180" s="22"/>
      <c r="G180" s="48" t="n">
        <f aca="false">IF(OR($E180="",$F180=""),0,$E180*$F180)</f>
        <v>0</v>
      </c>
      <c r="H180" s="48" t="n">
        <f aca="false">IF($A180="",0,SUMIFS($G$8:$G$1007,$C$8:$C$1007,$C180,$A$8:$A$1007,"&gt;="&amp;$A180-6,$A$8:$A$1007,"&lt;="&amp;$A180))</f>
        <v>0</v>
      </c>
      <c r="I180" s="48" t="n">
        <f aca="false">IF($A180="",0,SUMIFS($G$8:$G$1007,$C$8:$C$1007,$C180,$A$8:$A$1007,"&gt;="&amp;$A180-27,$A$8:$A$1007,"&lt;="&amp;$A180)/4)</f>
        <v>0</v>
      </c>
      <c r="J180" s="67" t="n">
        <f aca="false">IF(OR($A180="",$I180=0),0,$H180/$I180)</f>
        <v>0</v>
      </c>
      <c r="K180" s="33" t="n">
        <f aca="false">IF($A180="",0,$A180-SUMPRODUCT(MIN(($C$8:$C$1007=$C180)*$A$8:$A$1007+($C$8:$C$1007&lt;&gt;$C180)*100000))+1)</f>
        <v>0</v>
      </c>
      <c r="L180" s="19" t="str">
        <f aca="false">IF($A180="","",IF($J180=0,"Sem registro anterior",IF($K180&lt;21,"Histórico insuficiente",IF($J180&lt;0.8,"Subcarga",IF($J180&lt;=1.3,"Zona ideal",IF($J180&lt;=1.5,"Atenção","Risco elevado"))))))</f>
        <v/>
      </c>
      <c r="M180" s="20"/>
    </row>
    <row r="181" customFormat="false" ht="15" hidden="false" customHeight="false" outlineLevel="0" collapsed="false">
      <c r="A181" s="21"/>
      <c r="B181" s="33" t="n">
        <f aca="false">IF($A181="",0,INT(($A181-Macrociclo!$C$11)/7)+1)</f>
        <v>0</v>
      </c>
      <c r="C181" s="20"/>
      <c r="D181" s="20"/>
      <c r="E181" s="22"/>
      <c r="F181" s="22"/>
      <c r="G181" s="48" t="n">
        <f aca="false">IF(OR($E181="",$F181=""),0,$E181*$F181)</f>
        <v>0</v>
      </c>
      <c r="H181" s="48" t="n">
        <f aca="false">IF($A181="",0,SUMIFS($G$8:$G$1007,$C$8:$C$1007,$C181,$A$8:$A$1007,"&gt;="&amp;$A181-6,$A$8:$A$1007,"&lt;="&amp;$A181))</f>
        <v>0</v>
      </c>
      <c r="I181" s="48" t="n">
        <f aca="false">IF($A181="",0,SUMIFS($G$8:$G$1007,$C$8:$C$1007,$C181,$A$8:$A$1007,"&gt;="&amp;$A181-27,$A$8:$A$1007,"&lt;="&amp;$A181)/4)</f>
        <v>0</v>
      </c>
      <c r="J181" s="67" t="n">
        <f aca="false">IF(OR($A181="",$I181=0),0,$H181/$I181)</f>
        <v>0</v>
      </c>
      <c r="K181" s="33" t="n">
        <f aca="false">IF($A181="",0,$A181-SUMPRODUCT(MIN(($C$8:$C$1007=$C181)*$A$8:$A$1007+($C$8:$C$1007&lt;&gt;$C181)*100000))+1)</f>
        <v>0</v>
      </c>
      <c r="L181" s="19" t="str">
        <f aca="false">IF($A181="","",IF($J181=0,"Sem registro anterior",IF($K181&lt;21,"Histórico insuficiente",IF($J181&lt;0.8,"Subcarga",IF($J181&lt;=1.3,"Zona ideal",IF($J181&lt;=1.5,"Atenção","Risco elevado"))))))</f>
        <v/>
      </c>
      <c r="M181" s="20"/>
    </row>
    <row r="182" customFormat="false" ht="15" hidden="false" customHeight="false" outlineLevel="0" collapsed="false">
      <c r="A182" s="21"/>
      <c r="B182" s="33" t="n">
        <f aca="false">IF($A182="",0,INT(($A182-Macrociclo!$C$11)/7)+1)</f>
        <v>0</v>
      </c>
      <c r="C182" s="20"/>
      <c r="D182" s="20"/>
      <c r="E182" s="22"/>
      <c r="F182" s="22"/>
      <c r="G182" s="48" t="n">
        <f aca="false">IF(OR($E182="",$F182=""),0,$E182*$F182)</f>
        <v>0</v>
      </c>
      <c r="H182" s="48" t="n">
        <f aca="false">IF($A182="",0,SUMIFS($G$8:$G$1007,$C$8:$C$1007,$C182,$A$8:$A$1007,"&gt;="&amp;$A182-6,$A$8:$A$1007,"&lt;="&amp;$A182))</f>
        <v>0</v>
      </c>
      <c r="I182" s="48" t="n">
        <f aca="false">IF($A182="",0,SUMIFS($G$8:$G$1007,$C$8:$C$1007,$C182,$A$8:$A$1007,"&gt;="&amp;$A182-27,$A$8:$A$1007,"&lt;="&amp;$A182)/4)</f>
        <v>0</v>
      </c>
      <c r="J182" s="67" t="n">
        <f aca="false">IF(OR($A182="",$I182=0),0,$H182/$I182)</f>
        <v>0</v>
      </c>
      <c r="K182" s="33" t="n">
        <f aca="false">IF($A182="",0,$A182-SUMPRODUCT(MIN(($C$8:$C$1007=$C182)*$A$8:$A$1007+($C$8:$C$1007&lt;&gt;$C182)*100000))+1)</f>
        <v>0</v>
      </c>
      <c r="L182" s="19" t="str">
        <f aca="false">IF($A182="","",IF($J182=0,"Sem registro anterior",IF($K182&lt;21,"Histórico insuficiente",IF($J182&lt;0.8,"Subcarga",IF($J182&lt;=1.3,"Zona ideal",IF($J182&lt;=1.5,"Atenção","Risco elevado"))))))</f>
        <v/>
      </c>
      <c r="M182" s="20"/>
    </row>
    <row r="183" customFormat="false" ht="15" hidden="false" customHeight="false" outlineLevel="0" collapsed="false">
      <c r="A183" s="21"/>
      <c r="B183" s="33" t="n">
        <f aca="false">IF($A183="",0,INT(($A183-Macrociclo!$C$11)/7)+1)</f>
        <v>0</v>
      </c>
      <c r="C183" s="20"/>
      <c r="D183" s="20"/>
      <c r="E183" s="22"/>
      <c r="F183" s="22"/>
      <c r="G183" s="48" t="n">
        <f aca="false">IF(OR($E183="",$F183=""),0,$E183*$F183)</f>
        <v>0</v>
      </c>
      <c r="H183" s="48" t="n">
        <f aca="false">IF($A183="",0,SUMIFS($G$8:$G$1007,$C$8:$C$1007,$C183,$A$8:$A$1007,"&gt;="&amp;$A183-6,$A$8:$A$1007,"&lt;="&amp;$A183))</f>
        <v>0</v>
      </c>
      <c r="I183" s="48" t="n">
        <f aca="false">IF($A183="",0,SUMIFS($G$8:$G$1007,$C$8:$C$1007,$C183,$A$8:$A$1007,"&gt;="&amp;$A183-27,$A$8:$A$1007,"&lt;="&amp;$A183)/4)</f>
        <v>0</v>
      </c>
      <c r="J183" s="67" t="n">
        <f aca="false">IF(OR($A183="",$I183=0),0,$H183/$I183)</f>
        <v>0</v>
      </c>
      <c r="K183" s="33" t="n">
        <f aca="false">IF($A183="",0,$A183-SUMPRODUCT(MIN(($C$8:$C$1007=$C183)*$A$8:$A$1007+($C$8:$C$1007&lt;&gt;$C183)*100000))+1)</f>
        <v>0</v>
      </c>
      <c r="L183" s="19" t="str">
        <f aca="false">IF($A183="","",IF($J183=0,"Sem registro anterior",IF($K183&lt;21,"Histórico insuficiente",IF($J183&lt;0.8,"Subcarga",IF($J183&lt;=1.3,"Zona ideal",IF($J183&lt;=1.5,"Atenção","Risco elevado"))))))</f>
        <v/>
      </c>
      <c r="M183" s="20"/>
    </row>
    <row r="184" customFormat="false" ht="15" hidden="false" customHeight="false" outlineLevel="0" collapsed="false">
      <c r="A184" s="21"/>
      <c r="B184" s="33" t="n">
        <f aca="false">IF($A184="",0,INT(($A184-Macrociclo!$C$11)/7)+1)</f>
        <v>0</v>
      </c>
      <c r="C184" s="20"/>
      <c r="D184" s="20"/>
      <c r="E184" s="22"/>
      <c r="F184" s="22"/>
      <c r="G184" s="48" t="n">
        <f aca="false">IF(OR($E184="",$F184=""),0,$E184*$F184)</f>
        <v>0</v>
      </c>
      <c r="H184" s="48" t="n">
        <f aca="false">IF($A184="",0,SUMIFS($G$8:$G$1007,$C$8:$C$1007,$C184,$A$8:$A$1007,"&gt;="&amp;$A184-6,$A$8:$A$1007,"&lt;="&amp;$A184))</f>
        <v>0</v>
      </c>
      <c r="I184" s="48" t="n">
        <f aca="false">IF($A184="",0,SUMIFS($G$8:$G$1007,$C$8:$C$1007,$C184,$A$8:$A$1007,"&gt;="&amp;$A184-27,$A$8:$A$1007,"&lt;="&amp;$A184)/4)</f>
        <v>0</v>
      </c>
      <c r="J184" s="67" t="n">
        <f aca="false">IF(OR($A184="",$I184=0),0,$H184/$I184)</f>
        <v>0</v>
      </c>
      <c r="K184" s="33" t="n">
        <f aca="false">IF($A184="",0,$A184-SUMPRODUCT(MIN(($C$8:$C$1007=$C184)*$A$8:$A$1007+($C$8:$C$1007&lt;&gt;$C184)*100000))+1)</f>
        <v>0</v>
      </c>
      <c r="L184" s="19" t="str">
        <f aca="false">IF($A184="","",IF($J184=0,"Sem registro anterior",IF($K184&lt;21,"Histórico insuficiente",IF($J184&lt;0.8,"Subcarga",IF($J184&lt;=1.3,"Zona ideal",IF($J184&lt;=1.5,"Atenção","Risco elevado"))))))</f>
        <v/>
      </c>
      <c r="M184" s="20"/>
    </row>
    <row r="185" customFormat="false" ht="15" hidden="false" customHeight="false" outlineLevel="0" collapsed="false">
      <c r="A185" s="21"/>
      <c r="B185" s="33" t="n">
        <f aca="false">IF($A185="",0,INT(($A185-Macrociclo!$C$11)/7)+1)</f>
        <v>0</v>
      </c>
      <c r="C185" s="20"/>
      <c r="D185" s="20"/>
      <c r="E185" s="22"/>
      <c r="F185" s="22"/>
      <c r="G185" s="48" t="n">
        <f aca="false">IF(OR($E185="",$F185=""),0,$E185*$F185)</f>
        <v>0</v>
      </c>
      <c r="H185" s="48" t="n">
        <f aca="false">IF($A185="",0,SUMIFS($G$8:$G$1007,$C$8:$C$1007,$C185,$A$8:$A$1007,"&gt;="&amp;$A185-6,$A$8:$A$1007,"&lt;="&amp;$A185))</f>
        <v>0</v>
      </c>
      <c r="I185" s="48" t="n">
        <f aca="false">IF($A185="",0,SUMIFS($G$8:$G$1007,$C$8:$C$1007,$C185,$A$8:$A$1007,"&gt;="&amp;$A185-27,$A$8:$A$1007,"&lt;="&amp;$A185)/4)</f>
        <v>0</v>
      </c>
      <c r="J185" s="67" t="n">
        <f aca="false">IF(OR($A185="",$I185=0),0,$H185/$I185)</f>
        <v>0</v>
      </c>
      <c r="K185" s="33" t="n">
        <f aca="false">IF($A185="",0,$A185-SUMPRODUCT(MIN(($C$8:$C$1007=$C185)*$A$8:$A$1007+($C$8:$C$1007&lt;&gt;$C185)*100000))+1)</f>
        <v>0</v>
      </c>
      <c r="L185" s="19" t="str">
        <f aca="false">IF($A185="","",IF($J185=0,"Sem registro anterior",IF($K185&lt;21,"Histórico insuficiente",IF($J185&lt;0.8,"Subcarga",IF($J185&lt;=1.3,"Zona ideal",IF($J185&lt;=1.5,"Atenção","Risco elevado"))))))</f>
        <v/>
      </c>
      <c r="M185" s="20"/>
    </row>
    <row r="186" customFormat="false" ht="15" hidden="false" customHeight="false" outlineLevel="0" collapsed="false">
      <c r="A186" s="21"/>
      <c r="B186" s="33" t="n">
        <f aca="false">IF($A186="",0,INT(($A186-Macrociclo!$C$11)/7)+1)</f>
        <v>0</v>
      </c>
      <c r="C186" s="20"/>
      <c r="D186" s="20"/>
      <c r="E186" s="22"/>
      <c r="F186" s="22"/>
      <c r="G186" s="48" t="n">
        <f aca="false">IF(OR($E186="",$F186=""),0,$E186*$F186)</f>
        <v>0</v>
      </c>
      <c r="H186" s="48" t="n">
        <f aca="false">IF($A186="",0,SUMIFS($G$8:$G$1007,$C$8:$C$1007,$C186,$A$8:$A$1007,"&gt;="&amp;$A186-6,$A$8:$A$1007,"&lt;="&amp;$A186))</f>
        <v>0</v>
      </c>
      <c r="I186" s="48" t="n">
        <f aca="false">IF($A186="",0,SUMIFS($G$8:$G$1007,$C$8:$C$1007,$C186,$A$8:$A$1007,"&gt;="&amp;$A186-27,$A$8:$A$1007,"&lt;="&amp;$A186)/4)</f>
        <v>0</v>
      </c>
      <c r="J186" s="67" t="n">
        <f aca="false">IF(OR($A186="",$I186=0),0,$H186/$I186)</f>
        <v>0</v>
      </c>
      <c r="K186" s="33" t="n">
        <f aca="false">IF($A186="",0,$A186-SUMPRODUCT(MIN(($C$8:$C$1007=$C186)*$A$8:$A$1007+($C$8:$C$1007&lt;&gt;$C186)*100000))+1)</f>
        <v>0</v>
      </c>
      <c r="L186" s="19" t="str">
        <f aca="false">IF($A186="","",IF($J186=0,"Sem registro anterior",IF($K186&lt;21,"Histórico insuficiente",IF($J186&lt;0.8,"Subcarga",IF($J186&lt;=1.3,"Zona ideal",IF($J186&lt;=1.5,"Atenção","Risco elevado"))))))</f>
        <v/>
      </c>
      <c r="M186" s="20"/>
    </row>
    <row r="187" customFormat="false" ht="15" hidden="false" customHeight="false" outlineLevel="0" collapsed="false">
      <c r="A187" s="21"/>
      <c r="B187" s="33" t="n">
        <f aca="false">IF($A187="",0,INT(($A187-Macrociclo!$C$11)/7)+1)</f>
        <v>0</v>
      </c>
      <c r="C187" s="20"/>
      <c r="D187" s="20"/>
      <c r="E187" s="22"/>
      <c r="F187" s="22"/>
      <c r="G187" s="48" t="n">
        <f aca="false">IF(OR($E187="",$F187=""),0,$E187*$F187)</f>
        <v>0</v>
      </c>
      <c r="H187" s="48" t="n">
        <f aca="false">IF($A187="",0,SUMIFS($G$8:$G$1007,$C$8:$C$1007,$C187,$A$8:$A$1007,"&gt;="&amp;$A187-6,$A$8:$A$1007,"&lt;="&amp;$A187))</f>
        <v>0</v>
      </c>
      <c r="I187" s="48" t="n">
        <f aca="false">IF($A187="",0,SUMIFS($G$8:$G$1007,$C$8:$C$1007,$C187,$A$8:$A$1007,"&gt;="&amp;$A187-27,$A$8:$A$1007,"&lt;="&amp;$A187)/4)</f>
        <v>0</v>
      </c>
      <c r="J187" s="67" t="n">
        <f aca="false">IF(OR($A187="",$I187=0),0,$H187/$I187)</f>
        <v>0</v>
      </c>
      <c r="K187" s="33" t="n">
        <f aca="false">IF($A187="",0,$A187-SUMPRODUCT(MIN(($C$8:$C$1007=$C187)*$A$8:$A$1007+($C$8:$C$1007&lt;&gt;$C187)*100000))+1)</f>
        <v>0</v>
      </c>
      <c r="L187" s="19" t="str">
        <f aca="false">IF($A187="","",IF($J187=0,"Sem registro anterior",IF($K187&lt;21,"Histórico insuficiente",IF($J187&lt;0.8,"Subcarga",IF($J187&lt;=1.3,"Zona ideal",IF($J187&lt;=1.5,"Atenção","Risco elevado"))))))</f>
        <v/>
      </c>
      <c r="M187" s="20"/>
    </row>
    <row r="188" customFormat="false" ht="15" hidden="false" customHeight="false" outlineLevel="0" collapsed="false">
      <c r="A188" s="21"/>
      <c r="B188" s="33" t="n">
        <f aca="false">IF($A188="",0,INT(($A188-Macrociclo!$C$11)/7)+1)</f>
        <v>0</v>
      </c>
      <c r="C188" s="20"/>
      <c r="D188" s="20"/>
      <c r="E188" s="22"/>
      <c r="F188" s="22"/>
      <c r="G188" s="48" t="n">
        <f aca="false">IF(OR($E188="",$F188=""),0,$E188*$F188)</f>
        <v>0</v>
      </c>
      <c r="H188" s="48" t="n">
        <f aca="false">IF($A188="",0,SUMIFS($G$8:$G$1007,$C$8:$C$1007,$C188,$A$8:$A$1007,"&gt;="&amp;$A188-6,$A$8:$A$1007,"&lt;="&amp;$A188))</f>
        <v>0</v>
      </c>
      <c r="I188" s="48" t="n">
        <f aca="false">IF($A188="",0,SUMIFS($G$8:$G$1007,$C$8:$C$1007,$C188,$A$8:$A$1007,"&gt;="&amp;$A188-27,$A$8:$A$1007,"&lt;="&amp;$A188)/4)</f>
        <v>0</v>
      </c>
      <c r="J188" s="67" t="n">
        <f aca="false">IF(OR($A188="",$I188=0),0,$H188/$I188)</f>
        <v>0</v>
      </c>
      <c r="K188" s="33" t="n">
        <f aca="false">IF($A188="",0,$A188-SUMPRODUCT(MIN(($C$8:$C$1007=$C188)*$A$8:$A$1007+($C$8:$C$1007&lt;&gt;$C188)*100000))+1)</f>
        <v>0</v>
      </c>
      <c r="L188" s="19" t="str">
        <f aca="false">IF($A188="","",IF($J188=0,"Sem registro anterior",IF($K188&lt;21,"Histórico insuficiente",IF($J188&lt;0.8,"Subcarga",IF($J188&lt;=1.3,"Zona ideal",IF($J188&lt;=1.5,"Atenção","Risco elevado"))))))</f>
        <v/>
      </c>
      <c r="M188" s="20"/>
    </row>
    <row r="189" customFormat="false" ht="15" hidden="false" customHeight="false" outlineLevel="0" collapsed="false">
      <c r="A189" s="21"/>
      <c r="B189" s="33" t="n">
        <f aca="false">IF($A189="",0,INT(($A189-Macrociclo!$C$11)/7)+1)</f>
        <v>0</v>
      </c>
      <c r="C189" s="20"/>
      <c r="D189" s="20"/>
      <c r="E189" s="22"/>
      <c r="F189" s="22"/>
      <c r="G189" s="48" t="n">
        <f aca="false">IF(OR($E189="",$F189=""),0,$E189*$F189)</f>
        <v>0</v>
      </c>
      <c r="H189" s="48" t="n">
        <f aca="false">IF($A189="",0,SUMIFS($G$8:$G$1007,$C$8:$C$1007,$C189,$A$8:$A$1007,"&gt;="&amp;$A189-6,$A$8:$A$1007,"&lt;="&amp;$A189))</f>
        <v>0</v>
      </c>
      <c r="I189" s="48" t="n">
        <f aca="false">IF($A189="",0,SUMIFS($G$8:$G$1007,$C$8:$C$1007,$C189,$A$8:$A$1007,"&gt;="&amp;$A189-27,$A$8:$A$1007,"&lt;="&amp;$A189)/4)</f>
        <v>0</v>
      </c>
      <c r="J189" s="67" t="n">
        <f aca="false">IF(OR($A189="",$I189=0),0,$H189/$I189)</f>
        <v>0</v>
      </c>
      <c r="K189" s="33" t="n">
        <f aca="false">IF($A189="",0,$A189-SUMPRODUCT(MIN(($C$8:$C$1007=$C189)*$A$8:$A$1007+($C$8:$C$1007&lt;&gt;$C189)*100000))+1)</f>
        <v>0</v>
      </c>
      <c r="L189" s="19" t="str">
        <f aca="false">IF($A189="","",IF($J189=0,"Sem registro anterior",IF($K189&lt;21,"Histórico insuficiente",IF($J189&lt;0.8,"Subcarga",IF($J189&lt;=1.3,"Zona ideal",IF($J189&lt;=1.5,"Atenção","Risco elevado"))))))</f>
        <v/>
      </c>
      <c r="M189" s="20"/>
    </row>
    <row r="190" customFormat="false" ht="15" hidden="false" customHeight="false" outlineLevel="0" collapsed="false">
      <c r="A190" s="21"/>
      <c r="B190" s="33" t="n">
        <f aca="false">IF($A190="",0,INT(($A190-Macrociclo!$C$11)/7)+1)</f>
        <v>0</v>
      </c>
      <c r="C190" s="20"/>
      <c r="D190" s="20"/>
      <c r="E190" s="22"/>
      <c r="F190" s="22"/>
      <c r="G190" s="48" t="n">
        <f aca="false">IF(OR($E190="",$F190=""),0,$E190*$F190)</f>
        <v>0</v>
      </c>
      <c r="H190" s="48" t="n">
        <f aca="false">IF($A190="",0,SUMIFS($G$8:$G$1007,$C$8:$C$1007,$C190,$A$8:$A$1007,"&gt;="&amp;$A190-6,$A$8:$A$1007,"&lt;="&amp;$A190))</f>
        <v>0</v>
      </c>
      <c r="I190" s="48" t="n">
        <f aca="false">IF($A190="",0,SUMIFS($G$8:$G$1007,$C$8:$C$1007,$C190,$A$8:$A$1007,"&gt;="&amp;$A190-27,$A$8:$A$1007,"&lt;="&amp;$A190)/4)</f>
        <v>0</v>
      </c>
      <c r="J190" s="67" t="n">
        <f aca="false">IF(OR($A190="",$I190=0),0,$H190/$I190)</f>
        <v>0</v>
      </c>
      <c r="K190" s="33" t="n">
        <f aca="false">IF($A190="",0,$A190-SUMPRODUCT(MIN(($C$8:$C$1007=$C190)*$A$8:$A$1007+($C$8:$C$1007&lt;&gt;$C190)*100000))+1)</f>
        <v>0</v>
      </c>
      <c r="L190" s="19" t="str">
        <f aca="false">IF($A190="","",IF($J190=0,"Sem registro anterior",IF($K190&lt;21,"Histórico insuficiente",IF($J190&lt;0.8,"Subcarga",IF($J190&lt;=1.3,"Zona ideal",IF($J190&lt;=1.5,"Atenção","Risco elevado"))))))</f>
        <v/>
      </c>
      <c r="M190" s="20"/>
    </row>
    <row r="191" customFormat="false" ht="15" hidden="false" customHeight="false" outlineLevel="0" collapsed="false">
      <c r="A191" s="21"/>
      <c r="B191" s="33" t="n">
        <f aca="false">IF($A191="",0,INT(($A191-Macrociclo!$C$11)/7)+1)</f>
        <v>0</v>
      </c>
      <c r="C191" s="20"/>
      <c r="D191" s="20"/>
      <c r="E191" s="22"/>
      <c r="F191" s="22"/>
      <c r="G191" s="48" t="n">
        <f aca="false">IF(OR($E191="",$F191=""),0,$E191*$F191)</f>
        <v>0</v>
      </c>
      <c r="H191" s="48" t="n">
        <f aca="false">IF($A191="",0,SUMIFS($G$8:$G$1007,$C$8:$C$1007,$C191,$A$8:$A$1007,"&gt;="&amp;$A191-6,$A$8:$A$1007,"&lt;="&amp;$A191))</f>
        <v>0</v>
      </c>
      <c r="I191" s="48" t="n">
        <f aca="false">IF($A191="",0,SUMIFS($G$8:$G$1007,$C$8:$C$1007,$C191,$A$8:$A$1007,"&gt;="&amp;$A191-27,$A$8:$A$1007,"&lt;="&amp;$A191)/4)</f>
        <v>0</v>
      </c>
      <c r="J191" s="67" t="n">
        <f aca="false">IF(OR($A191="",$I191=0),0,$H191/$I191)</f>
        <v>0</v>
      </c>
      <c r="K191" s="33" t="n">
        <f aca="false">IF($A191="",0,$A191-SUMPRODUCT(MIN(($C$8:$C$1007=$C191)*$A$8:$A$1007+($C$8:$C$1007&lt;&gt;$C191)*100000))+1)</f>
        <v>0</v>
      </c>
      <c r="L191" s="19" t="str">
        <f aca="false">IF($A191="","",IF($J191=0,"Sem registro anterior",IF($K191&lt;21,"Histórico insuficiente",IF($J191&lt;0.8,"Subcarga",IF($J191&lt;=1.3,"Zona ideal",IF($J191&lt;=1.5,"Atenção","Risco elevado"))))))</f>
        <v/>
      </c>
      <c r="M191" s="20"/>
    </row>
    <row r="192" customFormat="false" ht="15" hidden="false" customHeight="false" outlineLevel="0" collapsed="false">
      <c r="A192" s="21"/>
      <c r="B192" s="33" t="n">
        <f aca="false">IF($A192="",0,INT(($A192-Macrociclo!$C$11)/7)+1)</f>
        <v>0</v>
      </c>
      <c r="C192" s="20"/>
      <c r="D192" s="20"/>
      <c r="E192" s="22"/>
      <c r="F192" s="22"/>
      <c r="G192" s="48" t="n">
        <f aca="false">IF(OR($E192="",$F192=""),0,$E192*$F192)</f>
        <v>0</v>
      </c>
      <c r="H192" s="48" t="n">
        <f aca="false">IF($A192="",0,SUMIFS($G$8:$G$1007,$C$8:$C$1007,$C192,$A$8:$A$1007,"&gt;="&amp;$A192-6,$A$8:$A$1007,"&lt;="&amp;$A192))</f>
        <v>0</v>
      </c>
      <c r="I192" s="48" t="n">
        <f aca="false">IF($A192="",0,SUMIFS($G$8:$G$1007,$C$8:$C$1007,$C192,$A$8:$A$1007,"&gt;="&amp;$A192-27,$A$8:$A$1007,"&lt;="&amp;$A192)/4)</f>
        <v>0</v>
      </c>
      <c r="J192" s="67" t="n">
        <f aca="false">IF(OR($A192="",$I192=0),0,$H192/$I192)</f>
        <v>0</v>
      </c>
      <c r="K192" s="33" t="n">
        <f aca="false">IF($A192="",0,$A192-SUMPRODUCT(MIN(($C$8:$C$1007=$C192)*$A$8:$A$1007+($C$8:$C$1007&lt;&gt;$C192)*100000))+1)</f>
        <v>0</v>
      </c>
      <c r="L192" s="19" t="str">
        <f aca="false">IF($A192="","",IF($J192=0,"Sem registro anterior",IF($K192&lt;21,"Histórico insuficiente",IF($J192&lt;0.8,"Subcarga",IF($J192&lt;=1.3,"Zona ideal",IF($J192&lt;=1.5,"Atenção","Risco elevado"))))))</f>
        <v/>
      </c>
      <c r="M192" s="20"/>
    </row>
    <row r="193" customFormat="false" ht="15" hidden="false" customHeight="false" outlineLevel="0" collapsed="false">
      <c r="A193" s="21"/>
      <c r="B193" s="33" t="n">
        <f aca="false">IF($A193="",0,INT(($A193-Macrociclo!$C$11)/7)+1)</f>
        <v>0</v>
      </c>
      <c r="C193" s="20"/>
      <c r="D193" s="20"/>
      <c r="E193" s="22"/>
      <c r="F193" s="22"/>
      <c r="G193" s="48" t="n">
        <f aca="false">IF(OR($E193="",$F193=""),0,$E193*$F193)</f>
        <v>0</v>
      </c>
      <c r="H193" s="48" t="n">
        <f aca="false">IF($A193="",0,SUMIFS($G$8:$G$1007,$C$8:$C$1007,$C193,$A$8:$A$1007,"&gt;="&amp;$A193-6,$A$8:$A$1007,"&lt;="&amp;$A193))</f>
        <v>0</v>
      </c>
      <c r="I193" s="48" t="n">
        <f aca="false">IF($A193="",0,SUMIFS($G$8:$G$1007,$C$8:$C$1007,$C193,$A$8:$A$1007,"&gt;="&amp;$A193-27,$A$8:$A$1007,"&lt;="&amp;$A193)/4)</f>
        <v>0</v>
      </c>
      <c r="J193" s="67" t="n">
        <f aca="false">IF(OR($A193="",$I193=0),0,$H193/$I193)</f>
        <v>0</v>
      </c>
      <c r="K193" s="33" t="n">
        <f aca="false">IF($A193="",0,$A193-SUMPRODUCT(MIN(($C$8:$C$1007=$C193)*$A$8:$A$1007+($C$8:$C$1007&lt;&gt;$C193)*100000))+1)</f>
        <v>0</v>
      </c>
      <c r="L193" s="19" t="str">
        <f aca="false">IF($A193="","",IF($J193=0,"Sem registro anterior",IF($K193&lt;21,"Histórico insuficiente",IF($J193&lt;0.8,"Subcarga",IF($J193&lt;=1.3,"Zona ideal",IF($J193&lt;=1.5,"Atenção","Risco elevado"))))))</f>
        <v/>
      </c>
      <c r="M193" s="20"/>
    </row>
    <row r="194" customFormat="false" ht="15" hidden="false" customHeight="false" outlineLevel="0" collapsed="false">
      <c r="A194" s="21"/>
      <c r="B194" s="33" t="n">
        <f aca="false">IF($A194="",0,INT(($A194-Macrociclo!$C$11)/7)+1)</f>
        <v>0</v>
      </c>
      <c r="C194" s="20"/>
      <c r="D194" s="20"/>
      <c r="E194" s="22"/>
      <c r="F194" s="22"/>
      <c r="G194" s="48" t="n">
        <f aca="false">IF(OR($E194="",$F194=""),0,$E194*$F194)</f>
        <v>0</v>
      </c>
      <c r="H194" s="48" t="n">
        <f aca="false">IF($A194="",0,SUMIFS($G$8:$G$1007,$C$8:$C$1007,$C194,$A$8:$A$1007,"&gt;="&amp;$A194-6,$A$8:$A$1007,"&lt;="&amp;$A194))</f>
        <v>0</v>
      </c>
      <c r="I194" s="48" t="n">
        <f aca="false">IF($A194="",0,SUMIFS($G$8:$G$1007,$C$8:$C$1007,$C194,$A$8:$A$1007,"&gt;="&amp;$A194-27,$A$8:$A$1007,"&lt;="&amp;$A194)/4)</f>
        <v>0</v>
      </c>
      <c r="J194" s="67" t="n">
        <f aca="false">IF(OR($A194="",$I194=0),0,$H194/$I194)</f>
        <v>0</v>
      </c>
      <c r="K194" s="33" t="n">
        <f aca="false">IF($A194="",0,$A194-SUMPRODUCT(MIN(($C$8:$C$1007=$C194)*$A$8:$A$1007+($C$8:$C$1007&lt;&gt;$C194)*100000))+1)</f>
        <v>0</v>
      </c>
      <c r="L194" s="19" t="str">
        <f aca="false">IF($A194="","",IF($J194=0,"Sem registro anterior",IF($K194&lt;21,"Histórico insuficiente",IF($J194&lt;0.8,"Subcarga",IF($J194&lt;=1.3,"Zona ideal",IF($J194&lt;=1.5,"Atenção","Risco elevado"))))))</f>
        <v/>
      </c>
      <c r="M194" s="20"/>
    </row>
    <row r="195" customFormat="false" ht="15" hidden="false" customHeight="false" outlineLevel="0" collapsed="false">
      <c r="A195" s="21"/>
      <c r="B195" s="33" t="n">
        <f aca="false">IF($A195="",0,INT(($A195-Macrociclo!$C$11)/7)+1)</f>
        <v>0</v>
      </c>
      <c r="C195" s="20"/>
      <c r="D195" s="20"/>
      <c r="E195" s="22"/>
      <c r="F195" s="22"/>
      <c r="G195" s="48" t="n">
        <f aca="false">IF(OR($E195="",$F195=""),0,$E195*$F195)</f>
        <v>0</v>
      </c>
      <c r="H195" s="48" t="n">
        <f aca="false">IF($A195="",0,SUMIFS($G$8:$G$1007,$C$8:$C$1007,$C195,$A$8:$A$1007,"&gt;="&amp;$A195-6,$A$8:$A$1007,"&lt;="&amp;$A195))</f>
        <v>0</v>
      </c>
      <c r="I195" s="48" t="n">
        <f aca="false">IF($A195="",0,SUMIFS($G$8:$G$1007,$C$8:$C$1007,$C195,$A$8:$A$1007,"&gt;="&amp;$A195-27,$A$8:$A$1007,"&lt;="&amp;$A195)/4)</f>
        <v>0</v>
      </c>
      <c r="J195" s="67" t="n">
        <f aca="false">IF(OR($A195="",$I195=0),0,$H195/$I195)</f>
        <v>0</v>
      </c>
      <c r="K195" s="33" t="n">
        <f aca="false">IF($A195="",0,$A195-SUMPRODUCT(MIN(($C$8:$C$1007=$C195)*$A$8:$A$1007+($C$8:$C$1007&lt;&gt;$C195)*100000))+1)</f>
        <v>0</v>
      </c>
      <c r="L195" s="19" t="str">
        <f aca="false">IF($A195="","",IF($J195=0,"Sem registro anterior",IF($K195&lt;21,"Histórico insuficiente",IF($J195&lt;0.8,"Subcarga",IF($J195&lt;=1.3,"Zona ideal",IF($J195&lt;=1.5,"Atenção","Risco elevado"))))))</f>
        <v/>
      </c>
      <c r="M195" s="20"/>
    </row>
    <row r="196" customFormat="false" ht="15" hidden="false" customHeight="false" outlineLevel="0" collapsed="false">
      <c r="A196" s="21"/>
      <c r="B196" s="33" t="n">
        <f aca="false">IF($A196="",0,INT(($A196-Macrociclo!$C$11)/7)+1)</f>
        <v>0</v>
      </c>
      <c r="C196" s="20"/>
      <c r="D196" s="20"/>
      <c r="E196" s="22"/>
      <c r="F196" s="22"/>
      <c r="G196" s="48" t="n">
        <f aca="false">IF(OR($E196="",$F196=""),0,$E196*$F196)</f>
        <v>0</v>
      </c>
      <c r="H196" s="48" t="n">
        <f aca="false">IF($A196="",0,SUMIFS($G$8:$G$1007,$C$8:$C$1007,$C196,$A$8:$A$1007,"&gt;="&amp;$A196-6,$A$8:$A$1007,"&lt;="&amp;$A196))</f>
        <v>0</v>
      </c>
      <c r="I196" s="48" t="n">
        <f aca="false">IF($A196="",0,SUMIFS($G$8:$G$1007,$C$8:$C$1007,$C196,$A$8:$A$1007,"&gt;="&amp;$A196-27,$A$8:$A$1007,"&lt;="&amp;$A196)/4)</f>
        <v>0</v>
      </c>
      <c r="J196" s="67" t="n">
        <f aca="false">IF(OR($A196="",$I196=0),0,$H196/$I196)</f>
        <v>0</v>
      </c>
      <c r="K196" s="33" t="n">
        <f aca="false">IF($A196="",0,$A196-SUMPRODUCT(MIN(($C$8:$C$1007=$C196)*$A$8:$A$1007+($C$8:$C$1007&lt;&gt;$C196)*100000))+1)</f>
        <v>0</v>
      </c>
      <c r="L196" s="19" t="str">
        <f aca="false">IF($A196="","",IF($J196=0,"Sem registro anterior",IF($K196&lt;21,"Histórico insuficiente",IF($J196&lt;0.8,"Subcarga",IF($J196&lt;=1.3,"Zona ideal",IF($J196&lt;=1.5,"Atenção","Risco elevado"))))))</f>
        <v/>
      </c>
      <c r="M196" s="20"/>
    </row>
    <row r="197" customFormat="false" ht="15" hidden="false" customHeight="false" outlineLevel="0" collapsed="false">
      <c r="A197" s="21"/>
      <c r="B197" s="33" t="n">
        <f aca="false">IF($A197="",0,INT(($A197-Macrociclo!$C$11)/7)+1)</f>
        <v>0</v>
      </c>
      <c r="C197" s="20"/>
      <c r="D197" s="20"/>
      <c r="E197" s="22"/>
      <c r="F197" s="22"/>
      <c r="G197" s="48" t="n">
        <f aca="false">IF(OR($E197="",$F197=""),0,$E197*$F197)</f>
        <v>0</v>
      </c>
      <c r="H197" s="48" t="n">
        <f aca="false">IF($A197="",0,SUMIFS($G$8:$G$1007,$C$8:$C$1007,$C197,$A$8:$A$1007,"&gt;="&amp;$A197-6,$A$8:$A$1007,"&lt;="&amp;$A197))</f>
        <v>0</v>
      </c>
      <c r="I197" s="48" t="n">
        <f aca="false">IF($A197="",0,SUMIFS($G$8:$G$1007,$C$8:$C$1007,$C197,$A$8:$A$1007,"&gt;="&amp;$A197-27,$A$8:$A$1007,"&lt;="&amp;$A197)/4)</f>
        <v>0</v>
      </c>
      <c r="J197" s="67" t="n">
        <f aca="false">IF(OR($A197="",$I197=0),0,$H197/$I197)</f>
        <v>0</v>
      </c>
      <c r="K197" s="33" t="n">
        <f aca="false">IF($A197="",0,$A197-SUMPRODUCT(MIN(($C$8:$C$1007=$C197)*$A$8:$A$1007+($C$8:$C$1007&lt;&gt;$C197)*100000))+1)</f>
        <v>0</v>
      </c>
      <c r="L197" s="19" t="str">
        <f aca="false">IF($A197="","",IF($J197=0,"Sem registro anterior",IF($K197&lt;21,"Histórico insuficiente",IF($J197&lt;0.8,"Subcarga",IF($J197&lt;=1.3,"Zona ideal",IF($J197&lt;=1.5,"Atenção","Risco elevado"))))))</f>
        <v/>
      </c>
      <c r="M197" s="20"/>
    </row>
    <row r="198" customFormat="false" ht="15" hidden="false" customHeight="false" outlineLevel="0" collapsed="false">
      <c r="A198" s="21"/>
      <c r="B198" s="33" t="n">
        <f aca="false">IF($A198="",0,INT(($A198-Macrociclo!$C$11)/7)+1)</f>
        <v>0</v>
      </c>
      <c r="C198" s="20"/>
      <c r="D198" s="20"/>
      <c r="E198" s="22"/>
      <c r="F198" s="22"/>
      <c r="G198" s="48" t="n">
        <f aca="false">IF(OR($E198="",$F198=""),0,$E198*$F198)</f>
        <v>0</v>
      </c>
      <c r="H198" s="48" t="n">
        <f aca="false">IF($A198="",0,SUMIFS($G$8:$G$1007,$C$8:$C$1007,$C198,$A$8:$A$1007,"&gt;="&amp;$A198-6,$A$8:$A$1007,"&lt;="&amp;$A198))</f>
        <v>0</v>
      </c>
      <c r="I198" s="48" t="n">
        <f aca="false">IF($A198="",0,SUMIFS($G$8:$G$1007,$C$8:$C$1007,$C198,$A$8:$A$1007,"&gt;="&amp;$A198-27,$A$8:$A$1007,"&lt;="&amp;$A198)/4)</f>
        <v>0</v>
      </c>
      <c r="J198" s="67" t="n">
        <f aca="false">IF(OR($A198="",$I198=0),0,$H198/$I198)</f>
        <v>0</v>
      </c>
      <c r="K198" s="33" t="n">
        <f aca="false">IF($A198="",0,$A198-SUMPRODUCT(MIN(($C$8:$C$1007=$C198)*$A$8:$A$1007+($C$8:$C$1007&lt;&gt;$C198)*100000))+1)</f>
        <v>0</v>
      </c>
      <c r="L198" s="19" t="str">
        <f aca="false">IF($A198="","",IF($J198=0,"Sem registro anterior",IF($K198&lt;21,"Histórico insuficiente",IF($J198&lt;0.8,"Subcarga",IF($J198&lt;=1.3,"Zona ideal",IF($J198&lt;=1.5,"Atenção","Risco elevado"))))))</f>
        <v/>
      </c>
      <c r="M198" s="20"/>
    </row>
    <row r="199" customFormat="false" ht="15" hidden="false" customHeight="false" outlineLevel="0" collapsed="false">
      <c r="A199" s="21"/>
      <c r="B199" s="33" t="n">
        <f aca="false">IF($A199="",0,INT(($A199-Macrociclo!$C$11)/7)+1)</f>
        <v>0</v>
      </c>
      <c r="C199" s="20"/>
      <c r="D199" s="20"/>
      <c r="E199" s="22"/>
      <c r="F199" s="22"/>
      <c r="G199" s="48" t="n">
        <f aca="false">IF(OR($E199="",$F199=""),0,$E199*$F199)</f>
        <v>0</v>
      </c>
      <c r="H199" s="48" t="n">
        <f aca="false">IF($A199="",0,SUMIFS($G$8:$G$1007,$C$8:$C$1007,$C199,$A$8:$A$1007,"&gt;="&amp;$A199-6,$A$8:$A$1007,"&lt;="&amp;$A199))</f>
        <v>0</v>
      </c>
      <c r="I199" s="48" t="n">
        <f aca="false">IF($A199="",0,SUMIFS($G$8:$G$1007,$C$8:$C$1007,$C199,$A$8:$A$1007,"&gt;="&amp;$A199-27,$A$8:$A$1007,"&lt;="&amp;$A199)/4)</f>
        <v>0</v>
      </c>
      <c r="J199" s="67" t="n">
        <f aca="false">IF(OR($A199="",$I199=0),0,$H199/$I199)</f>
        <v>0</v>
      </c>
      <c r="K199" s="33" t="n">
        <f aca="false">IF($A199="",0,$A199-SUMPRODUCT(MIN(($C$8:$C$1007=$C199)*$A$8:$A$1007+($C$8:$C$1007&lt;&gt;$C199)*100000))+1)</f>
        <v>0</v>
      </c>
      <c r="L199" s="19" t="str">
        <f aca="false">IF($A199="","",IF($J199=0,"Sem registro anterior",IF($K199&lt;21,"Histórico insuficiente",IF($J199&lt;0.8,"Subcarga",IF($J199&lt;=1.3,"Zona ideal",IF($J199&lt;=1.5,"Atenção","Risco elevado"))))))</f>
        <v/>
      </c>
      <c r="M199" s="20"/>
    </row>
    <row r="200" customFormat="false" ht="15" hidden="false" customHeight="false" outlineLevel="0" collapsed="false">
      <c r="A200" s="21"/>
      <c r="B200" s="33" t="n">
        <f aca="false">IF($A200="",0,INT(($A200-Macrociclo!$C$11)/7)+1)</f>
        <v>0</v>
      </c>
      <c r="C200" s="20"/>
      <c r="D200" s="20"/>
      <c r="E200" s="22"/>
      <c r="F200" s="22"/>
      <c r="G200" s="48" t="n">
        <f aca="false">IF(OR($E200="",$F200=""),0,$E200*$F200)</f>
        <v>0</v>
      </c>
      <c r="H200" s="48" t="n">
        <f aca="false">IF($A200="",0,SUMIFS($G$8:$G$1007,$C$8:$C$1007,$C200,$A$8:$A$1007,"&gt;="&amp;$A200-6,$A$8:$A$1007,"&lt;="&amp;$A200))</f>
        <v>0</v>
      </c>
      <c r="I200" s="48" t="n">
        <f aca="false">IF($A200="",0,SUMIFS($G$8:$G$1007,$C$8:$C$1007,$C200,$A$8:$A$1007,"&gt;="&amp;$A200-27,$A$8:$A$1007,"&lt;="&amp;$A200)/4)</f>
        <v>0</v>
      </c>
      <c r="J200" s="67" t="n">
        <f aca="false">IF(OR($A200="",$I200=0),0,$H200/$I200)</f>
        <v>0</v>
      </c>
      <c r="K200" s="33" t="n">
        <f aca="false">IF($A200="",0,$A200-SUMPRODUCT(MIN(($C$8:$C$1007=$C200)*$A$8:$A$1007+($C$8:$C$1007&lt;&gt;$C200)*100000))+1)</f>
        <v>0</v>
      </c>
      <c r="L200" s="19" t="str">
        <f aca="false">IF($A200="","",IF($J200=0,"Sem registro anterior",IF($K200&lt;21,"Histórico insuficiente",IF($J200&lt;0.8,"Subcarga",IF($J200&lt;=1.3,"Zona ideal",IF($J200&lt;=1.5,"Atenção","Risco elevado"))))))</f>
        <v/>
      </c>
      <c r="M200" s="20"/>
    </row>
    <row r="201" customFormat="false" ht="15" hidden="false" customHeight="false" outlineLevel="0" collapsed="false">
      <c r="A201" s="21"/>
      <c r="B201" s="33" t="n">
        <f aca="false">IF($A201="",0,INT(($A201-Macrociclo!$C$11)/7)+1)</f>
        <v>0</v>
      </c>
      <c r="C201" s="20"/>
      <c r="D201" s="20"/>
      <c r="E201" s="22"/>
      <c r="F201" s="22"/>
      <c r="G201" s="48" t="n">
        <f aca="false">IF(OR($E201="",$F201=""),0,$E201*$F201)</f>
        <v>0</v>
      </c>
      <c r="H201" s="48" t="n">
        <f aca="false">IF($A201="",0,SUMIFS($G$8:$G$1007,$C$8:$C$1007,$C201,$A$8:$A$1007,"&gt;="&amp;$A201-6,$A$8:$A$1007,"&lt;="&amp;$A201))</f>
        <v>0</v>
      </c>
      <c r="I201" s="48" t="n">
        <f aca="false">IF($A201="",0,SUMIFS($G$8:$G$1007,$C$8:$C$1007,$C201,$A$8:$A$1007,"&gt;="&amp;$A201-27,$A$8:$A$1007,"&lt;="&amp;$A201)/4)</f>
        <v>0</v>
      </c>
      <c r="J201" s="67" t="n">
        <f aca="false">IF(OR($A201="",$I201=0),0,$H201/$I201)</f>
        <v>0</v>
      </c>
      <c r="K201" s="33" t="n">
        <f aca="false">IF($A201="",0,$A201-SUMPRODUCT(MIN(($C$8:$C$1007=$C201)*$A$8:$A$1007+($C$8:$C$1007&lt;&gt;$C201)*100000))+1)</f>
        <v>0</v>
      </c>
      <c r="L201" s="19" t="str">
        <f aca="false">IF($A201="","",IF($J201=0,"Sem registro anterior",IF($K201&lt;21,"Histórico insuficiente",IF($J201&lt;0.8,"Subcarga",IF($J201&lt;=1.3,"Zona ideal",IF($J201&lt;=1.5,"Atenção","Risco elevado"))))))</f>
        <v/>
      </c>
      <c r="M201" s="20"/>
    </row>
    <row r="202" customFormat="false" ht="15" hidden="false" customHeight="false" outlineLevel="0" collapsed="false">
      <c r="A202" s="21"/>
      <c r="B202" s="33" t="n">
        <f aca="false">IF($A202="",0,INT(($A202-Macrociclo!$C$11)/7)+1)</f>
        <v>0</v>
      </c>
      <c r="C202" s="20"/>
      <c r="D202" s="20"/>
      <c r="E202" s="22"/>
      <c r="F202" s="22"/>
      <c r="G202" s="48" t="n">
        <f aca="false">IF(OR($E202="",$F202=""),0,$E202*$F202)</f>
        <v>0</v>
      </c>
      <c r="H202" s="48" t="n">
        <f aca="false">IF($A202="",0,SUMIFS($G$8:$G$1007,$C$8:$C$1007,$C202,$A$8:$A$1007,"&gt;="&amp;$A202-6,$A$8:$A$1007,"&lt;="&amp;$A202))</f>
        <v>0</v>
      </c>
      <c r="I202" s="48" t="n">
        <f aca="false">IF($A202="",0,SUMIFS($G$8:$G$1007,$C$8:$C$1007,$C202,$A$8:$A$1007,"&gt;="&amp;$A202-27,$A$8:$A$1007,"&lt;="&amp;$A202)/4)</f>
        <v>0</v>
      </c>
      <c r="J202" s="67" t="n">
        <f aca="false">IF(OR($A202="",$I202=0),0,$H202/$I202)</f>
        <v>0</v>
      </c>
      <c r="K202" s="33" t="n">
        <f aca="false">IF($A202="",0,$A202-SUMPRODUCT(MIN(($C$8:$C$1007=$C202)*$A$8:$A$1007+($C$8:$C$1007&lt;&gt;$C202)*100000))+1)</f>
        <v>0</v>
      </c>
      <c r="L202" s="19" t="str">
        <f aca="false">IF($A202="","",IF($J202=0,"Sem registro anterior",IF($K202&lt;21,"Histórico insuficiente",IF($J202&lt;0.8,"Subcarga",IF($J202&lt;=1.3,"Zona ideal",IF($J202&lt;=1.5,"Atenção","Risco elevado"))))))</f>
        <v/>
      </c>
      <c r="M202" s="20"/>
    </row>
    <row r="203" customFormat="false" ht="15" hidden="false" customHeight="false" outlineLevel="0" collapsed="false">
      <c r="A203" s="21"/>
      <c r="B203" s="33" t="n">
        <f aca="false">IF($A203="",0,INT(($A203-Macrociclo!$C$11)/7)+1)</f>
        <v>0</v>
      </c>
      <c r="C203" s="20"/>
      <c r="D203" s="20"/>
      <c r="E203" s="22"/>
      <c r="F203" s="22"/>
      <c r="G203" s="48" t="n">
        <f aca="false">IF(OR($E203="",$F203=""),0,$E203*$F203)</f>
        <v>0</v>
      </c>
      <c r="H203" s="48" t="n">
        <f aca="false">IF($A203="",0,SUMIFS($G$8:$G$1007,$C$8:$C$1007,$C203,$A$8:$A$1007,"&gt;="&amp;$A203-6,$A$8:$A$1007,"&lt;="&amp;$A203))</f>
        <v>0</v>
      </c>
      <c r="I203" s="48" t="n">
        <f aca="false">IF($A203="",0,SUMIFS($G$8:$G$1007,$C$8:$C$1007,$C203,$A$8:$A$1007,"&gt;="&amp;$A203-27,$A$8:$A$1007,"&lt;="&amp;$A203)/4)</f>
        <v>0</v>
      </c>
      <c r="J203" s="67" t="n">
        <f aca="false">IF(OR($A203="",$I203=0),0,$H203/$I203)</f>
        <v>0</v>
      </c>
      <c r="K203" s="33" t="n">
        <f aca="false">IF($A203="",0,$A203-SUMPRODUCT(MIN(($C$8:$C$1007=$C203)*$A$8:$A$1007+($C$8:$C$1007&lt;&gt;$C203)*100000))+1)</f>
        <v>0</v>
      </c>
      <c r="L203" s="19" t="str">
        <f aca="false">IF($A203="","",IF($J203=0,"Sem registro anterior",IF($K203&lt;21,"Histórico insuficiente",IF($J203&lt;0.8,"Subcarga",IF($J203&lt;=1.3,"Zona ideal",IF($J203&lt;=1.5,"Atenção","Risco elevado"))))))</f>
        <v/>
      </c>
      <c r="M203" s="20"/>
    </row>
    <row r="204" customFormat="false" ht="15" hidden="false" customHeight="false" outlineLevel="0" collapsed="false">
      <c r="A204" s="21"/>
      <c r="B204" s="33" t="n">
        <f aca="false">IF($A204="",0,INT(($A204-Macrociclo!$C$11)/7)+1)</f>
        <v>0</v>
      </c>
      <c r="C204" s="20"/>
      <c r="D204" s="20"/>
      <c r="E204" s="22"/>
      <c r="F204" s="22"/>
      <c r="G204" s="48" t="n">
        <f aca="false">IF(OR($E204="",$F204=""),0,$E204*$F204)</f>
        <v>0</v>
      </c>
      <c r="H204" s="48" t="n">
        <f aca="false">IF($A204="",0,SUMIFS($G$8:$G$1007,$C$8:$C$1007,$C204,$A$8:$A$1007,"&gt;="&amp;$A204-6,$A$8:$A$1007,"&lt;="&amp;$A204))</f>
        <v>0</v>
      </c>
      <c r="I204" s="48" t="n">
        <f aca="false">IF($A204="",0,SUMIFS($G$8:$G$1007,$C$8:$C$1007,$C204,$A$8:$A$1007,"&gt;="&amp;$A204-27,$A$8:$A$1007,"&lt;="&amp;$A204)/4)</f>
        <v>0</v>
      </c>
      <c r="J204" s="67" t="n">
        <f aca="false">IF(OR($A204="",$I204=0),0,$H204/$I204)</f>
        <v>0</v>
      </c>
      <c r="K204" s="33" t="n">
        <f aca="false">IF($A204="",0,$A204-SUMPRODUCT(MIN(($C$8:$C$1007=$C204)*$A$8:$A$1007+($C$8:$C$1007&lt;&gt;$C204)*100000))+1)</f>
        <v>0</v>
      </c>
      <c r="L204" s="19" t="str">
        <f aca="false">IF($A204="","",IF($J204=0,"Sem registro anterior",IF($K204&lt;21,"Histórico insuficiente",IF($J204&lt;0.8,"Subcarga",IF($J204&lt;=1.3,"Zona ideal",IF($J204&lt;=1.5,"Atenção","Risco elevado"))))))</f>
        <v/>
      </c>
      <c r="M204" s="20"/>
    </row>
    <row r="205" customFormat="false" ht="15" hidden="false" customHeight="false" outlineLevel="0" collapsed="false">
      <c r="A205" s="21"/>
      <c r="B205" s="33" t="n">
        <f aca="false">IF($A205="",0,INT(($A205-Macrociclo!$C$11)/7)+1)</f>
        <v>0</v>
      </c>
      <c r="C205" s="20"/>
      <c r="D205" s="20"/>
      <c r="E205" s="22"/>
      <c r="F205" s="22"/>
      <c r="G205" s="48" t="n">
        <f aca="false">IF(OR($E205="",$F205=""),0,$E205*$F205)</f>
        <v>0</v>
      </c>
      <c r="H205" s="48" t="n">
        <f aca="false">IF($A205="",0,SUMIFS($G$8:$G$1007,$C$8:$C$1007,$C205,$A$8:$A$1007,"&gt;="&amp;$A205-6,$A$8:$A$1007,"&lt;="&amp;$A205))</f>
        <v>0</v>
      </c>
      <c r="I205" s="48" t="n">
        <f aca="false">IF($A205="",0,SUMIFS($G$8:$G$1007,$C$8:$C$1007,$C205,$A$8:$A$1007,"&gt;="&amp;$A205-27,$A$8:$A$1007,"&lt;="&amp;$A205)/4)</f>
        <v>0</v>
      </c>
      <c r="J205" s="67" t="n">
        <f aca="false">IF(OR($A205="",$I205=0),0,$H205/$I205)</f>
        <v>0</v>
      </c>
      <c r="K205" s="33" t="n">
        <f aca="false">IF($A205="",0,$A205-SUMPRODUCT(MIN(($C$8:$C$1007=$C205)*$A$8:$A$1007+($C$8:$C$1007&lt;&gt;$C205)*100000))+1)</f>
        <v>0</v>
      </c>
      <c r="L205" s="19" t="str">
        <f aca="false">IF($A205="","",IF($J205=0,"Sem registro anterior",IF($K205&lt;21,"Histórico insuficiente",IF($J205&lt;0.8,"Subcarga",IF($J205&lt;=1.3,"Zona ideal",IF($J205&lt;=1.5,"Atenção","Risco elevado"))))))</f>
        <v/>
      </c>
      <c r="M205" s="20"/>
    </row>
    <row r="206" customFormat="false" ht="15" hidden="false" customHeight="false" outlineLevel="0" collapsed="false">
      <c r="A206" s="21"/>
      <c r="B206" s="33" t="n">
        <f aca="false">IF($A206="",0,INT(($A206-Macrociclo!$C$11)/7)+1)</f>
        <v>0</v>
      </c>
      <c r="C206" s="20"/>
      <c r="D206" s="20"/>
      <c r="E206" s="22"/>
      <c r="F206" s="22"/>
      <c r="G206" s="48" t="n">
        <f aca="false">IF(OR($E206="",$F206=""),0,$E206*$F206)</f>
        <v>0</v>
      </c>
      <c r="H206" s="48" t="n">
        <f aca="false">IF($A206="",0,SUMIFS($G$8:$G$1007,$C$8:$C$1007,$C206,$A$8:$A$1007,"&gt;="&amp;$A206-6,$A$8:$A$1007,"&lt;="&amp;$A206))</f>
        <v>0</v>
      </c>
      <c r="I206" s="48" t="n">
        <f aca="false">IF($A206="",0,SUMIFS($G$8:$G$1007,$C$8:$C$1007,$C206,$A$8:$A$1007,"&gt;="&amp;$A206-27,$A$8:$A$1007,"&lt;="&amp;$A206)/4)</f>
        <v>0</v>
      </c>
      <c r="J206" s="67" t="n">
        <f aca="false">IF(OR($A206="",$I206=0),0,$H206/$I206)</f>
        <v>0</v>
      </c>
      <c r="K206" s="33" t="n">
        <f aca="false">IF($A206="",0,$A206-SUMPRODUCT(MIN(($C$8:$C$1007=$C206)*$A$8:$A$1007+($C$8:$C$1007&lt;&gt;$C206)*100000))+1)</f>
        <v>0</v>
      </c>
      <c r="L206" s="19" t="str">
        <f aca="false">IF($A206="","",IF($J206=0,"Sem registro anterior",IF($K206&lt;21,"Histórico insuficiente",IF($J206&lt;0.8,"Subcarga",IF($J206&lt;=1.3,"Zona ideal",IF($J206&lt;=1.5,"Atenção","Risco elevado"))))))</f>
        <v/>
      </c>
      <c r="M206" s="20"/>
    </row>
    <row r="207" customFormat="false" ht="15" hidden="false" customHeight="false" outlineLevel="0" collapsed="false">
      <c r="A207" s="21"/>
      <c r="B207" s="33" t="n">
        <f aca="false">IF($A207="",0,INT(($A207-Macrociclo!$C$11)/7)+1)</f>
        <v>0</v>
      </c>
      <c r="C207" s="20"/>
      <c r="D207" s="20"/>
      <c r="E207" s="22"/>
      <c r="F207" s="22"/>
      <c r="G207" s="48" t="n">
        <f aca="false">IF(OR($E207="",$F207=""),0,$E207*$F207)</f>
        <v>0</v>
      </c>
      <c r="H207" s="48" t="n">
        <f aca="false">IF($A207="",0,SUMIFS($G$8:$G$1007,$C$8:$C$1007,$C207,$A$8:$A$1007,"&gt;="&amp;$A207-6,$A$8:$A$1007,"&lt;="&amp;$A207))</f>
        <v>0</v>
      </c>
      <c r="I207" s="48" t="n">
        <f aca="false">IF($A207="",0,SUMIFS($G$8:$G$1007,$C$8:$C$1007,$C207,$A$8:$A$1007,"&gt;="&amp;$A207-27,$A$8:$A$1007,"&lt;="&amp;$A207)/4)</f>
        <v>0</v>
      </c>
      <c r="J207" s="67" t="n">
        <f aca="false">IF(OR($A207="",$I207=0),0,$H207/$I207)</f>
        <v>0</v>
      </c>
      <c r="K207" s="33" t="n">
        <f aca="false">IF($A207="",0,$A207-SUMPRODUCT(MIN(($C$8:$C$1007=$C207)*$A$8:$A$1007+($C$8:$C$1007&lt;&gt;$C207)*100000))+1)</f>
        <v>0</v>
      </c>
      <c r="L207" s="19" t="str">
        <f aca="false">IF($A207="","",IF($J207=0,"Sem registro anterior",IF($K207&lt;21,"Histórico insuficiente",IF($J207&lt;0.8,"Subcarga",IF($J207&lt;=1.3,"Zona ideal",IF($J207&lt;=1.5,"Atenção","Risco elevado"))))))</f>
        <v/>
      </c>
      <c r="M207" s="20"/>
    </row>
    <row r="208" customFormat="false" ht="15" hidden="false" customHeight="false" outlineLevel="0" collapsed="false">
      <c r="A208" s="21"/>
      <c r="B208" s="33" t="n">
        <f aca="false">IF($A208="",0,INT(($A208-Macrociclo!$C$11)/7)+1)</f>
        <v>0</v>
      </c>
      <c r="C208" s="20"/>
      <c r="D208" s="20"/>
      <c r="E208" s="22"/>
      <c r="F208" s="22"/>
      <c r="G208" s="48" t="n">
        <f aca="false">IF(OR($E208="",$F208=""),0,$E208*$F208)</f>
        <v>0</v>
      </c>
      <c r="H208" s="48" t="n">
        <f aca="false">IF($A208="",0,SUMIFS($G$8:$G$1007,$C$8:$C$1007,$C208,$A$8:$A$1007,"&gt;="&amp;$A208-6,$A$8:$A$1007,"&lt;="&amp;$A208))</f>
        <v>0</v>
      </c>
      <c r="I208" s="48" t="n">
        <f aca="false">IF($A208="",0,SUMIFS($G$8:$G$1007,$C$8:$C$1007,$C208,$A$8:$A$1007,"&gt;="&amp;$A208-27,$A$8:$A$1007,"&lt;="&amp;$A208)/4)</f>
        <v>0</v>
      </c>
      <c r="J208" s="67" t="n">
        <f aca="false">IF(OR($A208="",$I208=0),0,$H208/$I208)</f>
        <v>0</v>
      </c>
      <c r="K208" s="33" t="n">
        <f aca="false">IF($A208="",0,$A208-SUMPRODUCT(MIN(($C$8:$C$1007=$C208)*$A$8:$A$1007+($C$8:$C$1007&lt;&gt;$C208)*100000))+1)</f>
        <v>0</v>
      </c>
      <c r="L208" s="19" t="str">
        <f aca="false">IF($A208="","",IF($J208=0,"Sem registro anterior",IF($K208&lt;21,"Histórico insuficiente",IF($J208&lt;0.8,"Subcarga",IF($J208&lt;=1.3,"Zona ideal",IF($J208&lt;=1.5,"Atenção","Risco elevado"))))))</f>
        <v/>
      </c>
      <c r="M208" s="20"/>
    </row>
    <row r="209" customFormat="false" ht="15" hidden="false" customHeight="false" outlineLevel="0" collapsed="false">
      <c r="A209" s="21"/>
      <c r="B209" s="33" t="n">
        <f aca="false">IF($A209="",0,INT(($A209-Macrociclo!$C$11)/7)+1)</f>
        <v>0</v>
      </c>
      <c r="C209" s="20"/>
      <c r="D209" s="20"/>
      <c r="E209" s="22"/>
      <c r="F209" s="22"/>
      <c r="G209" s="48" t="n">
        <f aca="false">IF(OR($E209="",$F209=""),0,$E209*$F209)</f>
        <v>0</v>
      </c>
      <c r="H209" s="48" t="n">
        <f aca="false">IF($A209="",0,SUMIFS($G$8:$G$1007,$C$8:$C$1007,$C209,$A$8:$A$1007,"&gt;="&amp;$A209-6,$A$8:$A$1007,"&lt;="&amp;$A209))</f>
        <v>0</v>
      </c>
      <c r="I209" s="48" t="n">
        <f aca="false">IF($A209="",0,SUMIFS($G$8:$G$1007,$C$8:$C$1007,$C209,$A$8:$A$1007,"&gt;="&amp;$A209-27,$A$8:$A$1007,"&lt;="&amp;$A209)/4)</f>
        <v>0</v>
      </c>
      <c r="J209" s="67" t="n">
        <f aca="false">IF(OR($A209="",$I209=0),0,$H209/$I209)</f>
        <v>0</v>
      </c>
      <c r="K209" s="33" t="n">
        <f aca="false">IF($A209="",0,$A209-SUMPRODUCT(MIN(($C$8:$C$1007=$C209)*$A$8:$A$1007+($C$8:$C$1007&lt;&gt;$C209)*100000))+1)</f>
        <v>0</v>
      </c>
      <c r="L209" s="19" t="str">
        <f aca="false">IF($A209="","",IF($J209=0,"Sem registro anterior",IF($K209&lt;21,"Histórico insuficiente",IF($J209&lt;0.8,"Subcarga",IF($J209&lt;=1.3,"Zona ideal",IF($J209&lt;=1.5,"Atenção","Risco elevado"))))))</f>
        <v/>
      </c>
      <c r="M209" s="20"/>
    </row>
    <row r="210" customFormat="false" ht="15" hidden="false" customHeight="false" outlineLevel="0" collapsed="false">
      <c r="A210" s="21"/>
      <c r="B210" s="33" t="n">
        <f aca="false">IF($A210="",0,INT(($A210-Macrociclo!$C$11)/7)+1)</f>
        <v>0</v>
      </c>
      <c r="C210" s="20"/>
      <c r="D210" s="20"/>
      <c r="E210" s="22"/>
      <c r="F210" s="22"/>
      <c r="G210" s="48" t="n">
        <f aca="false">IF(OR($E210="",$F210=""),0,$E210*$F210)</f>
        <v>0</v>
      </c>
      <c r="H210" s="48" t="n">
        <f aca="false">IF($A210="",0,SUMIFS($G$8:$G$1007,$C$8:$C$1007,$C210,$A$8:$A$1007,"&gt;="&amp;$A210-6,$A$8:$A$1007,"&lt;="&amp;$A210))</f>
        <v>0</v>
      </c>
      <c r="I210" s="48" t="n">
        <f aca="false">IF($A210="",0,SUMIFS($G$8:$G$1007,$C$8:$C$1007,$C210,$A$8:$A$1007,"&gt;="&amp;$A210-27,$A$8:$A$1007,"&lt;="&amp;$A210)/4)</f>
        <v>0</v>
      </c>
      <c r="J210" s="67" t="n">
        <f aca="false">IF(OR($A210="",$I210=0),0,$H210/$I210)</f>
        <v>0</v>
      </c>
      <c r="K210" s="33" t="n">
        <f aca="false">IF($A210="",0,$A210-SUMPRODUCT(MIN(($C$8:$C$1007=$C210)*$A$8:$A$1007+($C$8:$C$1007&lt;&gt;$C210)*100000))+1)</f>
        <v>0</v>
      </c>
      <c r="L210" s="19" t="str">
        <f aca="false">IF($A210="","",IF($J210=0,"Sem registro anterior",IF($K210&lt;21,"Histórico insuficiente",IF($J210&lt;0.8,"Subcarga",IF($J210&lt;=1.3,"Zona ideal",IF($J210&lt;=1.5,"Atenção","Risco elevado"))))))</f>
        <v/>
      </c>
      <c r="M210" s="20"/>
    </row>
    <row r="211" customFormat="false" ht="15" hidden="false" customHeight="false" outlineLevel="0" collapsed="false">
      <c r="A211" s="21"/>
      <c r="B211" s="33" t="n">
        <f aca="false">IF($A211="",0,INT(($A211-Macrociclo!$C$11)/7)+1)</f>
        <v>0</v>
      </c>
      <c r="C211" s="20"/>
      <c r="D211" s="20"/>
      <c r="E211" s="22"/>
      <c r="F211" s="22"/>
      <c r="G211" s="48" t="n">
        <f aca="false">IF(OR($E211="",$F211=""),0,$E211*$F211)</f>
        <v>0</v>
      </c>
      <c r="H211" s="48" t="n">
        <f aca="false">IF($A211="",0,SUMIFS($G$8:$G$1007,$C$8:$C$1007,$C211,$A$8:$A$1007,"&gt;="&amp;$A211-6,$A$8:$A$1007,"&lt;="&amp;$A211))</f>
        <v>0</v>
      </c>
      <c r="I211" s="48" t="n">
        <f aca="false">IF($A211="",0,SUMIFS($G$8:$G$1007,$C$8:$C$1007,$C211,$A$8:$A$1007,"&gt;="&amp;$A211-27,$A$8:$A$1007,"&lt;="&amp;$A211)/4)</f>
        <v>0</v>
      </c>
      <c r="J211" s="67" t="n">
        <f aca="false">IF(OR($A211="",$I211=0),0,$H211/$I211)</f>
        <v>0</v>
      </c>
      <c r="K211" s="33" t="n">
        <f aca="false">IF($A211="",0,$A211-SUMPRODUCT(MIN(($C$8:$C$1007=$C211)*$A$8:$A$1007+($C$8:$C$1007&lt;&gt;$C211)*100000))+1)</f>
        <v>0</v>
      </c>
      <c r="L211" s="19" t="str">
        <f aca="false">IF($A211="","",IF($J211=0,"Sem registro anterior",IF($K211&lt;21,"Histórico insuficiente",IF($J211&lt;0.8,"Subcarga",IF($J211&lt;=1.3,"Zona ideal",IF($J211&lt;=1.5,"Atenção","Risco elevado"))))))</f>
        <v/>
      </c>
      <c r="M211" s="20"/>
    </row>
    <row r="212" customFormat="false" ht="15" hidden="false" customHeight="false" outlineLevel="0" collapsed="false">
      <c r="A212" s="21"/>
      <c r="B212" s="33" t="n">
        <f aca="false">IF($A212="",0,INT(($A212-Macrociclo!$C$11)/7)+1)</f>
        <v>0</v>
      </c>
      <c r="C212" s="20"/>
      <c r="D212" s="20"/>
      <c r="E212" s="22"/>
      <c r="F212" s="22"/>
      <c r="G212" s="48" t="n">
        <f aca="false">IF(OR($E212="",$F212=""),0,$E212*$F212)</f>
        <v>0</v>
      </c>
      <c r="H212" s="48" t="n">
        <f aca="false">IF($A212="",0,SUMIFS($G$8:$G$1007,$C$8:$C$1007,$C212,$A$8:$A$1007,"&gt;="&amp;$A212-6,$A$8:$A$1007,"&lt;="&amp;$A212))</f>
        <v>0</v>
      </c>
      <c r="I212" s="48" t="n">
        <f aca="false">IF($A212="",0,SUMIFS($G$8:$G$1007,$C$8:$C$1007,$C212,$A$8:$A$1007,"&gt;="&amp;$A212-27,$A$8:$A$1007,"&lt;="&amp;$A212)/4)</f>
        <v>0</v>
      </c>
      <c r="J212" s="67" t="n">
        <f aca="false">IF(OR($A212="",$I212=0),0,$H212/$I212)</f>
        <v>0</v>
      </c>
      <c r="K212" s="33" t="n">
        <f aca="false">IF($A212="",0,$A212-SUMPRODUCT(MIN(($C$8:$C$1007=$C212)*$A$8:$A$1007+($C$8:$C$1007&lt;&gt;$C212)*100000))+1)</f>
        <v>0</v>
      </c>
      <c r="L212" s="19" t="str">
        <f aca="false">IF($A212="","",IF($J212=0,"Sem registro anterior",IF($K212&lt;21,"Histórico insuficiente",IF($J212&lt;0.8,"Subcarga",IF($J212&lt;=1.3,"Zona ideal",IF($J212&lt;=1.5,"Atenção","Risco elevado"))))))</f>
        <v/>
      </c>
      <c r="M212" s="20"/>
    </row>
    <row r="213" customFormat="false" ht="15" hidden="false" customHeight="false" outlineLevel="0" collapsed="false">
      <c r="A213" s="21"/>
      <c r="B213" s="33" t="n">
        <f aca="false">IF($A213="",0,INT(($A213-Macrociclo!$C$11)/7)+1)</f>
        <v>0</v>
      </c>
      <c r="C213" s="20"/>
      <c r="D213" s="20"/>
      <c r="E213" s="22"/>
      <c r="F213" s="22"/>
      <c r="G213" s="48" t="n">
        <f aca="false">IF(OR($E213="",$F213=""),0,$E213*$F213)</f>
        <v>0</v>
      </c>
      <c r="H213" s="48" t="n">
        <f aca="false">IF($A213="",0,SUMIFS($G$8:$G$1007,$C$8:$C$1007,$C213,$A$8:$A$1007,"&gt;="&amp;$A213-6,$A$8:$A$1007,"&lt;="&amp;$A213))</f>
        <v>0</v>
      </c>
      <c r="I213" s="48" t="n">
        <f aca="false">IF($A213="",0,SUMIFS($G$8:$G$1007,$C$8:$C$1007,$C213,$A$8:$A$1007,"&gt;="&amp;$A213-27,$A$8:$A$1007,"&lt;="&amp;$A213)/4)</f>
        <v>0</v>
      </c>
      <c r="J213" s="67" t="n">
        <f aca="false">IF(OR($A213="",$I213=0),0,$H213/$I213)</f>
        <v>0</v>
      </c>
      <c r="K213" s="33" t="n">
        <f aca="false">IF($A213="",0,$A213-SUMPRODUCT(MIN(($C$8:$C$1007=$C213)*$A$8:$A$1007+($C$8:$C$1007&lt;&gt;$C213)*100000))+1)</f>
        <v>0</v>
      </c>
      <c r="L213" s="19" t="str">
        <f aca="false">IF($A213="","",IF($J213=0,"Sem registro anterior",IF($K213&lt;21,"Histórico insuficiente",IF($J213&lt;0.8,"Subcarga",IF($J213&lt;=1.3,"Zona ideal",IF($J213&lt;=1.5,"Atenção","Risco elevado"))))))</f>
        <v/>
      </c>
      <c r="M213" s="20"/>
    </row>
    <row r="214" customFormat="false" ht="15" hidden="false" customHeight="false" outlineLevel="0" collapsed="false">
      <c r="A214" s="21"/>
      <c r="B214" s="33" t="n">
        <f aca="false">IF($A214="",0,INT(($A214-Macrociclo!$C$11)/7)+1)</f>
        <v>0</v>
      </c>
      <c r="C214" s="20"/>
      <c r="D214" s="20"/>
      <c r="E214" s="22"/>
      <c r="F214" s="22"/>
      <c r="G214" s="48" t="n">
        <f aca="false">IF(OR($E214="",$F214=""),0,$E214*$F214)</f>
        <v>0</v>
      </c>
      <c r="H214" s="48" t="n">
        <f aca="false">IF($A214="",0,SUMIFS($G$8:$G$1007,$C$8:$C$1007,$C214,$A$8:$A$1007,"&gt;="&amp;$A214-6,$A$8:$A$1007,"&lt;="&amp;$A214))</f>
        <v>0</v>
      </c>
      <c r="I214" s="48" t="n">
        <f aca="false">IF($A214="",0,SUMIFS($G$8:$G$1007,$C$8:$C$1007,$C214,$A$8:$A$1007,"&gt;="&amp;$A214-27,$A$8:$A$1007,"&lt;="&amp;$A214)/4)</f>
        <v>0</v>
      </c>
      <c r="J214" s="67" t="n">
        <f aca="false">IF(OR($A214="",$I214=0),0,$H214/$I214)</f>
        <v>0</v>
      </c>
      <c r="K214" s="33" t="n">
        <f aca="false">IF($A214="",0,$A214-SUMPRODUCT(MIN(($C$8:$C$1007=$C214)*$A$8:$A$1007+($C$8:$C$1007&lt;&gt;$C214)*100000))+1)</f>
        <v>0</v>
      </c>
      <c r="L214" s="19" t="str">
        <f aca="false">IF($A214="","",IF($J214=0,"Sem registro anterior",IF($K214&lt;21,"Histórico insuficiente",IF($J214&lt;0.8,"Subcarga",IF($J214&lt;=1.3,"Zona ideal",IF($J214&lt;=1.5,"Atenção","Risco elevado"))))))</f>
        <v/>
      </c>
      <c r="M214" s="20"/>
    </row>
    <row r="215" customFormat="false" ht="15" hidden="false" customHeight="false" outlineLevel="0" collapsed="false">
      <c r="A215" s="21"/>
      <c r="B215" s="33" t="n">
        <f aca="false">IF($A215="",0,INT(($A215-Macrociclo!$C$11)/7)+1)</f>
        <v>0</v>
      </c>
      <c r="C215" s="20"/>
      <c r="D215" s="20"/>
      <c r="E215" s="22"/>
      <c r="F215" s="22"/>
      <c r="G215" s="48" t="n">
        <f aca="false">IF(OR($E215="",$F215=""),0,$E215*$F215)</f>
        <v>0</v>
      </c>
      <c r="H215" s="48" t="n">
        <f aca="false">IF($A215="",0,SUMIFS($G$8:$G$1007,$C$8:$C$1007,$C215,$A$8:$A$1007,"&gt;="&amp;$A215-6,$A$8:$A$1007,"&lt;="&amp;$A215))</f>
        <v>0</v>
      </c>
      <c r="I215" s="48" t="n">
        <f aca="false">IF($A215="",0,SUMIFS($G$8:$G$1007,$C$8:$C$1007,$C215,$A$8:$A$1007,"&gt;="&amp;$A215-27,$A$8:$A$1007,"&lt;="&amp;$A215)/4)</f>
        <v>0</v>
      </c>
      <c r="J215" s="67" t="n">
        <f aca="false">IF(OR($A215="",$I215=0),0,$H215/$I215)</f>
        <v>0</v>
      </c>
      <c r="K215" s="33" t="n">
        <f aca="false">IF($A215="",0,$A215-SUMPRODUCT(MIN(($C$8:$C$1007=$C215)*$A$8:$A$1007+($C$8:$C$1007&lt;&gt;$C215)*100000))+1)</f>
        <v>0</v>
      </c>
      <c r="L215" s="19" t="str">
        <f aca="false">IF($A215="","",IF($J215=0,"Sem registro anterior",IF($K215&lt;21,"Histórico insuficiente",IF($J215&lt;0.8,"Subcarga",IF($J215&lt;=1.3,"Zona ideal",IF($J215&lt;=1.5,"Atenção","Risco elevado"))))))</f>
        <v/>
      </c>
      <c r="M215" s="20"/>
    </row>
    <row r="216" customFormat="false" ht="15" hidden="false" customHeight="false" outlineLevel="0" collapsed="false">
      <c r="A216" s="21"/>
      <c r="B216" s="33" t="n">
        <f aca="false">IF($A216="",0,INT(($A216-Macrociclo!$C$11)/7)+1)</f>
        <v>0</v>
      </c>
      <c r="C216" s="20"/>
      <c r="D216" s="20"/>
      <c r="E216" s="22"/>
      <c r="F216" s="22"/>
      <c r="G216" s="48" t="n">
        <f aca="false">IF(OR($E216="",$F216=""),0,$E216*$F216)</f>
        <v>0</v>
      </c>
      <c r="H216" s="48" t="n">
        <f aca="false">IF($A216="",0,SUMIFS($G$8:$G$1007,$C$8:$C$1007,$C216,$A$8:$A$1007,"&gt;="&amp;$A216-6,$A$8:$A$1007,"&lt;="&amp;$A216))</f>
        <v>0</v>
      </c>
      <c r="I216" s="48" t="n">
        <f aca="false">IF($A216="",0,SUMIFS($G$8:$G$1007,$C$8:$C$1007,$C216,$A$8:$A$1007,"&gt;="&amp;$A216-27,$A$8:$A$1007,"&lt;="&amp;$A216)/4)</f>
        <v>0</v>
      </c>
      <c r="J216" s="67" t="n">
        <f aca="false">IF(OR($A216="",$I216=0),0,$H216/$I216)</f>
        <v>0</v>
      </c>
      <c r="K216" s="33" t="n">
        <f aca="false">IF($A216="",0,$A216-SUMPRODUCT(MIN(($C$8:$C$1007=$C216)*$A$8:$A$1007+($C$8:$C$1007&lt;&gt;$C216)*100000))+1)</f>
        <v>0</v>
      </c>
      <c r="L216" s="19" t="str">
        <f aca="false">IF($A216="","",IF($J216=0,"Sem registro anterior",IF($K216&lt;21,"Histórico insuficiente",IF($J216&lt;0.8,"Subcarga",IF($J216&lt;=1.3,"Zona ideal",IF($J216&lt;=1.5,"Atenção","Risco elevado"))))))</f>
        <v/>
      </c>
      <c r="M216" s="20"/>
    </row>
    <row r="217" customFormat="false" ht="15" hidden="false" customHeight="false" outlineLevel="0" collapsed="false">
      <c r="A217" s="21"/>
      <c r="B217" s="33" t="n">
        <f aca="false">IF($A217="",0,INT(($A217-Macrociclo!$C$11)/7)+1)</f>
        <v>0</v>
      </c>
      <c r="C217" s="20"/>
      <c r="D217" s="20"/>
      <c r="E217" s="22"/>
      <c r="F217" s="22"/>
      <c r="G217" s="48" t="n">
        <f aca="false">IF(OR($E217="",$F217=""),0,$E217*$F217)</f>
        <v>0</v>
      </c>
      <c r="H217" s="48" t="n">
        <f aca="false">IF($A217="",0,SUMIFS($G$8:$G$1007,$C$8:$C$1007,$C217,$A$8:$A$1007,"&gt;="&amp;$A217-6,$A$8:$A$1007,"&lt;="&amp;$A217))</f>
        <v>0</v>
      </c>
      <c r="I217" s="48" t="n">
        <f aca="false">IF($A217="",0,SUMIFS($G$8:$G$1007,$C$8:$C$1007,$C217,$A$8:$A$1007,"&gt;="&amp;$A217-27,$A$8:$A$1007,"&lt;="&amp;$A217)/4)</f>
        <v>0</v>
      </c>
      <c r="J217" s="67" t="n">
        <f aca="false">IF(OR($A217="",$I217=0),0,$H217/$I217)</f>
        <v>0</v>
      </c>
      <c r="K217" s="33" t="n">
        <f aca="false">IF($A217="",0,$A217-SUMPRODUCT(MIN(($C$8:$C$1007=$C217)*$A$8:$A$1007+($C$8:$C$1007&lt;&gt;$C217)*100000))+1)</f>
        <v>0</v>
      </c>
      <c r="L217" s="19" t="str">
        <f aca="false">IF($A217="","",IF($J217=0,"Sem registro anterior",IF($K217&lt;21,"Histórico insuficiente",IF($J217&lt;0.8,"Subcarga",IF($J217&lt;=1.3,"Zona ideal",IF($J217&lt;=1.5,"Atenção","Risco elevado"))))))</f>
        <v/>
      </c>
      <c r="M217" s="20"/>
    </row>
    <row r="218" customFormat="false" ht="15" hidden="false" customHeight="false" outlineLevel="0" collapsed="false">
      <c r="A218" s="21"/>
      <c r="B218" s="33" t="n">
        <f aca="false">IF($A218="",0,INT(($A218-Macrociclo!$C$11)/7)+1)</f>
        <v>0</v>
      </c>
      <c r="C218" s="20"/>
      <c r="D218" s="20"/>
      <c r="E218" s="22"/>
      <c r="F218" s="22"/>
      <c r="G218" s="48" t="n">
        <f aca="false">IF(OR($E218="",$F218=""),0,$E218*$F218)</f>
        <v>0</v>
      </c>
      <c r="H218" s="48" t="n">
        <f aca="false">IF($A218="",0,SUMIFS($G$8:$G$1007,$C$8:$C$1007,$C218,$A$8:$A$1007,"&gt;="&amp;$A218-6,$A$8:$A$1007,"&lt;="&amp;$A218))</f>
        <v>0</v>
      </c>
      <c r="I218" s="48" t="n">
        <f aca="false">IF($A218="",0,SUMIFS($G$8:$G$1007,$C$8:$C$1007,$C218,$A$8:$A$1007,"&gt;="&amp;$A218-27,$A$8:$A$1007,"&lt;="&amp;$A218)/4)</f>
        <v>0</v>
      </c>
      <c r="J218" s="67" t="n">
        <f aca="false">IF(OR($A218="",$I218=0),0,$H218/$I218)</f>
        <v>0</v>
      </c>
      <c r="K218" s="33" t="n">
        <f aca="false">IF($A218="",0,$A218-SUMPRODUCT(MIN(($C$8:$C$1007=$C218)*$A$8:$A$1007+($C$8:$C$1007&lt;&gt;$C218)*100000))+1)</f>
        <v>0</v>
      </c>
      <c r="L218" s="19" t="str">
        <f aca="false">IF($A218="","",IF($J218=0,"Sem registro anterior",IF($K218&lt;21,"Histórico insuficiente",IF($J218&lt;0.8,"Subcarga",IF($J218&lt;=1.3,"Zona ideal",IF($J218&lt;=1.5,"Atenção","Risco elevado"))))))</f>
        <v/>
      </c>
      <c r="M218" s="20"/>
    </row>
    <row r="219" customFormat="false" ht="15" hidden="false" customHeight="false" outlineLevel="0" collapsed="false">
      <c r="A219" s="21"/>
      <c r="B219" s="33" t="n">
        <f aca="false">IF($A219="",0,INT(($A219-Macrociclo!$C$11)/7)+1)</f>
        <v>0</v>
      </c>
      <c r="C219" s="20"/>
      <c r="D219" s="20"/>
      <c r="E219" s="22"/>
      <c r="F219" s="22"/>
      <c r="G219" s="48" t="n">
        <f aca="false">IF(OR($E219="",$F219=""),0,$E219*$F219)</f>
        <v>0</v>
      </c>
      <c r="H219" s="48" t="n">
        <f aca="false">IF($A219="",0,SUMIFS($G$8:$G$1007,$C$8:$C$1007,$C219,$A$8:$A$1007,"&gt;="&amp;$A219-6,$A$8:$A$1007,"&lt;="&amp;$A219))</f>
        <v>0</v>
      </c>
      <c r="I219" s="48" t="n">
        <f aca="false">IF($A219="",0,SUMIFS($G$8:$G$1007,$C$8:$C$1007,$C219,$A$8:$A$1007,"&gt;="&amp;$A219-27,$A$8:$A$1007,"&lt;="&amp;$A219)/4)</f>
        <v>0</v>
      </c>
      <c r="J219" s="67" t="n">
        <f aca="false">IF(OR($A219="",$I219=0),0,$H219/$I219)</f>
        <v>0</v>
      </c>
      <c r="K219" s="33" t="n">
        <f aca="false">IF($A219="",0,$A219-SUMPRODUCT(MIN(($C$8:$C$1007=$C219)*$A$8:$A$1007+($C$8:$C$1007&lt;&gt;$C219)*100000))+1)</f>
        <v>0</v>
      </c>
      <c r="L219" s="19" t="str">
        <f aca="false">IF($A219="","",IF($J219=0,"Sem registro anterior",IF($K219&lt;21,"Histórico insuficiente",IF($J219&lt;0.8,"Subcarga",IF($J219&lt;=1.3,"Zona ideal",IF($J219&lt;=1.5,"Atenção","Risco elevado"))))))</f>
        <v/>
      </c>
      <c r="M219" s="20"/>
    </row>
    <row r="220" customFormat="false" ht="15" hidden="false" customHeight="false" outlineLevel="0" collapsed="false">
      <c r="A220" s="21"/>
      <c r="B220" s="33" t="n">
        <f aca="false">IF($A220="",0,INT(($A220-Macrociclo!$C$11)/7)+1)</f>
        <v>0</v>
      </c>
      <c r="C220" s="20"/>
      <c r="D220" s="20"/>
      <c r="E220" s="22"/>
      <c r="F220" s="22"/>
      <c r="G220" s="48" t="n">
        <f aca="false">IF(OR($E220="",$F220=""),0,$E220*$F220)</f>
        <v>0</v>
      </c>
      <c r="H220" s="48" t="n">
        <f aca="false">IF($A220="",0,SUMIFS($G$8:$G$1007,$C$8:$C$1007,$C220,$A$8:$A$1007,"&gt;="&amp;$A220-6,$A$8:$A$1007,"&lt;="&amp;$A220))</f>
        <v>0</v>
      </c>
      <c r="I220" s="48" t="n">
        <f aca="false">IF($A220="",0,SUMIFS($G$8:$G$1007,$C$8:$C$1007,$C220,$A$8:$A$1007,"&gt;="&amp;$A220-27,$A$8:$A$1007,"&lt;="&amp;$A220)/4)</f>
        <v>0</v>
      </c>
      <c r="J220" s="67" t="n">
        <f aca="false">IF(OR($A220="",$I220=0),0,$H220/$I220)</f>
        <v>0</v>
      </c>
      <c r="K220" s="33" t="n">
        <f aca="false">IF($A220="",0,$A220-SUMPRODUCT(MIN(($C$8:$C$1007=$C220)*$A$8:$A$1007+($C$8:$C$1007&lt;&gt;$C220)*100000))+1)</f>
        <v>0</v>
      </c>
      <c r="L220" s="19" t="str">
        <f aca="false">IF($A220="","",IF($J220=0,"Sem registro anterior",IF($K220&lt;21,"Histórico insuficiente",IF($J220&lt;0.8,"Subcarga",IF($J220&lt;=1.3,"Zona ideal",IF($J220&lt;=1.5,"Atenção","Risco elevado"))))))</f>
        <v/>
      </c>
      <c r="M220" s="20"/>
    </row>
    <row r="221" customFormat="false" ht="15" hidden="false" customHeight="false" outlineLevel="0" collapsed="false">
      <c r="A221" s="21"/>
      <c r="B221" s="33" t="n">
        <f aca="false">IF($A221="",0,INT(($A221-Macrociclo!$C$11)/7)+1)</f>
        <v>0</v>
      </c>
      <c r="C221" s="20"/>
      <c r="D221" s="20"/>
      <c r="E221" s="22"/>
      <c r="F221" s="22"/>
      <c r="G221" s="48" t="n">
        <f aca="false">IF(OR($E221="",$F221=""),0,$E221*$F221)</f>
        <v>0</v>
      </c>
      <c r="H221" s="48" t="n">
        <f aca="false">IF($A221="",0,SUMIFS($G$8:$G$1007,$C$8:$C$1007,$C221,$A$8:$A$1007,"&gt;="&amp;$A221-6,$A$8:$A$1007,"&lt;="&amp;$A221))</f>
        <v>0</v>
      </c>
      <c r="I221" s="48" t="n">
        <f aca="false">IF($A221="",0,SUMIFS($G$8:$G$1007,$C$8:$C$1007,$C221,$A$8:$A$1007,"&gt;="&amp;$A221-27,$A$8:$A$1007,"&lt;="&amp;$A221)/4)</f>
        <v>0</v>
      </c>
      <c r="J221" s="67" t="n">
        <f aca="false">IF(OR($A221="",$I221=0),0,$H221/$I221)</f>
        <v>0</v>
      </c>
      <c r="K221" s="33" t="n">
        <f aca="false">IF($A221="",0,$A221-SUMPRODUCT(MIN(($C$8:$C$1007=$C221)*$A$8:$A$1007+($C$8:$C$1007&lt;&gt;$C221)*100000))+1)</f>
        <v>0</v>
      </c>
      <c r="L221" s="19" t="str">
        <f aca="false">IF($A221="","",IF($J221=0,"Sem registro anterior",IF($K221&lt;21,"Histórico insuficiente",IF($J221&lt;0.8,"Subcarga",IF($J221&lt;=1.3,"Zona ideal",IF($J221&lt;=1.5,"Atenção","Risco elevado"))))))</f>
        <v/>
      </c>
      <c r="M221" s="20"/>
    </row>
    <row r="222" customFormat="false" ht="15" hidden="false" customHeight="false" outlineLevel="0" collapsed="false">
      <c r="A222" s="21"/>
      <c r="B222" s="33" t="n">
        <f aca="false">IF($A222="",0,INT(($A222-Macrociclo!$C$11)/7)+1)</f>
        <v>0</v>
      </c>
      <c r="C222" s="20"/>
      <c r="D222" s="20"/>
      <c r="E222" s="22"/>
      <c r="F222" s="22"/>
      <c r="G222" s="48" t="n">
        <f aca="false">IF(OR($E222="",$F222=""),0,$E222*$F222)</f>
        <v>0</v>
      </c>
      <c r="H222" s="48" t="n">
        <f aca="false">IF($A222="",0,SUMIFS($G$8:$G$1007,$C$8:$C$1007,$C222,$A$8:$A$1007,"&gt;="&amp;$A222-6,$A$8:$A$1007,"&lt;="&amp;$A222))</f>
        <v>0</v>
      </c>
      <c r="I222" s="48" t="n">
        <f aca="false">IF($A222="",0,SUMIFS($G$8:$G$1007,$C$8:$C$1007,$C222,$A$8:$A$1007,"&gt;="&amp;$A222-27,$A$8:$A$1007,"&lt;="&amp;$A222)/4)</f>
        <v>0</v>
      </c>
      <c r="J222" s="67" t="n">
        <f aca="false">IF(OR($A222="",$I222=0),0,$H222/$I222)</f>
        <v>0</v>
      </c>
      <c r="K222" s="33" t="n">
        <f aca="false">IF($A222="",0,$A222-SUMPRODUCT(MIN(($C$8:$C$1007=$C222)*$A$8:$A$1007+($C$8:$C$1007&lt;&gt;$C222)*100000))+1)</f>
        <v>0</v>
      </c>
      <c r="L222" s="19" t="str">
        <f aca="false">IF($A222="","",IF($J222=0,"Sem registro anterior",IF($K222&lt;21,"Histórico insuficiente",IF($J222&lt;0.8,"Subcarga",IF($J222&lt;=1.3,"Zona ideal",IF($J222&lt;=1.5,"Atenção","Risco elevado"))))))</f>
        <v/>
      </c>
      <c r="M222" s="20"/>
    </row>
    <row r="223" customFormat="false" ht="15" hidden="false" customHeight="false" outlineLevel="0" collapsed="false">
      <c r="A223" s="21"/>
      <c r="B223" s="33" t="n">
        <f aca="false">IF($A223="",0,INT(($A223-Macrociclo!$C$11)/7)+1)</f>
        <v>0</v>
      </c>
      <c r="C223" s="20"/>
      <c r="D223" s="20"/>
      <c r="E223" s="22"/>
      <c r="F223" s="22"/>
      <c r="G223" s="48" t="n">
        <f aca="false">IF(OR($E223="",$F223=""),0,$E223*$F223)</f>
        <v>0</v>
      </c>
      <c r="H223" s="48" t="n">
        <f aca="false">IF($A223="",0,SUMIFS($G$8:$G$1007,$C$8:$C$1007,$C223,$A$8:$A$1007,"&gt;="&amp;$A223-6,$A$8:$A$1007,"&lt;="&amp;$A223))</f>
        <v>0</v>
      </c>
      <c r="I223" s="48" t="n">
        <f aca="false">IF($A223="",0,SUMIFS($G$8:$G$1007,$C$8:$C$1007,$C223,$A$8:$A$1007,"&gt;="&amp;$A223-27,$A$8:$A$1007,"&lt;="&amp;$A223)/4)</f>
        <v>0</v>
      </c>
      <c r="J223" s="67" t="n">
        <f aca="false">IF(OR($A223="",$I223=0),0,$H223/$I223)</f>
        <v>0</v>
      </c>
      <c r="K223" s="33" t="n">
        <f aca="false">IF($A223="",0,$A223-SUMPRODUCT(MIN(($C$8:$C$1007=$C223)*$A$8:$A$1007+($C$8:$C$1007&lt;&gt;$C223)*100000))+1)</f>
        <v>0</v>
      </c>
      <c r="L223" s="19" t="str">
        <f aca="false">IF($A223="","",IF($J223=0,"Sem registro anterior",IF($K223&lt;21,"Histórico insuficiente",IF($J223&lt;0.8,"Subcarga",IF($J223&lt;=1.3,"Zona ideal",IF($J223&lt;=1.5,"Atenção","Risco elevado"))))))</f>
        <v/>
      </c>
      <c r="M223" s="20"/>
    </row>
    <row r="224" customFormat="false" ht="15" hidden="false" customHeight="false" outlineLevel="0" collapsed="false">
      <c r="A224" s="21"/>
      <c r="B224" s="33" t="n">
        <f aca="false">IF($A224="",0,INT(($A224-Macrociclo!$C$11)/7)+1)</f>
        <v>0</v>
      </c>
      <c r="C224" s="20"/>
      <c r="D224" s="20"/>
      <c r="E224" s="22"/>
      <c r="F224" s="22"/>
      <c r="G224" s="48" t="n">
        <f aca="false">IF(OR($E224="",$F224=""),0,$E224*$F224)</f>
        <v>0</v>
      </c>
      <c r="H224" s="48" t="n">
        <f aca="false">IF($A224="",0,SUMIFS($G$8:$G$1007,$C$8:$C$1007,$C224,$A$8:$A$1007,"&gt;="&amp;$A224-6,$A$8:$A$1007,"&lt;="&amp;$A224))</f>
        <v>0</v>
      </c>
      <c r="I224" s="48" t="n">
        <f aca="false">IF($A224="",0,SUMIFS($G$8:$G$1007,$C$8:$C$1007,$C224,$A$8:$A$1007,"&gt;="&amp;$A224-27,$A$8:$A$1007,"&lt;="&amp;$A224)/4)</f>
        <v>0</v>
      </c>
      <c r="J224" s="67" t="n">
        <f aca="false">IF(OR($A224="",$I224=0),0,$H224/$I224)</f>
        <v>0</v>
      </c>
      <c r="K224" s="33" t="n">
        <f aca="false">IF($A224="",0,$A224-SUMPRODUCT(MIN(($C$8:$C$1007=$C224)*$A$8:$A$1007+($C$8:$C$1007&lt;&gt;$C224)*100000))+1)</f>
        <v>0</v>
      </c>
      <c r="L224" s="19" t="str">
        <f aca="false">IF($A224="","",IF($J224=0,"Sem registro anterior",IF($K224&lt;21,"Histórico insuficiente",IF($J224&lt;0.8,"Subcarga",IF($J224&lt;=1.3,"Zona ideal",IF($J224&lt;=1.5,"Atenção","Risco elevado"))))))</f>
        <v/>
      </c>
      <c r="M224" s="20"/>
    </row>
    <row r="225" customFormat="false" ht="15" hidden="false" customHeight="false" outlineLevel="0" collapsed="false">
      <c r="A225" s="21"/>
      <c r="B225" s="33" t="n">
        <f aca="false">IF($A225="",0,INT(($A225-Macrociclo!$C$11)/7)+1)</f>
        <v>0</v>
      </c>
      <c r="C225" s="20"/>
      <c r="D225" s="20"/>
      <c r="E225" s="22"/>
      <c r="F225" s="22"/>
      <c r="G225" s="48" t="n">
        <f aca="false">IF(OR($E225="",$F225=""),0,$E225*$F225)</f>
        <v>0</v>
      </c>
      <c r="H225" s="48" t="n">
        <f aca="false">IF($A225="",0,SUMIFS($G$8:$G$1007,$C$8:$C$1007,$C225,$A$8:$A$1007,"&gt;="&amp;$A225-6,$A$8:$A$1007,"&lt;="&amp;$A225))</f>
        <v>0</v>
      </c>
      <c r="I225" s="48" t="n">
        <f aca="false">IF($A225="",0,SUMIFS($G$8:$G$1007,$C$8:$C$1007,$C225,$A$8:$A$1007,"&gt;="&amp;$A225-27,$A$8:$A$1007,"&lt;="&amp;$A225)/4)</f>
        <v>0</v>
      </c>
      <c r="J225" s="67" t="n">
        <f aca="false">IF(OR($A225="",$I225=0),0,$H225/$I225)</f>
        <v>0</v>
      </c>
      <c r="K225" s="33" t="n">
        <f aca="false">IF($A225="",0,$A225-SUMPRODUCT(MIN(($C$8:$C$1007=$C225)*$A$8:$A$1007+($C$8:$C$1007&lt;&gt;$C225)*100000))+1)</f>
        <v>0</v>
      </c>
      <c r="L225" s="19" t="str">
        <f aca="false">IF($A225="","",IF($J225=0,"Sem registro anterior",IF($K225&lt;21,"Histórico insuficiente",IF($J225&lt;0.8,"Subcarga",IF($J225&lt;=1.3,"Zona ideal",IF($J225&lt;=1.5,"Atenção","Risco elevado"))))))</f>
        <v/>
      </c>
      <c r="M225" s="20"/>
    </row>
    <row r="226" customFormat="false" ht="15" hidden="false" customHeight="false" outlineLevel="0" collapsed="false">
      <c r="A226" s="21"/>
      <c r="B226" s="33" t="n">
        <f aca="false">IF($A226="",0,INT(($A226-Macrociclo!$C$11)/7)+1)</f>
        <v>0</v>
      </c>
      <c r="C226" s="20"/>
      <c r="D226" s="20"/>
      <c r="E226" s="22"/>
      <c r="F226" s="22"/>
      <c r="G226" s="48" t="n">
        <f aca="false">IF(OR($E226="",$F226=""),0,$E226*$F226)</f>
        <v>0</v>
      </c>
      <c r="H226" s="48" t="n">
        <f aca="false">IF($A226="",0,SUMIFS($G$8:$G$1007,$C$8:$C$1007,$C226,$A$8:$A$1007,"&gt;="&amp;$A226-6,$A$8:$A$1007,"&lt;="&amp;$A226))</f>
        <v>0</v>
      </c>
      <c r="I226" s="48" t="n">
        <f aca="false">IF($A226="",0,SUMIFS($G$8:$G$1007,$C$8:$C$1007,$C226,$A$8:$A$1007,"&gt;="&amp;$A226-27,$A$8:$A$1007,"&lt;="&amp;$A226)/4)</f>
        <v>0</v>
      </c>
      <c r="J226" s="67" t="n">
        <f aca="false">IF(OR($A226="",$I226=0),0,$H226/$I226)</f>
        <v>0</v>
      </c>
      <c r="K226" s="33" t="n">
        <f aca="false">IF($A226="",0,$A226-SUMPRODUCT(MIN(($C$8:$C$1007=$C226)*$A$8:$A$1007+($C$8:$C$1007&lt;&gt;$C226)*100000))+1)</f>
        <v>0</v>
      </c>
      <c r="L226" s="19" t="str">
        <f aca="false">IF($A226="","",IF($J226=0,"Sem registro anterior",IF($K226&lt;21,"Histórico insuficiente",IF($J226&lt;0.8,"Subcarga",IF($J226&lt;=1.3,"Zona ideal",IF($J226&lt;=1.5,"Atenção","Risco elevado"))))))</f>
        <v/>
      </c>
      <c r="M226" s="20"/>
    </row>
    <row r="227" customFormat="false" ht="15" hidden="false" customHeight="false" outlineLevel="0" collapsed="false">
      <c r="A227" s="21"/>
      <c r="B227" s="33" t="n">
        <f aca="false">IF($A227="",0,INT(($A227-Macrociclo!$C$11)/7)+1)</f>
        <v>0</v>
      </c>
      <c r="C227" s="20"/>
      <c r="D227" s="20"/>
      <c r="E227" s="22"/>
      <c r="F227" s="22"/>
      <c r="G227" s="48" t="n">
        <f aca="false">IF(OR($E227="",$F227=""),0,$E227*$F227)</f>
        <v>0</v>
      </c>
      <c r="H227" s="48" t="n">
        <f aca="false">IF($A227="",0,SUMIFS($G$8:$G$1007,$C$8:$C$1007,$C227,$A$8:$A$1007,"&gt;="&amp;$A227-6,$A$8:$A$1007,"&lt;="&amp;$A227))</f>
        <v>0</v>
      </c>
      <c r="I227" s="48" t="n">
        <f aca="false">IF($A227="",0,SUMIFS($G$8:$G$1007,$C$8:$C$1007,$C227,$A$8:$A$1007,"&gt;="&amp;$A227-27,$A$8:$A$1007,"&lt;="&amp;$A227)/4)</f>
        <v>0</v>
      </c>
      <c r="J227" s="67" t="n">
        <f aca="false">IF(OR($A227="",$I227=0),0,$H227/$I227)</f>
        <v>0</v>
      </c>
      <c r="K227" s="33" t="n">
        <f aca="false">IF($A227="",0,$A227-SUMPRODUCT(MIN(($C$8:$C$1007=$C227)*$A$8:$A$1007+($C$8:$C$1007&lt;&gt;$C227)*100000))+1)</f>
        <v>0</v>
      </c>
      <c r="L227" s="19" t="str">
        <f aca="false">IF($A227="","",IF($J227=0,"Sem registro anterior",IF($K227&lt;21,"Histórico insuficiente",IF($J227&lt;0.8,"Subcarga",IF($J227&lt;=1.3,"Zona ideal",IF($J227&lt;=1.5,"Atenção","Risco elevado"))))))</f>
        <v/>
      </c>
      <c r="M227" s="20"/>
    </row>
    <row r="228" customFormat="false" ht="15" hidden="false" customHeight="false" outlineLevel="0" collapsed="false">
      <c r="A228" s="21"/>
      <c r="B228" s="33" t="n">
        <f aca="false">IF($A228="",0,INT(($A228-Macrociclo!$C$11)/7)+1)</f>
        <v>0</v>
      </c>
      <c r="C228" s="20"/>
      <c r="D228" s="20"/>
      <c r="E228" s="22"/>
      <c r="F228" s="22"/>
      <c r="G228" s="48" t="n">
        <f aca="false">IF(OR($E228="",$F228=""),0,$E228*$F228)</f>
        <v>0</v>
      </c>
      <c r="H228" s="48" t="n">
        <f aca="false">IF($A228="",0,SUMIFS($G$8:$G$1007,$C$8:$C$1007,$C228,$A$8:$A$1007,"&gt;="&amp;$A228-6,$A$8:$A$1007,"&lt;="&amp;$A228))</f>
        <v>0</v>
      </c>
      <c r="I228" s="48" t="n">
        <f aca="false">IF($A228="",0,SUMIFS($G$8:$G$1007,$C$8:$C$1007,$C228,$A$8:$A$1007,"&gt;="&amp;$A228-27,$A$8:$A$1007,"&lt;="&amp;$A228)/4)</f>
        <v>0</v>
      </c>
      <c r="J228" s="67" t="n">
        <f aca="false">IF(OR($A228="",$I228=0),0,$H228/$I228)</f>
        <v>0</v>
      </c>
      <c r="K228" s="33" t="n">
        <f aca="false">IF($A228="",0,$A228-SUMPRODUCT(MIN(($C$8:$C$1007=$C228)*$A$8:$A$1007+($C$8:$C$1007&lt;&gt;$C228)*100000))+1)</f>
        <v>0</v>
      </c>
      <c r="L228" s="19" t="str">
        <f aca="false">IF($A228="","",IF($J228=0,"Sem registro anterior",IF($K228&lt;21,"Histórico insuficiente",IF($J228&lt;0.8,"Subcarga",IF($J228&lt;=1.3,"Zona ideal",IF($J228&lt;=1.5,"Atenção","Risco elevado"))))))</f>
        <v/>
      </c>
      <c r="M228" s="20"/>
    </row>
    <row r="229" customFormat="false" ht="15" hidden="false" customHeight="false" outlineLevel="0" collapsed="false">
      <c r="A229" s="21"/>
      <c r="B229" s="33" t="n">
        <f aca="false">IF($A229="",0,INT(($A229-Macrociclo!$C$11)/7)+1)</f>
        <v>0</v>
      </c>
      <c r="C229" s="20"/>
      <c r="D229" s="20"/>
      <c r="E229" s="22"/>
      <c r="F229" s="22"/>
      <c r="G229" s="48" t="n">
        <f aca="false">IF(OR($E229="",$F229=""),0,$E229*$F229)</f>
        <v>0</v>
      </c>
      <c r="H229" s="48" t="n">
        <f aca="false">IF($A229="",0,SUMIFS($G$8:$G$1007,$C$8:$C$1007,$C229,$A$8:$A$1007,"&gt;="&amp;$A229-6,$A$8:$A$1007,"&lt;="&amp;$A229))</f>
        <v>0</v>
      </c>
      <c r="I229" s="48" t="n">
        <f aca="false">IF($A229="",0,SUMIFS($G$8:$G$1007,$C$8:$C$1007,$C229,$A$8:$A$1007,"&gt;="&amp;$A229-27,$A$8:$A$1007,"&lt;="&amp;$A229)/4)</f>
        <v>0</v>
      </c>
      <c r="J229" s="67" t="n">
        <f aca="false">IF(OR($A229="",$I229=0),0,$H229/$I229)</f>
        <v>0</v>
      </c>
      <c r="K229" s="33" t="n">
        <f aca="false">IF($A229="",0,$A229-SUMPRODUCT(MIN(($C$8:$C$1007=$C229)*$A$8:$A$1007+($C$8:$C$1007&lt;&gt;$C229)*100000))+1)</f>
        <v>0</v>
      </c>
      <c r="L229" s="19" t="str">
        <f aca="false">IF($A229="","",IF($J229=0,"Sem registro anterior",IF($K229&lt;21,"Histórico insuficiente",IF($J229&lt;0.8,"Subcarga",IF($J229&lt;=1.3,"Zona ideal",IF($J229&lt;=1.5,"Atenção","Risco elevado"))))))</f>
        <v/>
      </c>
      <c r="M229" s="20"/>
    </row>
    <row r="230" customFormat="false" ht="15" hidden="false" customHeight="false" outlineLevel="0" collapsed="false">
      <c r="A230" s="21"/>
      <c r="B230" s="33" t="n">
        <f aca="false">IF($A230="",0,INT(($A230-Macrociclo!$C$11)/7)+1)</f>
        <v>0</v>
      </c>
      <c r="C230" s="20"/>
      <c r="D230" s="20"/>
      <c r="E230" s="22"/>
      <c r="F230" s="22"/>
      <c r="G230" s="48" t="n">
        <f aca="false">IF(OR($E230="",$F230=""),0,$E230*$F230)</f>
        <v>0</v>
      </c>
      <c r="H230" s="48" t="n">
        <f aca="false">IF($A230="",0,SUMIFS($G$8:$G$1007,$C$8:$C$1007,$C230,$A$8:$A$1007,"&gt;="&amp;$A230-6,$A$8:$A$1007,"&lt;="&amp;$A230))</f>
        <v>0</v>
      </c>
      <c r="I230" s="48" t="n">
        <f aca="false">IF($A230="",0,SUMIFS($G$8:$G$1007,$C$8:$C$1007,$C230,$A$8:$A$1007,"&gt;="&amp;$A230-27,$A$8:$A$1007,"&lt;="&amp;$A230)/4)</f>
        <v>0</v>
      </c>
      <c r="J230" s="67" t="n">
        <f aca="false">IF(OR($A230="",$I230=0),0,$H230/$I230)</f>
        <v>0</v>
      </c>
      <c r="K230" s="33" t="n">
        <f aca="false">IF($A230="",0,$A230-SUMPRODUCT(MIN(($C$8:$C$1007=$C230)*$A$8:$A$1007+($C$8:$C$1007&lt;&gt;$C230)*100000))+1)</f>
        <v>0</v>
      </c>
      <c r="L230" s="19" t="str">
        <f aca="false">IF($A230="","",IF($J230=0,"Sem registro anterior",IF($K230&lt;21,"Histórico insuficiente",IF($J230&lt;0.8,"Subcarga",IF($J230&lt;=1.3,"Zona ideal",IF($J230&lt;=1.5,"Atenção","Risco elevado"))))))</f>
        <v/>
      </c>
      <c r="M230" s="20"/>
    </row>
    <row r="231" customFormat="false" ht="15" hidden="false" customHeight="false" outlineLevel="0" collapsed="false">
      <c r="A231" s="21"/>
      <c r="B231" s="33" t="n">
        <f aca="false">IF($A231="",0,INT(($A231-Macrociclo!$C$11)/7)+1)</f>
        <v>0</v>
      </c>
      <c r="C231" s="20"/>
      <c r="D231" s="20"/>
      <c r="E231" s="22"/>
      <c r="F231" s="22"/>
      <c r="G231" s="48" t="n">
        <f aca="false">IF(OR($E231="",$F231=""),0,$E231*$F231)</f>
        <v>0</v>
      </c>
      <c r="H231" s="48" t="n">
        <f aca="false">IF($A231="",0,SUMIFS($G$8:$G$1007,$C$8:$C$1007,$C231,$A$8:$A$1007,"&gt;="&amp;$A231-6,$A$8:$A$1007,"&lt;="&amp;$A231))</f>
        <v>0</v>
      </c>
      <c r="I231" s="48" t="n">
        <f aca="false">IF($A231="",0,SUMIFS($G$8:$G$1007,$C$8:$C$1007,$C231,$A$8:$A$1007,"&gt;="&amp;$A231-27,$A$8:$A$1007,"&lt;="&amp;$A231)/4)</f>
        <v>0</v>
      </c>
      <c r="J231" s="67" t="n">
        <f aca="false">IF(OR($A231="",$I231=0),0,$H231/$I231)</f>
        <v>0</v>
      </c>
      <c r="K231" s="33" t="n">
        <f aca="false">IF($A231="",0,$A231-SUMPRODUCT(MIN(($C$8:$C$1007=$C231)*$A$8:$A$1007+($C$8:$C$1007&lt;&gt;$C231)*100000))+1)</f>
        <v>0</v>
      </c>
      <c r="L231" s="19" t="str">
        <f aca="false">IF($A231="","",IF($J231=0,"Sem registro anterior",IF($K231&lt;21,"Histórico insuficiente",IF($J231&lt;0.8,"Subcarga",IF($J231&lt;=1.3,"Zona ideal",IF($J231&lt;=1.5,"Atenção","Risco elevado"))))))</f>
        <v/>
      </c>
      <c r="M231" s="20"/>
    </row>
    <row r="232" customFormat="false" ht="15" hidden="false" customHeight="false" outlineLevel="0" collapsed="false">
      <c r="A232" s="21"/>
      <c r="B232" s="33" t="n">
        <f aca="false">IF($A232="",0,INT(($A232-Macrociclo!$C$11)/7)+1)</f>
        <v>0</v>
      </c>
      <c r="C232" s="20"/>
      <c r="D232" s="20"/>
      <c r="E232" s="22"/>
      <c r="F232" s="22"/>
      <c r="G232" s="48" t="n">
        <f aca="false">IF(OR($E232="",$F232=""),0,$E232*$F232)</f>
        <v>0</v>
      </c>
      <c r="H232" s="48" t="n">
        <f aca="false">IF($A232="",0,SUMIFS($G$8:$G$1007,$C$8:$C$1007,$C232,$A$8:$A$1007,"&gt;="&amp;$A232-6,$A$8:$A$1007,"&lt;="&amp;$A232))</f>
        <v>0</v>
      </c>
      <c r="I232" s="48" t="n">
        <f aca="false">IF($A232="",0,SUMIFS($G$8:$G$1007,$C$8:$C$1007,$C232,$A$8:$A$1007,"&gt;="&amp;$A232-27,$A$8:$A$1007,"&lt;="&amp;$A232)/4)</f>
        <v>0</v>
      </c>
      <c r="J232" s="67" t="n">
        <f aca="false">IF(OR($A232="",$I232=0),0,$H232/$I232)</f>
        <v>0</v>
      </c>
      <c r="K232" s="33" t="n">
        <f aca="false">IF($A232="",0,$A232-SUMPRODUCT(MIN(($C$8:$C$1007=$C232)*$A$8:$A$1007+($C$8:$C$1007&lt;&gt;$C232)*100000))+1)</f>
        <v>0</v>
      </c>
      <c r="L232" s="19" t="str">
        <f aca="false">IF($A232="","",IF($J232=0,"Sem registro anterior",IF($K232&lt;21,"Histórico insuficiente",IF($J232&lt;0.8,"Subcarga",IF($J232&lt;=1.3,"Zona ideal",IF($J232&lt;=1.5,"Atenção","Risco elevado"))))))</f>
        <v/>
      </c>
      <c r="M232" s="20"/>
    </row>
    <row r="233" customFormat="false" ht="15" hidden="false" customHeight="false" outlineLevel="0" collapsed="false">
      <c r="A233" s="21"/>
      <c r="B233" s="33" t="n">
        <f aca="false">IF($A233="",0,INT(($A233-Macrociclo!$C$11)/7)+1)</f>
        <v>0</v>
      </c>
      <c r="C233" s="20"/>
      <c r="D233" s="20"/>
      <c r="E233" s="22"/>
      <c r="F233" s="22"/>
      <c r="G233" s="48" t="n">
        <f aca="false">IF(OR($E233="",$F233=""),0,$E233*$F233)</f>
        <v>0</v>
      </c>
      <c r="H233" s="48" t="n">
        <f aca="false">IF($A233="",0,SUMIFS($G$8:$G$1007,$C$8:$C$1007,$C233,$A$8:$A$1007,"&gt;="&amp;$A233-6,$A$8:$A$1007,"&lt;="&amp;$A233))</f>
        <v>0</v>
      </c>
      <c r="I233" s="48" t="n">
        <f aca="false">IF($A233="",0,SUMIFS($G$8:$G$1007,$C$8:$C$1007,$C233,$A$8:$A$1007,"&gt;="&amp;$A233-27,$A$8:$A$1007,"&lt;="&amp;$A233)/4)</f>
        <v>0</v>
      </c>
      <c r="J233" s="67" t="n">
        <f aca="false">IF(OR($A233="",$I233=0),0,$H233/$I233)</f>
        <v>0</v>
      </c>
      <c r="K233" s="33" t="n">
        <f aca="false">IF($A233="",0,$A233-SUMPRODUCT(MIN(($C$8:$C$1007=$C233)*$A$8:$A$1007+($C$8:$C$1007&lt;&gt;$C233)*100000))+1)</f>
        <v>0</v>
      </c>
      <c r="L233" s="19" t="str">
        <f aca="false">IF($A233="","",IF($J233=0,"Sem registro anterior",IF($K233&lt;21,"Histórico insuficiente",IF($J233&lt;0.8,"Subcarga",IF($J233&lt;=1.3,"Zona ideal",IF($J233&lt;=1.5,"Atenção","Risco elevado"))))))</f>
        <v/>
      </c>
      <c r="M233" s="20"/>
    </row>
    <row r="234" customFormat="false" ht="15" hidden="false" customHeight="false" outlineLevel="0" collapsed="false">
      <c r="A234" s="21"/>
      <c r="B234" s="33" t="n">
        <f aca="false">IF($A234="",0,INT(($A234-Macrociclo!$C$11)/7)+1)</f>
        <v>0</v>
      </c>
      <c r="C234" s="20"/>
      <c r="D234" s="20"/>
      <c r="E234" s="22"/>
      <c r="F234" s="22"/>
      <c r="G234" s="48" t="n">
        <f aca="false">IF(OR($E234="",$F234=""),0,$E234*$F234)</f>
        <v>0</v>
      </c>
      <c r="H234" s="48" t="n">
        <f aca="false">IF($A234="",0,SUMIFS($G$8:$G$1007,$C$8:$C$1007,$C234,$A$8:$A$1007,"&gt;="&amp;$A234-6,$A$8:$A$1007,"&lt;="&amp;$A234))</f>
        <v>0</v>
      </c>
      <c r="I234" s="48" t="n">
        <f aca="false">IF($A234="",0,SUMIFS($G$8:$G$1007,$C$8:$C$1007,$C234,$A$8:$A$1007,"&gt;="&amp;$A234-27,$A$8:$A$1007,"&lt;="&amp;$A234)/4)</f>
        <v>0</v>
      </c>
      <c r="J234" s="67" t="n">
        <f aca="false">IF(OR($A234="",$I234=0),0,$H234/$I234)</f>
        <v>0</v>
      </c>
      <c r="K234" s="33" t="n">
        <f aca="false">IF($A234="",0,$A234-SUMPRODUCT(MIN(($C$8:$C$1007=$C234)*$A$8:$A$1007+($C$8:$C$1007&lt;&gt;$C234)*100000))+1)</f>
        <v>0</v>
      </c>
      <c r="L234" s="19" t="str">
        <f aca="false">IF($A234="","",IF($J234=0,"Sem registro anterior",IF($K234&lt;21,"Histórico insuficiente",IF($J234&lt;0.8,"Subcarga",IF($J234&lt;=1.3,"Zona ideal",IF($J234&lt;=1.5,"Atenção","Risco elevado"))))))</f>
        <v/>
      </c>
      <c r="M234" s="20"/>
    </row>
    <row r="235" customFormat="false" ht="15" hidden="false" customHeight="false" outlineLevel="0" collapsed="false">
      <c r="A235" s="21"/>
      <c r="B235" s="33" t="n">
        <f aca="false">IF($A235="",0,INT(($A235-Macrociclo!$C$11)/7)+1)</f>
        <v>0</v>
      </c>
      <c r="C235" s="20"/>
      <c r="D235" s="20"/>
      <c r="E235" s="22"/>
      <c r="F235" s="22"/>
      <c r="G235" s="48" t="n">
        <f aca="false">IF(OR($E235="",$F235=""),0,$E235*$F235)</f>
        <v>0</v>
      </c>
      <c r="H235" s="48" t="n">
        <f aca="false">IF($A235="",0,SUMIFS($G$8:$G$1007,$C$8:$C$1007,$C235,$A$8:$A$1007,"&gt;="&amp;$A235-6,$A$8:$A$1007,"&lt;="&amp;$A235))</f>
        <v>0</v>
      </c>
      <c r="I235" s="48" t="n">
        <f aca="false">IF($A235="",0,SUMIFS($G$8:$G$1007,$C$8:$C$1007,$C235,$A$8:$A$1007,"&gt;="&amp;$A235-27,$A$8:$A$1007,"&lt;="&amp;$A235)/4)</f>
        <v>0</v>
      </c>
      <c r="J235" s="67" t="n">
        <f aca="false">IF(OR($A235="",$I235=0),0,$H235/$I235)</f>
        <v>0</v>
      </c>
      <c r="K235" s="33" t="n">
        <f aca="false">IF($A235="",0,$A235-SUMPRODUCT(MIN(($C$8:$C$1007=$C235)*$A$8:$A$1007+($C$8:$C$1007&lt;&gt;$C235)*100000))+1)</f>
        <v>0</v>
      </c>
      <c r="L235" s="19" t="str">
        <f aca="false">IF($A235="","",IF($J235=0,"Sem registro anterior",IF($K235&lt;21,"Histórico insuficiente",IF($J235&lt;0.8,"Subcarga",IF($J235&lt;=1.3,"Zona ideal",IF($J235&lt;=1.5,"Atenção","Risco elevado"))))))</f>
        <v/>
      </c>
      <c r="M235" s="20"/>
    </row>
    <row r="236" customFormat="false" ht="15" hidden="false" customHeight="false" outlineLevel="0" collapsed="false">
      <c r="A236" s="21"/>
      <c r="B236" s="33" t="n">
        <f aca="false">IF($A236="",0,INT(($A236-Macrociclo!$C$11)/7)+1)</f>
        <v>0</v>
      </c>
      <c r="C236" s="20"/>
      <c r="D236" s="20"/>
      <c r="E236" s="22"/>
      <c r="F236" s="22"/>
      <c r="G236" s="48" t="n">
        <f aca="false">IF(OR($E236="",$F236=""),0,$E236*$F236)</f>
        <v>0</v>
      </c>
      <c r="H236" s="48" t="n">
        <f aca="false">IF($A236="",0,SUMIFS($G$8:$G$1007,$C$8:$C$1007,$C236,$A$8:$A$1007,"&gt;="&amp;$A236-6,$A$8:$A$1007,"&lt;="&amp;$A236))</f>
        <v>0</v>
      </c>
      <c r="I236" s="48" t="n">
        <f aca="false">IF($A236="",0,SUMIFS($G$8:$G$1007,$C$8:$C$1007,$C236,$A$8:$A$1007,"&gt;="&amp;$A236-27,$A$8:$A$1007,"&lt;="&amp;$A236)/4)</f>
        <v>0</v>
      </c>
      <c r="J236" s="67" t="n">
        <f aca="false">IF(OR($A236="",$I236=0),0,$H236/$I236)</f>
        <v>0</v>
      </c>
      <c r="K236" s="33" t="n">
        <f aca="false">IF($A236="",0,$A236-SUMPRODUCT(MIN(($C$8:$C$1007=$C236)*$A$8:$A$1007+($C$8:$C$1007&lt;&gt;$C236)*100000))+1)</f>
        <v>0</v>
      </c>
      <c r="L236" s="19" t="str">
        <f aca="false">IF($A236="","",IF($J236=0,"Sem registro anterior",IF($K236&lt;21,"Histórico insuficiente",IF($J236&lt;0.8,"Subcarga",IF($J236&lt;=1.3,"Zona ideal",IF($J236&lt;=1.5,"Atenção","Risco elevado"))))))</f>
        <v/>
      </c>
      <c r="M236" s="20"/>
    </row>
    <row r="237" customFormat="false" ht="15" hidden="false" customHeight="false" outlineLevel="0" collapsed="false">
      <c r="A237" s="21"/>
      <c r="B237" s="33" t="n">
        <f aca="false">IF($A237="",0,INT(($A237-Macrociclo!$C$11)/7)+1)</f>
        <v>0</v>
      </c>
      <c r="C237" s="20"/>
      <c r="D237" s="20"/>
      <c r="E237" s="22"/>
      <c r="F237" s="22"/>
      <c r="G237" s="48" t="n">
        <f aca="false">IF(OR($E237="",$F237=""),0,$E237*$F237)</f>
        <v>0</v>
      </c>
      <c r="H237" s="48" t="n">
        <f aca="false">IF($A237="",0,SUMIFS($G$8:$G$1007,$C$8:$C$1007,$C237,$A$8:$A$1007,"&gt;="&amp;$A237-6,$A$8:$A$1007,"&lt;="&amp;$A237))</f>
        <v>0</v>
      </c>
      <c r="I237" s="48" t="n">
        <f aca="false">IF($A237="",0,SUMIFS($G$8:$G$1007,$C$8:$C$1007,$C237,$A$8:$A$1007,"&gt;="&amp;$A237-27,$A$8:$A$1007,"&lt;="&amp;$A237)/4)</f>
        <v>0</v>
      </c>
      <c r="J237" s="67" t="n">
        <f aca="false">IF(OR($A237="",$I237=0),0,$H237/$I237)</f>
        <v>0</v>
      </c>
      <c r="K237" s="33" t="n">
        <f aca="false">IF($A237="",0,$A237-SUMPRODUCT(MIN(($C$8:$C$1007=$C237)*$A$8:$A$1007+($C$8:$C$1007&lt;&gt;$C237)*100000))+1)</f>
        <v>0</v>
      </c>
      <c r="L237" s="19" t="str">
        <f aca="false">IF($A237="","",IF($J237=0,"Sem registro anterior",IF($K237&lt;21,"Histórico insuficiente",IF($J237&lt;0.8,"Subcarga",IF($J237&lt;=1.3,"Zona ideal",IF($J237&lt;=1.5,"Atenção","Risco elevado"))))))</f>
        <v/>
      </c>
      <c r="M237" s="20"/>
    </row>
    <row r="238" customFormat="false" ht="15" hidden="false" customHeight="false" outlineLevel="0" collapsed="false">
      <c r="A238" s="21"/>
      <c r="B238" s="33" t="n">
        <f aca="false">IF($A238="",0,INT(($A238-Macrociclo!$C$11)/7)+1)</f>
        <v>0</v>
      </c>
      <c r="C238" s="20"/>
      <c r="D238" s="20"/>
      <c r="E238" s="22"/>
      <c r="F238" s="22"/>
      <c r="G238" s="48" t="n">
        <f aca="false">IF(OR($E238="",$F238=""),0,$E238*$F238)</f>
        <v>0</v>
      </c>
      <c r="H238" s="48" t="n">
        <f aca="false">IF($A238="",0,SUMIFS($G$8:$G$1007,$C$8:$C$1007,$C238,$A$8:$A$1007,"&gt;="&amp;$A238-6,$A$8:$A$1007,"&lt;="&amp;$A238))</f>
        <v>0</v>
      </c>
      <c r="I238" s="48" t="n">
        <f aca="false">IF($A238="",0,SUMIFS($G$8:$G$1007,$C$8:$C$1007,$C238,$A$8:$A$1007,"&gt;="&amp;$A238-27,$A$8:$A$1007,"&lt;="&amp;$A238)/4)</f>
        <v>0</v>
      </c>
      <c r="J238" s="67" t="n">
        <f aca="false">IF(OR($A238="",$I238=0),0,$H238/$I238)</f>
        <v>0</v>
      </c>
      <c r="K238" s="33" t="n">
        <f aca="false">IF($A238="",0,$A238-SUMPRODUCT(MIN(($C$8:$C$1007=$C238)*$A$8:$A$1007+($C$8:$C$1007&lt;&gt;$C238)*100000))+1)</f>
        <v>0</v>
      </c>
      <c r="L238" s="19" t="str">
        <f aca="false">IF($A238="","",IF($J238=0,"Sem registro anterior",IF($K238&lt;21,"Histórico insuficiente",IF($J238&lt;0.8,"Subcarga",IF($J238&lt;=1.3,"Zona ideal",IF($J238&lt;=1.5,"Atenção","Risco elevado"))))))</f>
        <v/>
      </c>
      <c r="M238" s="20"/>
    </row>
    <row r="239" customFormat="false" ht="15" hidden="false" customHeight="false" outlineLevel="0" collapsed="false">
      <c r="A239" s="21"/>
      <c r="B239" s="33" t="n">
        <f aca="false">IF($A239="",0,INT(($A239-Macrociclo!$C$11)/7)+1)</f>
        <v>0</v>
      </c>
      <c r="C239" s="20"/>
      <c r="D239" s="20"/>
      <c r="E239" s="22"/>
      <c r="F239" s="22"/>
      <c r="G239" s="48" t="n">
        <f aca="false">IF(OR($E239="",$F239=""),0,$E239*$F239)</f>
        <v>0</v>
      </c>
      <c r="H239" s="48" t="n">
        <f aca="false">IF($A239="",0,SUMIFS($G$8:$G$1007,$C$8:$C$1007,$C239,$A$8:$A$1007,"&gt;="&amp;$A239-6,$A$8:$A$1007,"&lt;="&amp;$A239))</f>
        <v>0</v>
      </c>
      <c r="I239" s="48" t="n">
        <f aca="false">IF($A239="",0,SUMIFS($G$8:$G$1007,$C$8:$C$1007,$C239,$A$8:$A$1007,"&gt;="&amp;$A239-27,$A$8:$A$1007,"&lt;="&amp;$A239)/4)</f>
        <v>0</v>
      </c>
      <c r="J239" s="67" t="n">
        <f aca="false">IF(OR($A239="",$I239=0),0,$H239/$I239)</f>
        <v>0</v>
      </c>
      <c r="K239" s="33" t="n">
        <f aca="false">IF($A239="",0,$A239-SUMPRODUCT(MIN(($C$8:$C$1007=$C239)*$A$8:$A$1007+($C$8:$C$1007&lt;&gt;$C239)*100000))+1)</f>
        <v>0</v>
      </c>
      <c r="L239" s="19" t="str">
        <f aca="false">IF($A239="","",IF($J239=0,"Sem registro anterior",IF($K239&lt;21,"Histórico insuficiente",IF($J239&lt;0.8,"Subcarga",IF($J239&lt;=1.3,"Zona ideal",IF($J239&lt;=1.5,"Atenção","Risco elevado"))))))</f>
        <v/>
      </c>
      <c r="M239" s="20"/>
    </row>
    <row r="240" customFormat="false" ht="15" hidden="false" customHeight="false" outlineLevel="0" collapsed="false">
      <c r="A240" s="21"/>
      <c r="B240" s="33" t="n">
        <f aca="false">IF($A240="",0,INT(($A240-Macrociclo!$C$11)/7)+1)</f>
        <v>0</v>
      </c>
      <c r="C240" s="20"/>
      <c r="D240" s="20"/>
      <c r="E240" s="22"/>
      <c r="F240" s="22"/>
      <c r="G240" s="48" t="n">
        <f aca="false">IF(OR($E240="",$F240=""),0,$E240*$F240)</f>
        <v>0</v>
      </c>
      <c r="H240" s="48" t="n">
        <f aca="false">IF($A240="",0,SUMIFS($G$8:$G$1007,$C$8:$C$1007,$C240,$A$8:$A$1007,"&gt;="&amp;$A240-6,$A$8:$A$1007,"&lt;="&amp;$A240))</f>
        <v>0</v>
      </c>
      <c r="I240" s="48" t="n">
        <f aca="false">IF($A240="",0,SUMIFS($G$8:$G$1007,$C$8:$C$1007,$C240,$A$8:$A$1007,"&gt;="&amp;$A240-27,$A$8:$A$1007,"&lt;="&amp;$A240)/4)</f>
        <v>0</v>
      </c>
      <c r="J240" s="67" t="n">
        <f aca="false">IF(OR($A240="",$I240=0),0,$H240/$I240)</f>
        <v>0</v>
      </c>
      <c r="K240" s="33" t="n">
        <f aca="false">IF($A240="",0,$A240-SUMPRODUCT(MIN(($C$8:$C$1007=$C240)*$A$8:$A$1007+($C$8:$C$1007&lt;&gt;$C240)*100000))+1)</f>
        <v>0</v>
      </c>
      <c r="L240" s="19" t="str">
        <f aca="false">IF($A240="","",IF($J240=0,"Sem registro anterior",IF($K240&lt;21,"Histórico insuficiente",IF($J240&lt;0.8,"Subcarga",IF($J240&lt;=1.3,"Zona ideal",IF($J240&lt;=1.5,"Atenção","Risco elevado"))))))</f>
        <v/>
      </c>
      <c r="M240" s="20"/>
    </row>
    <row r="241" customFormat="false" ht="15" hidden="false" customHeight="false" outlineLevel="0" collapsed="false">
      <c r="A241" s="21"/>
      <c r="B241" s="33" t="n">
        <f aca="false">IF($A241="",0,INT(($A241-Macrociclo!$C$11)/7)+1)</f>
        <v>0</v>
      </c>
      <c r="C241" s="20"/>
      <c r="D241" s="20"/>
      <c r="E241" s="22"/>
      <c r="F241" s="22"/>
      <c r="G241" s="48" t="n">
        <f aca="false">IF(OR($E241="",$F241=""),0,$E241*$F241)</f>
        <v>0</v>
      </c>
      <c r="H241" s="48" t="n">
        <f aca="false">IF($A241="",0,SUMIFS($G$8:$G$1007,$C$8:$C$1007,$C241,$A$8:$A$1007,"&gt;="&amp;$A241-6,$A$8:$A$1007,"&lt;="&amp;$A241))</f>
        <v>0</v>
      </c>
      <c r="I241" s="48" t="n">
        <f aca="false">IF($A241="",0,SUMIFS($G$8:$G$1007,$C$8:$C$1007,$C241,$A$8:$A$1007,"&gt;="&amp;$A241-27,$A$8:$A$1007,"&lt;="&amp;$A241)/4)</f>
        <v>0</v>
      </c>
      <c r="J241" s="67" t="n">
        <f aca="false">IF(OR($A241="",$I241=0),0,$H241/$I241)</f>
        <v>0</v>
      </c>
      <c r="K241" s="33" t="n">
        <f aca="false">IF($A241="",0,$A241-SUMPRODUCT(MIN(($C$8:$C$1007=$C241)*$A$8:$A$1007+($C$8:$C$1007&lt;&gt;$C241)*100000))+1)</f>
        <v>0</v>
      </c>
      <c r="L241" s="19" t="str">
        <f aca="false">IF($A241="","",IF($J241=0,"Sem registro anterior",IF($K241&lt;21,"Histórico insuficiente",IF($J241&lt;0.8,"Subcarga",IF($J241&lt;=1.3,"Zona ideal",IF($J241&lt;=1.5,"Atenção","Risco elevado"))))))</f>
        <v/>
      </c>
      <c r="M241" s="20"/>
    </row>
    <row r="242" customFormat="false" ht="15" hidden="false" customHeight="false" outlineLevel="0" collapsed="false">
      <c r="A242" s="21"/>
      <c r="B242" s="33" t="n">
        <f aca="false">IF($A242="",0,INT(($A242-Macrociclo!$C$11)/7)+1)</f>
        <v>0</v>
      </c>
      <c r="C242" s="20"/>
      <c r="D242" s="20"/>
      <c r="E242" s="22"/>
      <c r="F242" s="22"/>
      <c r="G242" s="48" t="n">
        <f aca="false">IF(OR($E242="",$F242=""),0,$E242*$F242)</f>
        <v>0</v>
      </c>
      <c r="H242" s="48" t="n">
        <f aca="false">IF($A242="",0,SUMIFS($G$8:$G$1007,$C$8:$C$1007,$C242,$A$8:$A$1007,"&gt;="&amp;$A242-6,$A$8:$A$1007,"&lt;="&amp;$A242))</f>
        <v>0</v>
      </c>
      <c r="I242" s="48" t="n">
        <f aca="false">IF($A242="",0,SUMIFS($G$8:$G$1007,$C$8:$C$1007,$C242,$A$8:$A$1007,"&gt;="&amp;$A242-27,$A$8:$A$1007,"&lt;="&amp;$A242)/4)</f>
        <v>0</v>
      </c>
      <c r="J242" s="67" t="n">
        <f aca="false">IF(OR($A242="",$I242=0),0,$H242/$I242)</f>
        <v>0</v>
      </c>
      <c r="K242" s="33" t="n">
        <f aca="false">IF($A242="",0,$A242-SUMPRODUCT(MIN(($C$8:$C$1007=$C242)*$A$8:$A$1007+($C$8:$C$1007&lt;&gt;$C242)*100000))+1)</f>
        <v>0</v>
      </c>
      <c r="L242" s="19" t="str">
        <f aca="false">IF($A242="","",IF($J242=0,"Sem registro anterior",IF($K242&lt;21,"Histórico insuficiente",IF($J242&lt;0.8,"Subcarga",IF($J242&lt;=1.3,"Zona ideal",IF($J242&lt;=1.5,"Atenção","Risco elevado"))))))</f>
        <v/>
      </c>
      <c r="M242" s="20"/>
    </row>
    <row r="243" customFormat="false" ht="15" hidden="false" customHeight="false" outlineLevel="0" collapsed="false">
      <c r="A243" s="21"/>
      <c r="B243" s="33" t="n">
        <f aca="false">IF($A243="",0,INT(($A243-Macrociclo!$C$11)/7)+1)</f>
        <v>0</v>
      </c>
      <c r="C243" s="20"/>
      <c r="D243" s="20"/>
      <c r="E243" s="22"/>
      <c r="F243" s="22"/>
      <c r="G243" s="48" t="n">
        <f aca="false">IF(OR($E243="",$F243=""),0,$E243*$F243)</f>
        <v>0</v>
      </c>
      <c r="H243" s="48" t="n">
        <f aca="false">IF($A243="",0,SUMIFS($G$8:$G$1007,$C$8:$C$1007,$C243,$A$8:$A$1007,"&gt;="&amp;$A243-6,$A$8:$A$1007,"&lt;="&amp;$A243))</f>
        <v>0</v>
      </c>
      <c r="I243" s="48" t="n">
        <f aca="false">IF($A243="",0,SUMIFS($G$8:$G$1007,$C$8:$C$1007,$C243,$A$8:$A$1007,"&gt;="&amp;$A243-27,$A$8:$A$1007,"&lt;="&amp;$A243)/4)</f>
        <v>0</v>
      </c>
      <c r="J243" s="67" t="n">
        <f aca="false">IF(OR($A243="",$I243=0),0,$H243/$I243)</f>
        <v>0</v>
      </c>
      <c r="K243" s="33" t="n">
        <f aca="false">IF($A243="",0,$A243-SUMPRODUCT(MIN(($C$8:$C$1007=$C243)*$A$8:$A$1007+($C$8:$C$1007&lt;&gt;$C243)*100000))+1)</f>
        <v>0</v>
      </c>
      <c r="L243" s="19" t="str">
        <f aca="false">IF($A243="","",IF($J243=0,"Sem registro anterior",IF($K243&lt;21,"Histórico insuficiente",IF($J243&lt;0.8,"Subcarga",IF($J243&lt;=1.3,"Zona ideal",IF($J243&lt;=1.5,"Atenção","Risco elevado"))))))</f>
        <v/>
      </c>
      <c r="M243" s="20"/>
    </row>
    <row r="244" customFormat="false" ht="15" hidden="false" customHeight="false" outlineLevel="0" collapsed="false">
      <c r="A244" s="21"/>
      <c r="B244" s="33" t="n">
        <f aca="false">IF($A244="",0,INT(($A244-Macrociclo!$C$11)/7)+1)</f>
        <v>0</v>
      </c>
      <c r="C244" s="20"/>
      <c r="D244" s="20"/>
      <c r="E244" s="22"/>
      <c r="F244" s="22"/>
      <c r="G244" s="48" t="n">
        <f aca="false">IF(OR($E244="",$F244=""),0,$E244*$F244)</f>
        <v>0</v>
      </c>
      <c r="H244" s="48" t="n">
        <f aca="false">IF($A244="",0,SUMIFS($G$8:$G$1007,$C$8:$C$1007,$C244,$A$8:$A$1007,"&gt;="&amp;$A244-6,$A$8:$A$1007,"&lt;="&amp;$A244))</f>
        <v>0</v>
      </c>
      <c r="I244" s="48" t="n">
        <f aca="false">IF($A244="",0,SUMIFS($G$8:$G$1007,$C$8:$C$1007,$C244,$A$8:$A$1007,"&gt;="&amp;$A244-27,$A$8:$A$1007,"&lt;="&amp;$A244)/4)</f>
        <v>0</v>
      </c>
      <c r="J244" s="67" t="n">
        <f aca="false">IF(OR($A244="",$I244=0),0,$H244/$I244)</f>
        <v>0</v>
      </c>
      <c r="K244" s="33" t="n">
        <f aca="false">IF($A244="",0,$A244-SUMPRODUCT(MIN(($C$8:$C$1007=$C244)*$A$8:$A$1007+($C$8:$C$1007&lt;&gt;$C244)*100000))+1)</f>
        <v>0</v>
      </c>
      <c r="L244" s="19" t="str">
        <f aca="false">IF($A244="","",IF($J244=0,"Sem registro anterior",IF($K244&lt;21,"Histórico insuficiente",IF($J244&lt;0.8,"Subcarga",IF($J244&lt;=1.3,"Zona ideal",IF($J244&lt;=1.5,"Atenção","Risco elevado"))))))</f>
        <v/>
      </c>
      <c r="M244" s="20"/>
    </row>
    <row r="245" customFormat="false" ht="15" hidden="false" customHeight="false" outlineLevel="0" collapsed="false">
      <c r="A245" s="21"/>
      <c r="B245" s="33" t="n">
        <f aca="false">IF($A245="",0,INT(($A245-Macrociclo!$C$11)/7)+1)</f>
        <v>0</v>
      </c>
      <c r="C245" s="20"/>
      <c r="D245" s="20"/>
      <c r="E245" s="22"/>
      <c r="F245" s="22"/>
      <c r="G245" s="48" t="n">
        <f aca="false">IF(OR($E245="",$F245=""),0,$E245*$F245)</f>
        <v>0</v>
      </c>
      <c r="H245" s="48" t="n">
        <f aca="false">IF($A245="",0,SUMIFS($G$8:$G$1007,$C$8:$C$1007,$C245,$A$8:$A$1007,"&gt;="&amp;$A245-6,$A$8:$A$1007,"&lt;="&amp;$A245))</f>
        <v>0</v>
      </c>
      <c r="I245" s="48" t="n">
        <f aca="false">IF($A245="",0,SUMIFS($G$8:$G$1007,$C$8:$C$1007,$C245,$A$8:$A$1007,"&gt;="&amp;$A245-27,$A$8:$A$1007,"&lt;="&amp;$A245)/4)</f>
        <v>0</v>
      </c>
      <c r="J245" s="67" t="n">
        <f aca="false">IF(OR($A245="",$I245=0),0,$H245/$I245)</f>
        <v>0</v>
      </c>
      <c r="K245" s="33" t="n">
        <f aca="false">IF($A245="",0,$A245-SUMPRODUCT(MIN(($C$8:$C$1007=$C245)*$A$8:$A$1007+($C$8:$C$1007&lt;&gt;$C245)*100000))+1)</f>
        <v>0</v>
      </c>
      <c r="L245" s="19" t="str">
        <f aca="false">IF($A245="","",IF($J245=0,"Sem registro anterior",IF($K245&lt;21,"Histórico insuficiente",IF($J245&lt;0.8,"Subcarga",IF($J245&lt;=1.3,"Zona ideal",IF($J245&lt;=1.5,"Atenção","Risco elevado"))))))</f>
        <v/>
      </c>
      <c r="M245" s="20"/>
    </row>
    <row r="246" customFormat="false" ht="15" hidden="false" customHeight="false" outlineLevel="0" collapsed="false">
      <c r="A246" s="21"/>
      <c r="B246" s="33" t="n">
        <f aca="false">IF($A246="",0,INT(($A246-Macrociclo!$C$11)/7)+1)</f>
        <v>0</v>
      </c>
      <c r="C246" s="20"/>
      <c r="D246" s="20"/>
      <c r="E246" s="22"/>
      <c r="F246" s="22"/>
      <c r="G246" s="48" t="n">
        <f aca="false">IF(OR($E246="",$F246=""),0,$E246*$F246)</f>
        <v>0</v>
      </c>
      <c r="H246" s="48" t="n">
        <f aca="false">IF($A246="",0,SUMIFS($G$8:$G$1007,$C$8:$C$1007,$C246,$A$8:$A$1007,"&gt;="&amp;$A246-6,$A$8:$A$1007,"&lt;="&amp;$A246))</f>
        <v>0</v>
      </c>
      <c r="I246" s="48" t="n">
        <f aca="false">IF($A246="",0,SUMIFS($G$8:$G$1007,$C$8:$C$1007,$C246,$A$8:$A$1007,"&gt;="&amp;$A246-27,$A$8:$A$1007,"&lt;="&amp;$A246)/4)</f>
        <v>0</v>
      </c>
      <c r="J246" s="67" t="n">
        <f aca="false">IF(OR($A246="",$I246=0),0,$H246/$I246)</f>
        <v>0</v>
      </c>
      <c r="K246" s="33" t="n">
        <f aca="false">IF($A246="",0,$A246-SUMPRODUCT(MIN(($C$8:$C$1007=$C246)*$A$8:$A$1007+($C$8:$C$1007&lt;&gt;$C246)*100000))+1)</f>
        <v>0</v>
      </c>
      <c r="L246" s="19" t="str">
        <f aca="false">IF($A246="","",IF($J246=0,"Sem registro anterior",IF($K246&lt;21,"Histórico insuficiente",IF($J246&lt;0.8,"Subcarga",IF($J246&lt;=1.3,"Zona ideal",IF($J246&lt;=1.5,"Atenção","Risco elevado"))))))</f>
        <v/>
      </c>
      <c r="M246" s="20"/>
    </row>
    <row r="247" customFormat="false" ht="15" hidden="false" customHeight="false" outlineLevel="0" collapsed="false">
      <c r="A247" s="21"/>
      <c r="B247" s="33" t="n">
        <f aca="false">IF($A247="",0,INT(($A247-Macrociclo!$C$11)/7)+1)</f>
        <v>0</v>
      </c>
      <c r="C247" s="20"/>
      <c r="D247" s="20"/>
      <c r="E247" s="22"/>
      <c r="F247" s="22"/>
      <c r="G247" s="48" t="n">
        <f aca="false">IF(OR($E247="",$F247=""),0,$E247*$F247)</f>
        <v>0</v>
      </c>
      <c r="H247" s="48" t="n">
        <f aca="false">IF($A247="",0,SUMIFS($G$8:$G$1007,$C$8:$C$1007,$C247,$A$8:$A$1007,"&gt;="&amp;$A247-6,$A$8:$A$1007,"&lt;="&amp;$A247))</f>
        <v>0</v>
      </c>
      <c r="I247" s="48" t="n">
        <f aca="false">IF($A247="",0,SUMIFS($G$8:$G$1007,$C$8:$C$1007,$C247,$A$8:$A$1007,"&gt;="&amp;$A247-27,$A$8:$A$1007,"&lt;="&amp;$A247)/4)</f>
        <v>0</v>
      </c>
      <c r="J247" s="67" t="n">
        <f aca="false">IF(OR($A247="",$I247=0),0,$H247/$I247)</f>
        <v>0</v>
      </c>
      <c r="K247" s="33" t="n">
        <f aca="false">IF($A247="",0,$A247-SUMPRODUCT(MIN(($C$8:$C$1007=$C247)*$A$8:$A$1007+($C$8:$C$1007&lt;&gt;$C247)*100000))+1)</f>
        <v>0</v>
      </c>
      <c r="L247" s="19" t="str">
        <f aca="false">IF($A247="","",IF($J247=0,"Sem registro anterior",IF($K247&lt;21,"Histórico insuficiente",IF($J247&lt;0.8,"Subcarga",IF($J247&lt;=1.3,"Zona ideal",IF($J247&lt;=1.5,"Atenção","Risco elevado"))))))</f>
        <v/>
      </c>
      <c r="M247" s="20"/>
    </row>
    <row r="248" customFormat="false" ht="15" hidden="false" customHeight="false" outlineLevel="0" collapsed="false">
      <c r="A248" s="21"/>
      <c r="B248" s="33" t="n">
        <f aca="false">IF($A248="",0,INT(($A248-Macrociclo!$C$11)/7)+1)</f>
        <v>0</v>
      </c>
      <c r="C248" s="20"/>
      <c r="D248" s="20"/>
      <c r="E248" s="22"/>
      <c r="F248" s="22"/>
      <c r="G248" s="48" t="n">
        <f aca="false">IF(OR($E248="",$F248=""),0,$E248*$F248)</f>
        <v>0</v>
      </c>
      <c r="H248" s="48" t="n">
        <f aca="false">IF($A248="",0,SUMIFS($G$8:$G$1007,$C$8:$C$1007,$C248,$A$8:$A$1007,"&gt;="&amp;$A248-6,$A$8:$A$1007,"&lt;="&amp;$A248))</f>
        <v>0</v>
      </c>
      <c r="I248" s="48" t="n">
        <f aca="false">IF($A248="",0,SUMIFS($G$8:$G$1007,$C$8:$C$1007,$C248,$A$8:$A$1007,"&gt;="&amp;$A248-27,$A$8:$A$1007,"&lt;="&amp;$A248)/4)</f>
        <v>0</v>
      </c>
      <c r="J248" s="67" t="n">
        <f aca="false">IF(OR($A248="",$I248=0),0,$H248/$I248)</f>
        <v>0</v>
      </c>
      <c r="K248" s="33" t="n">
        <f aca="false">IF($A248="",0,$A248-SUMPRODUCT(MIN(($C$8:$C$1007=$C248)*$A$8:$A$1007+($C$8:$C$1007&lt;&gt;$C248)*100000))+1)</f>
        <v>0</v>
      </c>
      <c r="L248" s="19" t="str">
        <f aca="false">IF($A248="","",IF($J248=0,"Sem registro anterior",IF($K248&lt;21,"Histórico insuficiente",IF($J248&lt;0.8,"Subcarga",IF($J248&lt;=1.3,"Zona ideal",IF($J248&lt;=1.5,"Atenção","Risco elevado"))))))</f>
        <v/>
      </c>
      <c r="M248" s="20"/>
    </row>
    <row r="249" customFormat="false" ht="15" hidden="false" customHeight="false" outlineLevel="0" collapsed="false">
      <c r="A249" s="21"/>
      <c r="B249" s="33" t="n">
        <f aca="false">IF($A249="",0,INT(($A249-Macrociclo!$C$11)/7)+1)</f>
        <v>0</v>
      </c>
      <c r="C249" s="20"/>
      <c r="D249" s="20"/>
      <c r="E249" s="22"/>
      <c r="F249" s="22"/>
      <c r="G249" s="48" t="n">
        <f aca="false">IF(OR($E249="",$F249=""),0,$E249*$F249)</f>
        <v>0</v>
      </c>
      <c r="H249" s="48" t="n">
        <f aca="false">IF($A249="",0,SUMIFS($G$8:$G$1007,$C$8:$C$1007,$C249,$A$8:$A$1007,"&gt;="&amp;$A249-6,$A$8:$A$1007,"&lt;="&amp;$A249))</f>
        <v>0</v>
      </c>
      <c r="I249" s="48" t="n">
        <f aca="false">IF($A249="",0,SUMIFS($G$8:$G$1007,$C$8:$C$1007,$C249,$A$8:$A$1007,"&gt;="&amp;$A249-27,$A$8:$A$1007,"&lt;="&amp;$A249)/4)</f>
        <v>0</v>
      </c>
      <c r="J249" s="67" t="n">
        <f aca="false">IF(OR($A249="",$I249=0),0,$H249/$I249)</f>
        <v>0</v>
      </c>
      <c r="K249" s="33" t="n">
        <f aca="false">IF($A249="",0,$A249-SUMPRODUCT(MIN(($C$8:$C$1007=$C249)*$A$8:$A$1007+($C$8:$C$1007&lt;&gt;$C249)*100000))+1)</f>
        <v>0</v>
      </c>
      <c r="L249" s="19" t="str">
        <f aca="false">IF($A249="","",IF($J249=0,"Sem registro anterior",IF($K249&lt;21,"Histórico insuficiente",IF($J249&lt;0.8,"Subcarga",IF($J249&lt;=1.3,"Zona ideal",IF($J249&lt;=1.5,"Atenção","Risco elevado"))))))</f>
        <v/>
      </c>
      <c r="M249" s="20"/>
    </row>
    <row r="250" customFormat="false" ht="15" hidden="false" customHeight="false" outlineLevel="0" collapsed="false">
      <c r="A250" s="21"/>
      <c r="B250" s="33" t="n">
        <f aca="false">IF($A250="",0,INT(($A250-Macrociclo!$C$11)/7)+1)</f>
        <v>0</v>
      </c>
      <c r="C250" s="20"/>
      <c r="D250" s="20"/>
      <c r="E250" s="22"/>
      <c r="F250" s="22"/>
      <c r="G250" s="48" t="n">
        <f aca="false">IF(OR($E250="",$F250=""),0,$E250*$F250)</f>
        <v>0</v>
      </c>
      <c r="H250" s="48" t="n">
        <f aca="false">IF($A250="",0,SUMIFS($G$8:$G$1007,$C$8:$C$1007,$C250,$A$8:$A$1007,"&gt;="&amp;$A250-6,$A$8:$A$1007,"&lt;="&amp;$A250))</f>
        <v>0</v>
      </c>
      <c r="I250" s="48" t="n">
        <f aca="false">IF($A250="",0,SUMIFS($G$8:$G$1007,$C$8:$C$1007,$C250,$A$8:$A$1007,"&gt;="&amp;$A250-27,$A$8:$A$1007,"&lt;="&amp;$A250)/4)</f>
        <v>0</v>
      </c>
      <c r="J250" s="67" t="n">
        <f aca="false">IF(OR($A250="",$I250=0),0,$H250/$I250)</f>
        <v>0</v>
      </c>
      <c r="K250" s="33" t="n">
        <f aca="false">IF($A250="",0,$A250-SUMPRODUCT(MIN(($C$8:$C$1007=$C250)*$A$8:$A$1007+($C$8:$C$1007&lt;&gt;$C250)*100000))+1)</f>
        <v>0</v>
      </c>
      <c r="L250" s="19" t="str">
        <f aca="false">IF($A250="","",IF($J250=0,"Sem registro anterior",IF($K250&lt;21,"Histórico insuficiente",IF($J250&lt;0.8,"Subcarga",IF($J250&lt;=1.3,"Zona ideal",IF($J250&lt;=1.5,"Atenção","Risco elevado"))))))</f>
        <v/>
      </c>
      <c r="M250" s="20"/>
    </row>
    <row r="251" customFormat="false" ht="15" hidden="false" customHeight="false" outlineLevel="0" collapsed="false">
      <c r="A251" s="21"/>
      <c r="B251" s="33" t="n">
        <f aca="false">IF($A251="",0,INT(($A251-Macrociclo!$C$11)/7)+1)</f>
        <v>0</v>
      </c>
      <c r="C251" s="20"/>
      <c r="D251" s="20"/>
      <c r="E251" s="22"/>
      <c r="F251" s="22"/>
      <c r="G251" s="48" t="n">
        <f aca="false">IF(OR($E251="",$F251=""),0,$E251*$F251)</f>
        <v>0</v>
      </c>
      <c r="H251" s="48" t="n">
        <f aca="false">IF($A251="",0,SUMIFS($G$8:$G$1007,$C$8:$C$1007,$C251,$A$8:$A$1007,"&gt;="&amp;$A251-6,$A$8:$A$1007,"&lt;="&amp;$A251))</f>
        <v>0</v>
      </c>
      <c r="I251" s="48" t="n">
        <f aca="false">IF($A251="",0,SUMIFS($G$8:$G$1007,$C$8:$C$1007,$C251,$A$8:$A$1007,"&gt;="&amp;$A251-27,$A$8:$A$1007,"&lt;="&amp;$A251)/4)</f>
        <v>0</v>
      </c>
      <c r="J251" s="67" t="n">
        <f aca="false">IF(OR($A251="",$I251=0),0,$H251/$I251)</f>
        <v>0</v>
      </c>
      <c r="K251" s="33" t="n">
        <f aca="false">IF($A251="",0,$A251-SUMPRODUCT(MIN(($C$8:$C$1007=$C251)*$A$8:$A$1007+($C$8:$C$1007&lt;&gt;$C251)*100000))+1)</f>
        <v>0</v>
      </c>
      <c r="L251" s="19" t="str">
        <f aca="false">IF($A251="","",IF($J251=0,"Sem registro anterior",IF($K251&lt;21,"Histórico insuficiente",IF($J251&lt;0.8,"Subcarga",IF($J251&lt;=1.3,"Zona ideal",IF($J251&lt;=1.5,"Atenção","Risco elevado"))))))</f>
        <v/>
      </c>
      <c r="M251" s="20"/>
    </row>
    <row r="252" customFormat="false" ht="15" hidden="false" customHeight="false" outlineLevel="0" collapsed="false">
      <c r="A252" s="21"/>
      <c r="B252" s="33" t="n">
        <f aca="false">IF($A252="",0,INT(($A252-Macrociclo!$C$11)/7)+1)</f>
        <v>0</v>
      </c>
      <c r="C252" s="20"/>
      <c r="D252" s="20"/>
      <c r="E252" s="22"/>
      <c r="F252" s="22"/>
      <c r="G252" s="48" t="n">
        <f aca="false">IF(OR($E252="",$F252=""),0,$E252*$F252)</f>
        <v>0</v>
      </c>
      <c r="H252" s="48" t="n">
        <f aca="false">IF($A252="",0,SUMIFS($G$8:$G$1007,$C$8:$C$1007,$C252,$A$8:$A$1007,"&gt;="&amp;$A252-6,$A$8:$A$1007,"&lt;="&amp;$A252))</f>
        <v>0</v>
      </c>
      <c r="I252" s="48" t="n">
        <f aca="false">IF($A252="",0,SUMIFS($G$8:$G$1007,$C$8:$C$1007,$C252,$A$8:$A$1007,"&gt;="&amp;$A252-27,$A$8:$A$1007,"&lt;="&amp;$A252)/4)</f>
        <v>0</v>
      </c>
      <c r="J252" s="67" t="n">
        <f aca="false">IF(OR($A252="",$I252=0),0,$H252/$I252)</f>
        <v>0</v>
      </c>
      <c r="K252" s="33" t="n">
        <f aca="false">IF($A252="",0,$A252-SUMPRODUCT(MIN(($C$8:$C$1007=$C252)*$A$8:$A$1007+($C$8:$C$1007&lt;&gt;$C252)*100000))+1)</f>
        <v>0</v>
      </c>
      <c r="L252" s="19" t="str">
        <f aca="false">IF($A252="","",IF($J252=0,"Sem registro anterior",IF($K252&lt;21,"Histórico insuficiente",IF($J252&lt;0.8,"Subcarga",IF($J252&lt;=1.3,"Zona ideal",IF($J252&lt;=1.5,"Atenção","Risco elevado"))))))</f>
        <v/>
      </c>
      <c r="M252" s="20"/>
    </row>
    <row r="253" customFormat="false" ht="15" hidden="false" customHeight="false" outlineLevel="0" collapsed="false">
      <c r="A253" s="21"/>
      <c r="B253" s="33" t="n">
        <f aca="false">IF($A253="",0,INT(($A253-Macrociclo!$C$11)/7)+1)</f>
        <v>0</v>
      </c>
      <c r="C253" s="20"/>
      <c r="D253" s="20"/>
      <c r="E253" s="22"/>
      <c r="F253" s="22"/>
      <c r="G253" s="48" t="n">
        <f aca="false">IF(OR($E253="",$F253=""),0,$E253*$F253)</f>
        <v>0</v>
      </c>
      <c r="H253" s="48" t="n">
        <f aca="false">IF($A253="",0,SUMIFS($G$8:$G$1007,$C$8:$C$1007,$C253,$A$8:$A$1007,"&gt;="&amp;$A253-6,$A$8:$A$1007,"&lt;="&amp;$A253))</f>
        <v>0</v>
      </c>
      <c r="I253" s="48" t="n">
        <f aca="false">IF($A253="",0,SUMIFS($G$8:$G$1007,$C$8:$C$1007,$C253,$A$8:$A$1007,"&gt;="&amp;$A253-27,$A$8:$A$1007,"&lt;="&amp;$A253)/4)</f>
        <v>0</v>
      </c>
      <c r="J253" s="67" t="n">
        <f aca="false">IF(OR($A253="",$I253=0),0,$H253/$I253)</f>
        <v>0</v>
      </c>
      <c r="K253" s="33" t="n">
        <f aca="false">IF($A253="",0,$A253-SUMPRODUCT(MIN(($C$8:$C$1007=$C253)*$A$8:$A$1007+($C$8:$C$1007&lt;&gt;$C253)*100000))+1)</f>
        <v>0</v>
      </c>
      <c r="L253" s="19" t="str">
        <f aca="false">IF($A253="","",IF($J253=0,"Sem registro anterior",IF($K253&lt;21,"Histórico insuficiente",IF($J253&lt;0.8,"Subcarga",IF($J253&lt;=1.3,"Zona ideal",IF($J253&lt;=1.5,"Atenção","Risco elevado"))))))</f>
        <v/>
      </c>
      <c r="M253" s="20"/>
    </row>
    <row r="254" customFormat="false" ht="15" hidden="false" customHeight="false" outlineLevel="0" collapsed="false">
      <c r="A254" s="21"/>
      <c r="B254" s="33" t="n">
        <f aca="false">IF($A254="",0,INT(($A254-Macrociclo!$C$11)/7)+1)</f>
        <v>0</v>
      </c>
      <c r="C254" s="20"/>
      <c r="D254" s="20"/>
      <c r="E254" s="22"/>
      <c r="F254" s="22"/>
      <c r="G254" s="48" t="n">
        <f aca="false">IF(OR($E254="",$F254=""),0,$E254*$F254)</f>
        <v>0</v>
      </c>
      <c r="H254" s="48" t="n">
        <f aca="false">IF($A254="",0,SUMIFS($G$8:$G$1007,$C$8:$C$1007,$C254,$A$8:$A$1007,"&gt;="&amp;$A254-6,$A$8:$A$1007,"&lt;="&amp;$A254))</f>
        <v>0</v>
      </c>
      <c r="I254" s="48" t="n">
        <f aca="false">IF($A254="",0,SUMIFS($G$8:$G$1007,$C$8:$C$1007,$C254,$A$8:$A$1007,"&gt;="&amp;$A254-27,$A$8:$A$1007,"&lt;="&amp;$A254)/4)</f>
        <v>0</v>
      </c>
      <c r="J254" s="67" t="n">
        <f aca="false">IF(OR($A254="",$I254=0),0,$H254/$I254)</f>
        <v>0</v>
      </c>
      <c r="K254" s="33" t="n">
        <f aca="false">IF($A254="",0,$A254-SUMPRODUCT(MIN(($C$8:$C$1007=$C254)*$A$8:$A$1007+($C$8:$C$1007&lt;&gt;$C254)*100000))+1)</f>
        <v>0</v>
      </c>
      <c r="L254" s="19" t="str">
        <f aca="false">IF($A254="","",IF($J254=0,"Sem registro anterior",IF($K254&lt;21,"Histórico insuficiente",IF($J254&lt;0.8,"Subcarga",IF($J254&lt;=1.3,"Zona ideal",IF($J254&lt;=1.5,"Atenção","Risco elevado"))))))</f>
        <v/>
      </c>
      <c r="M254" s="20"/>
    </row>
    <row r="255" customFormat="false" ht="15" hidden="false" customHeight="false" outlineLevel="0" collapsed="false">
      <c r="A255" s="21"/>
      <c r="B255" s="33" t="n">
        <f aca="false">IF($A255="",0,INT(($A255-Macrociclo!$C$11)/7)+1)</f>
        <v>0</v>
      </c>
      <c r="C255" s="20"/>
      <c r="D255" s="20"/>
      <c r="E255" s="22"/>
      <c r="F255" s="22"/>
      <c r="G255" s="48" t="n">
        <f aca="false">IF(OR($E255="",$F255=""),0,$E255*$F255)</f>
        <v>0</v>
      </c>
      <c r="H255" s="48" t="n">
        <f aca="false">IF($A255="",0,SUMIFS($G$8:$G$1007,$C$8:$C$1007,$C255,$A$8:$A$1007,"&gt;="&amp;$A255-6,$A$8:$A$1007,"&lt;="&amp;$A255))</f>
        <v>0</v>
      </c>
      <c r="I255" s="48" t="n">
        <f aca="false">IF($A255="",0,SUMIFS($G$8:$G$1007,$C$8:$C$1007,$C255,$A$8:$A$1007,"&gt;="&amp;$A255-27,$A$8:$A$1007,"&lt;="&amp;$A255)/4)</f>
        <v>0</v>
      </c>
      <c r="J255" s="67" t="n">
        <f aca="false">IF(OR($A255="",$I255=0),0,$H255/$I255)</f>
        <v>0</v>
      </c>
      <c r="K255" s="33" t="n">
        <f aca="false">IF($A255="",0,$A255-SUMPRODUCT(MIN(($C$8:$C$1007=$C255)*$A$8:$A$1007+($C$8:$C$1007&lt;&gt;$C255)*100000))+1)</f>
        <v>0</v>
      </c>
      <c r="L255" s="19" t="str">
        <f aca="false">IF($A255="","",IF($J255=0,"Sem registro anterior",IF($K255&lt;21,"Histórico insuficiente",IF($J255&lt;0.8,"Subcarga",IF($J255&lt;=1.3,"Zona ideal",IF($J255&lt;=1.5,"Atenção","Risco elevado"))))))</f>
        <v/>
      </c>
      <c r="M255" s="20"/>
    </row>
    <row r="256" customFormat="false" ht="15" hidden="false" customHeight="false" outlineLevel="0" collapsed="false">
      <c r="A256" s="21"/>
      <c r="B256" s="33" t="n">
        <f aca="false">IF($A256="",0,INT(($A256-Macrociclo!$C$11)/7)+1)</f>
        <v>0</v>
      </c>
      <c r="C256" s="20"/>
      <c r="D256" s="20"/>
      <c r="E256" s="22"/>
      <c r="F256" s="22"/>
      <c r="G256" s="48" t="n">
        <f aca="false">IF(OR($E256="",$F256=""),0,$E256*$F256)</f>
        <v>0</v>
      </c>
      <c r="H256" s="48" t="n">
        <f aca="false">IF($A256="",0,SUMIFS($G$8:$G$1007,$C$8:$C$1007,$C256,$A$8:$A$1007,"&gt;="&amp;$A256-6,$A$8:$A$1007,"&lt;="&amp;$A256))</f>
        <v>0</v>
      </c>
      <c r="I256" s="48" t="n">
        <f aca="false">IF($A256="",0,SUMIFS($G$8:$G$1007,$C$8:$C$1007,$C256,$A$8:$A$1007,"&gt;="&amp;$A256-27,$A$8:$A$1007,"&lt;="&amp;$A256)/4)</f>
        <v>0</v>
      </c>
      <c r="J256" s="67" t="n">
        <f aca="false">IF(OR($A256="",$I256=0),0,$H256/$I256)</f>
        <v>0</v>
      </c>
      <c r="K256" s="33" t="n">
        <f aca="false">IF($A256="",0,$A256-SUMPRODUCT(MIN(($C$8:$C$1007=$C256)*$A$8:$A$1007+($C$8:$C$1007&lt;&gt;$C256)*100000))+1)</f>
        <v>0</v>
      </c>
      <c r="L256" s="19" t="str">
        <f aca="false">IF($A256="","",IF($J256=0,"Sem registro anterior",IF($K256&lt;21,"Histórico insuficiente",IF($J256&lt;0.8,"Subcarga",IF($J256&lt;=1.3,"Zona ideal",IF($J256&lt;=1.5,"Atenção","Risco elevado"))))))</f>
        <v/>
      </c>
      <c r="M256" s="20"/>
    </row>
    <row r="257" customFormat="false" ht="15" hidden="false" customHeight="false" outlineLevel="0" collapsed="false">
      <c r="A257" s="21"/>
      <c r="B257" s="33" t="n">
        <f aca="false">IF($A257="",0,INT(($A257-Macrociclo!$C$11)/7)+1)</f>
        <v>0</v>
      </c>
      <c r="C257" s="20"/>
      <c r="D257" s="20"/>
      <c r="E257" s="22"/>
      <c r="F257" s="22"/>
      <c r="G257" s="48" t="n">
        <f aca="false">IF(OR($E257="",$F257=""),0,$E257*$F257)</f>
        <v>0</v>
      </c>
      <c r="H257" s="48" t="n">
        <f aca="false">IF($A257="",0,SUMIFS($G$8:$G$1007,$C$8:$C$1007,$C257,$A$8:$A$1007,"&gt;="&amp;$A257-6,$A$8:$A$1007,"&lt;="&amp;$A257))</f>
        <v>0</v>
      </c>
      <c r="I257" s="48" t="n">
        <f aca="false">IF($A257="",0,SUMIFS($G$8:$G$1007,$C$8:$C$1007,$C257,$A$8:$A$1007,"&gt;="&amp;$A257-27,$A$8:$A$1007,"&lt;="&amp;$A257)/4)</f>
        <v>0</v>
      </c>
      <c r="J257" s="67" t="n">
        <f aca="false">IF(OR($A257="",$I257=0),0,$H257/$I257)</f>
        <v>0</v>
      </c>
      <c r="K257" s="33" t="n">
        <f aca="false">IF($A257="",0,$A257-SUMPRODUCT(MIN(($C$8:$C$1007=$C257)*$A$8:$A$1007+($C$8:$C$1007&lt;&gt;$C257)*100000))+1)</f>
        <v>0</v>
      </c>
      <c r="L257" s="19" t="str">
        <f aca="false">IF($A257="","",IF($J257=0,"Sem registro anterior",IF($K257&lt;21,"Histórico insuficiente",IF($J257&lt;0.8,"Subcarga",IF($J257&lt;=1.3,"Zona ideal",IF($J257&lt;=1.5,"Atenção","Risco elevado"))))))</f>
        <v/>
      </c>
      <c r="M257" s="20"/>
    </row>
    <row r="258" customFormat="false" ht="15" hidden="false" customHeight="false" outlineLevel="0" collapsed="false">
      <c r="A258" s="21"/>
      <c r="B258" s="33" t="n">
        <f aca="false">IF($A258="",0,INT(($A258-Macrociclo!$C$11)/7)+1)</f>
        <v>0</v>
      </c>
      <c r="C258" s="20"/>
      <c r="D258" s="20"/>
      <c r="E258" s="22"/>
      <c r="F258" s="22"/>
      <c r="G258" s="48" t="n">
        <f aca="false">IF(OR($E258="",$F258=""),0,$E258*$F258)</f>
        <v>0</v>
      </c>
      <c r="H258" s="48" t="n">
        <f aca="false">IF($A258="",0,SUMIFS($G$8:$G$1007,$C$8:$C$1007,$C258,$A$8:$A$1007,"&gt;="&amp;$A258-6,$A$8:$A$1007,"&lt;="&amp;$A258))</f>
        <v>0</v>
      </c>
      <c r="I258" s="48" t="n">
        <f aca="false">IF($A258="",0,SUMIFS($G$8:$G$1007,$C$8:$C$1007,$C258,$A$8:$A$1007,"&gt;="&amp;$A258-27,$A$8:$A$1007,"&lt;="&amp;$A258)/4)</f>
        <v>0</v>
      </c>
      <c r="J258" s="67" t="n">
        <f aca="false">IF(OR($A258="",$I258=0),0,$H258/$I258)</f>
        <v>0</v>
      </c>
      <c r="K258" s="33" t="n">
        <f aca="false">IF($A258="",0,$A258-SUMPRODUCT(MIN(($C$8:$C$1007=$C258)*$A$8:$A$1007+($C$8:$C$1007&lt;&gt;$C258)*100000))+1)</f>
        <v>0</v>
      </c>
      <c r="L258" s="19" t="str">
        <f aca="false">IF($A258="","",IF($J258=0,"Sem registro anterior",IF($K258&lt;21,"Histórico insuficiente",IF($J258&lt;0.8,"Subcarga",IF($J258&lt;=1.3,"Zona ideal",IF($J258&lt;=1.5,"Atenção","Risco elevado"))))))</f>
        <v/>
      </c>
      <c r="M258" s="20"/>
    </row>
    <row r="259" customFormat="false" ht="15" hidden="false" customHeight="false" outlineLevel="0" collapsed="false">
      <c r="A259" s="21"/>
      <c r="B259" s="33" t="n">
        <f aca="false">IF($A259="",0,INT(($A259-Macrociclo!$C$11)/7)+1)</f>
        <v>0</v>
      </c>
      <c r="C259" s="20"/>
      <c r="D259" s="20"/>
      <c r="E259" s="22"/>
      <c r="F259" s="22"/>
      <c r="G259" s="48" t="n">
        <f aca="false">IF(OR($E259="",$F259=""),0,$E259*$F259)</f>
        <v>0</v>
      </c>
      <c r="H259" s="48" t="n">
        <f aca="false">IF($A259="",0,SUMIFS($G$8:$G$1007,$C$8:$C$1007,$C259,$A$8:$A$1007,"&gt;="&amp;$A259-6,$A$8:$A$1007,"&lt;="&amp;$A259))</f>
        <v>0</v>
      </c>
      <c r="I259" s="48" t="n">
        <f aca="false">IF($A259="",0,SUMIFS($G$8:$G$1007,$C$8:$C$1007,$C259,$A$8:$A$1007,"&gt;="&amp;$A259-27,$A$8:$A$1007,"&lt;="&amp;$A259)/4)</f>
        <v>0</v>
      </c>
      <c r="J259" s="67" t="n">
        <f aca="false">IF(OR($A259="",$I259=0),0,$H259/$I259)</f>
        <v>0</v>
      </c>
      <c r="K259" s="33" t="n">
        <f aca="false">IF($A259="",0,$A259-SUMPRODUCT(MIN(($C$8:$C$1007=$C259)*$A$8:$A$1007+($C$8:$C$1007&lt;&gt;$C259)*100000))+1)</f>
        <v>0</v>
      </c>
      <c r="L259" s="19" t="str">
        <f aca="false">IF($A259="","",IF($J259=0,"Sem registro anterior",IF($K259&lt;21,"Histórico insuficiente",IF($J259&lt;0.8,"Subcarga",IF($J259&lt;=1.3,"Zona ideal",IF($J259&lt;=1.5,"Atenção","Risco elevado"))))))</f>
        <v/>
      </c>
      <c r="M259" s="20"/>
    </row>
    <row r="260" customFormat="false" ht="15" hidden="false" customHeight="false" outlineLevel="0" collapsed="false">
      <c r="A260" s="21"/>
      <c r="B260" s="33" t="n">
        <f aca="false">IF($A260="",0,INT(($A260-Macrociclo!$C$11)/7)+1)</f>
        <v>0</v>
      </c>
      <c r="C260" s="20"/>
      <c r="D260" s="20"/>
      <c r="E260" s="22"/>
      <c r="F260" s="22"/>
      <c r="G260" s="48" t="n">
        <f aca="false">IF(OR($E260="",$F260=""),0,$E260*$F260)</f>
        <v>0</v>
      </c>
      <c r="H260" s="48" t="n">
        <f aca="false">IF($A260="",0,SUMIFS($G$8:$G$1007,$C$8:$C$1007,$C260,$A$8:$A$1007,"&gt;="&amp;$A260-6,$A$8:$A$1007,"&lt;="&amp;$A260))</f>
        <v>0</v>
      </c>
      <c r="I260" s="48" t="n">
        <f aca="false">IF($A260="",0,SUMIFS($G$8:$G$1007,$C$8:$C$1007,$C260,$A$8:$A$1007,"&gt;="&amp;$A260-27,$A$8:$A$1007,"&lt;="&amp;$A260)/4)</f>
        <v>0</v>
      </c>
      <c r="J260" s="67" t="n">
        <f aca="false">IF(OR($A260="",$I260=0),0,$H260/$I260)</f>
        <v>0</v>
      </c>
      <c r="K260" s="33" t="n">
        <f aca="false">IF($A260="",0,$A260-SUMPRODUCT(MIN(($C$8:$C$1007=$C260)*$A$8:$A$1007+($C$8:$C$1007&lt;&gt;$C260)*100000))+1)</f>
        <v>0</v>
      </c>
      <c r="L260" s="19" t="str">
        <f aca="false">IF($A260="","",IF($J260=0,"Sem registro anterior",IF($K260&lt;21,"Histórico insuficiente",IF($J260&lt;0.8,"Subcarga",IF($J260&lt;=1.3,"Zona ideal",IF($J260&lt;=1.5,"Atenção","Risco elevado"))))))</f>
        <v/>
      </c>
      <c r="M260" s="20"/>
    </row>
    <row r="261" customFormat="false" ht="15" hidden="false" customHeight="false" outlineLevel="0" collapsed="false">
      <c r="A261" s="21"/>
      <c r="B261" s="33" t="n">
        <f aca="false">IF($A261="",0,INT(($A261-Macrociclo!$C$11)/7)+1)</f>
        <v>0</v>
      </c>
      <c r="C261" s="20"/>
      <c r="D261" s="20"/>
      <c r="E261" s="22"/>
      <c r="F261" s="22"/>
      <c r="G261" s="48" t="n">
        <f aca="false">IF(OR($E261="",$F261=""),0,$E261*$F261)</f>
        <v>0</v>
      </c>
      <c r="H261" s="48" t="n">
        <f aca="false">IF($A261="",0,SUMIFS($G$8:$G$1007,$C$8:$C$1007,$C261,$A$8:$A$1007,"&gt;="&amp;$A261-6,$A$8:$A$1007,"&lt;="&amp;$A261))</f>
        <v>0</v>
      </c>
      <c r="I261" s="48" t="n">
        <f aca="false">IF($A261="",0,SUMIFS($G$8:$G$1007,$C$8:$C$1007,$C261,$A$8:$A$1007,"&gt;="&amp;$A261-27,$A$8:$A$1007,"&lt;="&amp;$A261)/4)</f>
        <v>0</v>
      </c>
      <c r="J261" s="67" t="n">
        <f aca="false">IF(OR($A261="",$I261=0),0,$H261/$I261)</f>
        <v>0</v>
      </c>
      <c r="K261" s="33" t="n">
        <f aca="false">IF($A261="",0,$A261-SUMPRODUCT(MIN(($C$8:$C$1007=$C261)*$A$8:$A$1007+($C$8:$C$1007&lt;&gt;$C261)*100000))+1)</f>
        <v>0</v>
      </c>
      <c r="L261" s="19" t="str">
        <f aca="false">IF($A261="","",IF($J261=0,"Sem registro anterior",IF($K261&lt;21,"Histórico insuficiente",IF($J261&lt;0.8,"Subcarga",IF($J261&lt;=1.3,"Zona ideal",IF($J261&lt;=1.5,"Atenção","Risco elevado"))))))</f>
        <v/>
      </c>
      <c r="M261" s="20"/>
    </row>
    <row r="262" customFormat="false" ht="15" hidden="false" customHeight="false" outlineLevel="0" collapsed="false">
      <c r="A262" s="21"/>
      <c r="B262" s="33" t="n">
        <f aca="false">IF($A262="",0,INT(($A262-Macrociclo!$C$11)/7)+1)</f>
        <v>0</v>
      </c>
      <c r="C262" s="20"/>
      <c r="D262" s="20"/>
      <c r="E262" s="22"/>
      <c r="F262" s="22"/>
      <c r="G262" s="48" t="n">
        <f aca="false">IF(OR($E262="",$F262=""),0,$E262*$F262)</f>
        <v>0</v>
      </c>
      <c r="H262" s="48" t="n">
        <f aca="false">IF($A262="",0,SUMIFS($G$8:$G$1007,$C$8:$C$1007,$C262,$A$8:$A$1007,"&gt;="&amp;$A262-6,$A$8:$A$1007,"&lt;="&amp;$A262))</f>
        <v>0</v>
      </c>
      <c r="I262" s="48" t="n">
        <f aca="false">IF($A262="",0,SUMIFS($G$8:$G$1007,$C$8:$C$1007,$C262,$A$8:$A$1007,"&gt;="&amp;$A262-27,$A$8:$A$1007,"&lt;="&amp;$A262)/4)</f>
        <v>0</v>
      </c>
      <c r="J262" s="67" t="n">
        <f aca="false">IF(OR($A262="",$I262=0),0,$H262/$I262)</f>
        <v>0</v>
      </c>
      <c r="K262" s="33" t="n">
        <f aca="false">IF($A262="",0,$A262-SUMPRODUCT(MIN(($C$8:$C$1007=$C262)*$A$8:$A$1007+($C$8:$C$1007&lt;&gt;$C262)*100000))+1)</f>
        <v>0</v>
      </c>
      <c r="L262" s="19" t="str">
        <f aca="false">IF($A262="","",IF($J262=0,"Sem registro anterior",IF($K262&lt;21,"Histórico insuficiente",IF($J262&lt;0.8,"Subcarga",IF($J262&lt;=1.3,"Zona ideal",IF($J262&lt;=1.5,"Atenção","Risco elevado"))))))</f>
        <v/>
      </c>
      <c r="M262" s="20"/>
    </row>
    <row r="263" customFormat="false" ht="15" hidden="false" customHeight="false" outlineLevel="0" collapsed="false">
      <c r="A263" s="21"/>
      <c r="B263" s="33" t="n">
        <f aca="false">IF($A263="",0,INT(($A263-Macrociclo!$C$11)/7)+1)</f>
        <v>0</v>
      </c>
      <c r="C263" s="20"/>
      <c r="D263" s="20"/>
      <c r="E263" s="22"/>
      <c r="F263" s="22"/>
      <c r="G263" s="48" t="n">
        <f aca="false">IF(OR($E263="",$F263=""),0,$E263*$F263)</f>
        <v>0</v>
      </c>
      <c r="H263" s="48" t="n">
        <f aca="false">IF($A263="",0,SUMIFS($G$8:$G$1007,$C$8:$C$1007,$C263,$A$8:$A$1007,"&gt;="&amp;$A263-6,$A$8:$A$1007,"&lt;="&amp;$A263))</f>
        <v>0</v>
      </c>
      <c r="I263" s="48" t="n">
        <f aca="false">IF($A263="",0,SUMIFS($G$8:$G$1007,$C$8:$C$1007,$C263,$A$8:$A$1007,"&gt;="&amp;$A263-27,$A$8:$A$1007,"&lt;="&amp;$A263)/4)</f>
        <v>0</v>
      </c>
      <c r="J263" s="67" t="n">
        <f aca="false">IF(OR($A263="",$I263=0),0,$H263/$I263)</f>
        <v>0</v>
      </c>
      <c r="K263" s="33" t="n">
        <f aca="false">IF($A263="",0,$A263-SUMPRODUCT(MIN(($C$8:$C$1007=$C263)*$A$8:$A$1007+($C$8:$C$1007&lt;&gt;$C263)*100000))+1)</f>
        <v>0</v>
      </c>
      <c r="L263" s="19" t="str">
        <f aca="false">IF($A263="","",IF($J263=0,"Sem registro anterior",IF($K263&lt;21,"Histórico insuficiente",IF($J263&lt;0.8,"Subcarga",IF($J263&lt;=1.3,"Zona ideal",IF($J263&lt;=1.5,"Atenção","Risco elevado"))))))</f>
        <v/>
      </c>
      <c r="M263" s="20"/>
    </row>
    <row r="264" customFormat="false" ht="15" hidden="false" customHeight="false" outlineLevel="0" collapsed="false">
      <c r="A264" s="21"/>
      <c r="B264" s="33" t="n">
        <f aca="false">IF($A264="",0,INT(($A264-Macrociclo!$C$11)/7)+1)</f>
        <v>0</v>
      </c>
      <c r="C264" s="20"/>
      <c r="D264" s="20"/>
      <c r="E264" s="22"/>
      <c r="F264" s="22"/>
      <c r="G264" s="48" t="n">
        <f aca="false">IF(OR($E264="",$F264=""),0,$E264*$F264)</f>
        <v>0</v>
      </c>
      <c r="H264" s="48" t="n">
        <f aca="false">IF($A264="",0,SUMIFS($G$8:$G$1007,$C$8:$C$1007,$C264,$A$8:$A$1007,"&gt;="&amp;$A264-6,$A$8:$A$1007,"&lt;="&amp;$A264))</f>
        <v>0</v>
      </c>
      <c r="I264" s="48" t="n">
        <f aca="false">IF($A264="",0,SUMIFS($G$8:$G$1007,$C$8:$C$1007,$C264,$A$8:$A$1007,"&gt;="&amp;$A264-27,$A$8:$A$1007,"&lt;="&amp;$A264)/4)</f>
        <v>0</v>
      </c>
      <c r="J264" s="67" t="n">
        <f aca="false">IF(OR($A264="",$I264=0),0,$H264/$I264)</f>
        <v>0</v>
      </c>
      <c r="K264" s="33" t="n">
        <f aca="false">IF($A264="",0,$A264-SUMPRODUCT(MIN(($C$8:$C$1007=$C264)*$A$8:$A$1007+($C$8:$C$1007&lt;&gt;$C264)*100000))+1)</f>
        <v>0</v>
      </c>
      <c r="L264" s="19" t="str">
        <f aca="false">IF($A264="","",IF($J264=0,"Sem registro anterior",IF($K264&lt;21,"Histórico insuficiente",IF($J264&lt;0.8,"Subcarga",IF($J264&lt;=1.3,"Zona ideal",IF($J264&lt;=1.5,"Atenção","Risco elevado"))))))</f>
        <v/>
      </c>
      <c r="M264" s="20"/>
    </row>
    <row r="265" customFormat="false" ht="15" hidden="false" customHeight="false" outlineLevel="0" collapsed="false">
      <c r="A265" s="21"/>
      <c r="B265" s="33" t="n">
        <f aca="false">IF($A265="",0,INT(($A265-Macrociclo!$C$11)/7)+1)</f>
        <v>0</v>
      </c>
      <c r="C265" s="20"/>
      <c r="D265" s="20"/>
      <c r="E265" s="22"/>
      <c r="F265" s="22"/>
      <c r="G265" s="48" t="n">
        <f aca="false">IF(OR($E265="",$F265=""),0,$E265*$F265)</f>
        <v>0</v>
      </c>
      <c r="H265" s="48" t="n">
        <f aca="false">IF($A265="",0,SUMIFS($G$8:$G$1007,$C$8:$C$1007,$C265,$A$8:$A$1007,"&gt;="&amp;$A265-6,$A$8:$A$1007,"&lt;="&amp;$A265))</f>
        <v>0</v>
      </c>
      <c r="I265" s="48" t="n">
        <f aca="false">IF($A265="",0,SUMIFS($G$8:$G$1007,$C$8:$C$1007,$C265,$A$8:$A$1007,"&gt;="&amp;$A265-27,$A$8:$A$1007,"&lt;="&amp;$A265)/4)</f>
        <v>0</v>
      </c>
      <c r="J265" s="67" t="n">
        <f aca="false">IF(OR($A265="",$I265=0),0,$H265/$I265)</f>
        <v>0</v>
      </c>
      <c r="K265" s="33" t="n">
        <f aca="false">IF($A265="",0,$A265-SUMPRODUCT(MIN(($C$8:$C$1007=$C265)*$A$8:$A$1007+($C$8:$C$1007&lt;&gt;$C265)*100000))+1)</f>
        <v>0</v>
      </c>
      <c r="L265" s="19" t="str">
        <f aca="false">IF($A265="","",IF($J265=0,"Sem registro anterior",IF($K265&lt;21,"Histórico insuficiente",IF($J265&lt;0.8,"Subcarga",IF($J265&lt;=1.3,"Zona ideal",IF($J265&lt;=1.5,"Atenção","Risco elevado"))))))</f>
        <v/>
      </c>
      <c r="M265" s="20"/>
    </row>
    <row r="266" customFormat="false" ht="15" hidden="false" customHeight="false" outlineLevel="0" collapsed="false">
      <c r="A266" s="21"/>
      <c r="B266" s="33" t="n">
        <f aca="false">IF($A266="",0,INT(($A266-Macrociclo!$C$11)/7)+1)</f>
        <v>0</v>
      </c>
      <c r="C266" s="20"/>
      <c r="D266" s="20"/>
      <c r="E266" s="22"/>
      <c r="F266" s="22"/>
      <c r="G266" s="48" t="n">
        <f aca="false">IF(OR($E266="",$F266=""),0,$E266*$F266)</f>
        <v>0</v>
      </c>
      <c r="H266" s="48" t="n">
        <f aca="false">IF($A266="",0,SUMIFS($G$8:$G$1007,$C$8:$C$1007,$C266,$A$8:$A$1007,"&gt;="&amp;$A266-6,$A$8:$A$1007,"&lt;="&amp;$A266))</f>
        <v>0</v>
      </c>
      <c r="I266" s="48" t="n">
        <f aca="false">IF($A266="",0,SUMIFS($G$8:$G$1007,$C$8:$C$1007,$C266,$A$8:$A$1007,"&gt;="&amp;$A266-27,$A$8:$A$1007,"&lt;="&amp;$A266)/4)</f>
        <v>0</v>
      </c>
      <c r="J266" s="67" t="n">
        <f aca="false">IF(OR($A266="",$I266=0),0,$H266/$I266)</f>
        <v>0</v>
      </c>
      <c r="K266" s="33" t="n">
        <f aca="false">IF($A266="",0,$A266-SUMPRODUCT(MIN(($C$8:$C$1007=$C266)*$A$8:$A$1007+($C$8:$C$1007&lt;&gt;$C266)*100000))+1)</f>
        <v>0</v>
      </c>
      <c r="L266" s="19" t="str">
        <f aca="false">IF($A266="","",IF($J266=0,"Sem registro anterior",IF($K266&lt;21,"Histórico insuficiente",IF($J266&lt;0.8,"Subcarga",IF($J266&lt;=1.3,"Zona ideal",IF($J266&lt;=1.5,"Atenção","Risco elevado"))))))</f>
        <v/>
      </c>
      <c r="M266" s="20"/>
    </row>
    <row r="267" customFormat="false" ht="15" hidden="false" customHeight="false" outlineLevel="0" collapsed="false">
      <c r="A267" s="21"/>
      <c r="B267" s="33" t="n">
        <f aca="false">IF($A267="",0,INT(($A267-Macrociclo!$C$11)/7)+1)</f>
        <v>0</v>
      </c>
      <c r="C267" s="20"/>
      <c r="D267" s="20"/>
      <c r="E267" s="22"/>
      <c r="F267" s="22"/>
      <c r="G267" s="48" t="n">
        <f aca="false">IF(OR($E267="",$F267=""),0,$E267*$F267)</f>
        <v>0</v>
      </c>
      <c r="H267" s="48" t="n">
        <f aca="false">IF($A267="",0,SUMIFS($G$8:$G$1007,$C$8:$C$1007,$C267,$A$8:$A$1007,"&gt;="&amp;$A267-6,$A$8:$A$1007,"&lt;="&amp;$A267))</f>
        <v>0</v>
      </c>
      <c r="I267" s="48" t="n">
        <f aca="false">IF($A267="",0,SUMIFS($G$8:$G$1007,$C$8:$C$1007,$C267,$A$8:$A$1007,"&gt;="&amp;$A267-27,$A$8:$A$1007,"&lt;="&amp;$A267)/4)</f>
        <v>0</v>
      </c>
      <c r="J267" s="67" t="n">
        <f aca="false">IF(OR($A267="",$I267=0),0,$H267/$I267)</f>
        <v>0</v>
      </c>
      <c r="K267" s="33" t="n">
        <f aca="false">IF($A267="",0,$A267-SUMPRODUCT(MIN(($C$8:$C$1007=$C267)*$A$8:$A$1007+($C$8:$C$1007&lt;&gt;$C267)*100000))+1)</f>
        <v>0</v>
      </c>
      <c r="L267" s="19" t="str">
        <f aca="false">IF($A267="","",IF($J267=0,"Sem registro anterior",IF($K267&lt;21,"Histórico insuficiente",IF($J267&lt;0.8,"Subcarga",IF($J267&lt;=1.3,"Zona ideal",IF($J267&lt;=1.5,"Atenção","Risco elevado"))))))</f>
        <v/>
      </c>
      <c r="M267" s="20"/>
    </row>
    <row r="268" customFormat="false" ht="15" hidden="false" customHeight="false" outlineLevel="0" collapsed="false">
      <c r="A268" s="21"/>
      <c r="B268" s="33" t="n">
        <f aca="false">IF($A268="",0,INT(($A268-Macrociclo!$C$11)/7)+1)</f>
        <v>0</v>
      </c>
      <c r="C268" s="20"/>
      <c r="D268" s="20"/>
      <c r="E268" s="22"/>
      <c r="F268" s="22"/>
      <c r="G268" s="48" t="n">
        <f aca="false">IF(OR($E268="",$F268=""),0,$E268*$F268)</f>
        <v>0</v>
      </c>
      <c r="H268" s="48" t="n">
        <f aca="false">IF($A268="",0,SUMIFS($G$8:$G$1007,$C$8:$C$1007,$C268,$A$8:$A$1007,"&gt;="&amp;$A268-6,$A$8:$A$1007,"&lt;="&amp;$A268))</f>
        <v>0</v>
      </c>
      <c r="I268" s="48" t="n">
        <f aca="false">IF($A268="",0,SUMIFS($G$8:$G$1007,$C$8:$C$1007,$C268,$A$8:$A$1007,"&gt;="&amp;$A268-27,$A$8:$A$1007,"&lt;="&amp;$A268)/4)</f>
        <v>0</v>
      </c>
      <c r="J268" s="67" t="n">
        <f aca="false">IF(OR($A268="",$I268=0),0,$H268/$I268)</f>
        <v>0</v>
      </c>
      <c r="K268" s="33" t="n">
        <f aca="false">IF($A268="",0,$A268-SUMPRODUCT(MIN(($C$8:$C$1007=$C268)*$A$8:$A$1007+($C$8:$C$1007&lt;&gt;$C268)*100000))+1)</f>
        <v>0</v>
      </c>
      <c r="L268" s="19" t="str">
        <f aca="false">IF($A268="","",IF($J268=0,"Sem registro anterior",IF($K268&lt;21,"Histórico insuficiente",IF($J268&lt;0.8,"Subcarga",IF($J268&lt;=1.3,"Zona ideal",IF($J268&lt;=1.5,"Atenção","Risco elevado"))))))</f>
        <v/>
      </c>
      <c r="M268" s="20"/>
    </row>
    <row r="269" customFormat="false" ht="15" hidden="false" customHeight="false" outlineLevel="0" collapsed="false">
      <c r="A269" s="21"/>
      <c r="B269" s="33" t="n">
        <f aca="false">IF($A269="",0,INT(($A269-Macrociclo!$C$11)/7)+1)</f>
        <v>0</v>
      </c>
      <c r="C269" s="20"/>
      <c r="D269" s="20"/>
      <c r="E269" s="22"/>
      <c r="F269" s="22"/>
      <c r="G269" s="48" t="n">
        <f aca="false">IF(OR($E269="",$F269=""),0,$E269*$F269)</f>
        <v>0</v>
      </c>
      <c r="H269" s="48" t="n">
        <f aca="false">IF($A269="",0,SUMIFS($G$8:$G$1007,$C$8:$C$1007,$C269,$A$8:$A$1007,"&gt;="&amp;$A269-6,$A$8:$A$1007,"&lt;="&amp;$A269))</f>
        <v>0</v>
      </c>
      <c r="I269" s="48" t="n">
        <f aca="false">IF($A269="",0,SUMIFS($G$8:$G$1007,$C$8:$C$1007,$C269,$A$8:$A$1007,"&gt;="&amp;$A269-27,$A$8:$A$1007,"&lt;="&amp;$A269)/4)</f>
        <v>0</v>
      </c>
      <c r="J269" s="67" t="n">
        <f aca="false">IF(OR($A269="",$I269=0),0,$H269/$I269)</f>
        <v>0</v>
      </c>
      <c r="K269" s="33" t="n">
        <f aca="false">IF($A269="",0,$A269-SUMPRODUCT(MIN(($C$8:$C$1007=$C269)*$A$8:$A$1007+($C$8:$C$1007&lt;&gt;$C269)*100000))+1)</f>
        <v>0</v>
      </c>
      <c r="L269" s="19" t="str">
        <f aca="false">IF($A269="","",IF($J269=0,"Sem registro anterior",IF($K269&lt;21,"Histórico insuficiente",IF($J269&lt;0.8,"Subcarga",IF($J269&lt;=1.3,"Zona ideal",IF($J269&lt;=1.5,"Atenção","Risco elevado"))))))</f>
        <v/>
      </c>
      <c r="M269" s="20"/>
    </row>
    <row r="270" customFormat="false" ht="15" hidden="false" customHeight="false" outlineLevel="0" collapsed="false">
      <c r="A270" s="21"/>
      <c r="B270" s="33" t="n">
        <f aca="false">IF($A270="",0,INT(($A270-Macrociclo!$C$11)/7)+1)</f>
        <v>0</v>
      </c>
      <c r="C270" s="20"/>
      <c r="D270" s="20"/>
      <c r="E270" s="22"/>
      <c r="F270" s="22"/>
      <c r="G270" s="48" t="n">
        <f aca="false">IF(OR($E270="",$F270=""),0,$E270*$F270)</f>
        <v>0</v>
      </c>
      <c r="H270" s="48" t="n">
        <f aca="false">IF($A270="",0,SUMIFS($G$8:$G$1007,$C$8:$C$1007,$C270,$A$8:$A$1007,"&gt;="&amp;$A270-6,$A$8:$A$1007,"&lt;="&amp;$A270))</f>
        <v>0</v>
      </c>
      <c r="I270" s="48" t="n">
        <f aca="false">IF($A270="",0,SUMIFS($G$8:$G$1007,$C$8:$C$1007,$C270,$A$8:$A$1007,"&gt;="&amp;$A270-27,$A$8:$A$1007,"&lt;="&amp;$A270)/4)</f>
        <v>0</v>
      </c>
      <c r="J270" s="67" t="n">
        <f aca="false">IF(OR($A270="",$I270=0),0,$H270/$I270)</f>
        <v>0</v>
      </c>
      <c r="K270" s="33" t="n">
        <f aca="false">IF($A270="",0,$A270-SUMPRODUCT(MIN(($C$8:$C$1007=$C270)*$A$8:$A$1007+($C$8:$C$1007&lt;&gt;$C270)*100000))+1)</f>
        <v>0</v>
      </c>
      <c r="L270" s="19" t="str">
        <f aca="false">IF($A270="","",IF($J270=0,"Sem registro anterior",IF($K270&lt;21,"Histórico insuficiente",IF($J270&lt;0.8,"Subcarga",IF($J270&lt;=1.3,"Zona ideal",IF($J270&lt;=1.5,"Atenção","Risco elevado"))))))</f>
        <v/>
      </c>
      <c r="M270" s="20"/>
    </row>
    <row r="271" customFormat="false" ht="15" hidden="false" customHeight="false" outlineLevel="0" collapsed="false">
      <c r="A271" s="21"/>
      <c r="B271" s="33" t="n">
        <f aca="false">IF($A271="",0,INT(($A271-Macrociclo!$C$11)/7)+1)</f>
        <v>0</v>
      </c>
      <c r="C271" s="20"/>
      <c r="D271" s="20"/>
      <c r="E271" s="22"/>
      <c r="F271" s="22"/>
      <c r="G271" s="48" t="n">
        <f aca="false">IF(OR($E271="",$F271=""),0,$E271*$F271)</f>
        <v>0</v>
      </c>
      <c r="H271" s="48" t="n">
        <f aca="false">IF($A271="",0,SUMIFS($G$8:$G$1007,$C$8:$C$1007,$C271,$A$8:$A$1007,"&gt;="&amp;$A271-6,$A$8:$A$1007,"&lt;="&amp;$A271))</f>
        <v>0</v>
      </c>
      <c r="I271" s="48" t="n">
        <f aca="false">IF($A271="",0,SUMIFS($G$8:$G$1007,$C$8:$C$1007,$C271,$A$8:$A$1007,"&gt;="&amp;$A271-27,$A$8:$A$1007,"&lt;="&amp;$A271)/4)</f>
        <v>0</v>
      </c>
      <c r="J271" s="67" t="n">
        <f aca="false">IF(OR($A271="",$I271=0),0,$H271/$I271)</f>
        <v>0</v>
      </c>
      <c r="K271" s="33" t="n">
        <f aca="false">IF($A271="",0,$A271-SUMPRODUCT(MIN(($C$8:$C$1007=$C271)*$A$8:$A$1007+($C$8:$C$1007&lt;&gt;$C271)*100000))+1)</f>
        <v>0</v>
      </c>
      <c r="L271" s="19" t="str">
        <f aca="false">IF($A271="","",IF($J271=0,"Sem registro anterior",IF($K271&lt;21,"Histórico insuficiente",IF($J271&lt;0.8,"Subcarga",IF($J271&lt;=1.3,"Zona ideal",IF($J271&lt;=1.5,"Atenção","Risco elevado"))))))</f>
        <v/>
      </c>
      <c r="M271" s="20"/>
    </row>
    <row r="272" customFormat="false" ht="15" hidden="false" customHeight="false" outlineLevel="0" collapsed="false">
      <c r="A272" s="21"/>
      <c r="B272" s="33" t="n">
        <f aca="false">IF($A272="",0,INT(($A272-Macrociclo!$C$11)/7)+1)</f>
        <v>0</v>
      </c>
      <c r="C272" s="20"/>
      <c r="D272" s="20"/>
      <c r="E272" s="22"/>
      <c r="F272" s="22"/>
      <c r="G272" s="48" t="n">
        <f aca="false">IF(OR($E272="",$F272=""),0,$E272*$F272)</f>
        <v>0</v>
      </c>
      <c r="H272" s="48" t="n">
        <f aca="false">IF($A272="",0,SUMIFS($G$8:$G$1007,$C$8:$C$1007,$C272,$A$8:$A$1007,"&gt;="&amp;$A272-6,$A$8:$A$1007,"&lt;="&amp;$A272))</f>
        <v>0</v>
      </c>
      <c r="I272" s="48" t="n">
        <f aca="false">IF($A272="",0,SUMIFS($G$8:$G$1007,$C$8:$C$1007,$C272,$A$8:$A$1007,"&gt;="&amp;$A272-27,$A$8:$A$1007,"&lt;="&amp;$A272)/4)</f>
        <v>0</v>
      </c>
      <c r="J272" s="67" t="n">
        <f aca="false">IF(OR($A272="",$I272=0),0,$H272/$I272)</f>
        <v>0</v>
      </c>
      <c r="K272" s="33" t="n">
        <f aca="false">IF($A272="",0,$A272-SUMPRODUCT(MIN(($C$8:$C$1007=$C272)*$A$8:$A$1007+($C$8:$C$1007&lt;&gt;$C272)*100000))+1)</f>
        <v>0</v>
      </c>
      <c r="L272" s="19" t="str">
        <f aca="false">IF($A272="","",IF($J272=0,"Sem registro anterior",IF($K272&lt;21,"Histórico insuficiente",IF($J272&lt;0.8,"Subcarga",IF($J272&lt;=1.3,"Zona ideal",IF($J272&lt;=1.5,"Atenção","Risco elevado"))))))</f>
        <v/>
      </c>
      <c r="M272" s="20"/>
    </row>
    <row r="273" customFormat="false" ht="15" hidden="false" customHeight="false" outlineLevel="0" collapsed="false">
      <c r="A273" s="21"/>
      <c r="B273" s="33" t="n">
        <f aca="false">IF($A273="",0,INT(($A273-Macrociclo!$C$11)/7)+1)</f>
        <v>0</v>
      </c>
      <c r="C273" s="20"/>
      <c r="D273" s="20"/>
      <c r="E273" s="22"/>
      <c r="F273" s="22"/>
      <c r="G273" s="48" t="n">
        <f aca="false">IF(OR($E273="",$F273=""),0,$E273*$F273)</f>
        <v>0</v>
      </c>
      <c r="H273" s="48" t="n">
        <f aca="false">IF($A273="",0,SUMIFS($G$8:$G$1007,$C$8:$C$1007,$C273,$A$8:$A$1007,"&gt;="&amp;$A273-6,$A$8:$A$1007,"&lt;="&amp;$A273))</f>
        <v>0</v>
      </c>
      <c r="I273" s="48" t="n">
        <f aca="false">IF($A273="",0,SUMIFS($G$8:$G$1007,$C$8:$C$1007,$C273,$A$8:$A$1007,"&gt;="&amp;$A273-27,$A$8:$A$1007,"&lt;="&amp;$A273)/4)</f>
        <v>0</v>
      </c>
      <c r="J273" s="67" t="n">
        <f aca="false">IF(OR($A273="",$I273=0),0,$H273/$I273)</f>
        <v>0</v>
      </c>
      <c r="K273" s="33" t="n">
        <f aca="false">IF($A273="",0,$A273-SUMPRODUCT(MIN(($C$8:$C$1007=$C273)*$A$8:$A$1007+($C$8:$C$1007&lt;&gt;$C273)*100000))+1)</f>
        <v>0</v>
      </c>
      <c r="L273" s="19" t="str">
        <f aca="false">IF($A273="","",IF($J273=0,"Sem registro anterior",IF($K273&lt;21,"Histórico insuficiente",IF($J273&lt;0.8,"Subcarga",IF($J273&lt;=1.3,"Zona ideal",IF($J273&lt;=1.5,"Atenção","Risco elevado"))))))</f>
        <v/>
      </c>
      <c r="M273" s="20"/>
    </row>
    <row r="274" customFormat="false" ht="15" hidden="false" customHeight="false" outlineLevel="0" collapsed="false">
      <c r="A274" s="21"/>
      <c r="B274" s="33" t="n">
        <f aca="false">IF($A274="",0,INT(($A274-Macrociclo!$C$11)/7)+1)</f>
        <v>0</v>
      </c>
      <c r="C274" s="20"/>
      <c r="D274" s="20"/>
      <c r="E274" s="22"/>
      <c r="F274" s="22"/>
      <c r="G274" s="48" t="n">
        <f aca="false">IF(OR($E274="",$F274=""),0,$E274*$F274)</f>
        <v>0</v>
      </c>
      <c r="H274" s="48" t="n">
        <f aca="false">IF($A274="",0,SUMIFS($G$8:$G$1007,$C$8:$C$1007,$C274,$A$8:$A$1007,"&gt;="&amp;$A274-6,$A$8:$A$1007,"&lt;="&amp;$A274))</f>
        <v>0</v>
      </c>
      <c r="I274" s="48" t="n">
        <f aca="false">IF($A274="",0,SUMIFS($G$8:$G$1007,$C$8:$C$1007,$C274,$A$8:$A$1007,"&gt;="&amp;$A274-27,$A$8:$A$1007,"&lt;="&amp;$A274)/4)</f>
        <v>0</v>
      </c>
      <c r="J274" s="67" t="n">
        <f aca="false">IF(OR($A274="",$I274=0),0,$H274/$I274)</f>
        <v>0</v>
      </c>
      <c r="K274" s="33" t="n">
        <f aca="false">IF($A274="",0,$A274-SUMPRODUCT(MIN(($C$8:$C$1007=$C274)*$A$8:$A$1007+($C$8:$C$1007&lt;&gt;$C274)*100000))+1)</f>
        <v>0</v>
      </c>
      <c r="L274" s="19" t="str">
        <f aca="false">IF($A274="","",IF($J274=0,"Sem registro anterior",IF($K274&lt;21,"Histórico insuficiente",IF($J274&lt;0.8,"Subcarga",IF($J274&lt;=1.3,"Zona ideal",IF($J274&lt;=1.5,"Atenção","Risco elevado"))))))</f>
        <v/>
      </c>
      <c r="M274" s="20"/>
    </row>
    <row r="275" customFormat="false" ht="15" hidden="false" customHeight="false" outlineLevel="0" collapsed="false">
      <c r="A275" s="21"/>
      <c r="B275" s="33" t="n">
        <f aca="false">IF($A275="",0,INT(($A275-Macrociclo!$C$11)/7)+1)</f>
        <v>0</v>
      </c>
      <c r="C275" s="20"/>
      <c r="D275" s="20"/>
      <c r="E275" s="22"/>
      <c r="F275" s="22"/>
      <c r="G275" s="48" t="n">
        <f aca="false">IF(OR($E275="",$F275=""),0,$E275*$F275)</f>
        <v>0</v>
      </c>
      <c r="H275" s="48" t="n">
        <f aca="false">IF($A275="",0,SUMIFS($G$8:$G$1007,$C$8:$C$1007,$C275,$A$8:$A$1007,"&gt;="&amp;$A275-6,$A$8:$A$1007,"&lt;="&amp;$A275))</f>
        <v>0</v>
      </c>
      <c r="I275" s="48" t="n">
        <f aca="false">IF($A275="",0,SUMIFS($G$8:$G$1007,$C$8:$C$1007,$C275,$A$8:$A$1007,"&gt;="&amp;$A275-27,$A$8:$A$1007,"&lt;="&amp;$A275)/4)</f>
        <v>0</v>
      </c>
      <c r="J275" s="67" t="n">
        <f aca="false">IF(OR($A275="",$I275=0),0,$H275/$I275)</f>
        <v>0</v>
      </c>
      <c r="K275" s="33" t="n">
        <f aca="false">IF($A275="",0,$A275-SUMPRODUCT(MIN(($C$8:$C$1007=$C275)*$A$8:$A$1007+($C$8:$C$1007&lt;&gt;$C275)*100000))+1)</f>
        <v>0</v>
      </c>
      <c r="L275" s="19" t="str">
        <f aca="false">IF($A275="","",IF($J275=0,"Sem registro anterior",IF($K275&lt;21,"Histórico insuficiente",IF($J275&lt;0.8,"Subcarga",IF($J275&lt;=1.3,"Zona ideal",IF($J275&lt;=1.5,"Atenção","Risco elevado"))))))</f>
        <v/>
      </c>
      <c r="M275" s="20"/>
    </row>
    <row r="276" customFormat="false" ht="15" hidden="false" customHeight="false" outlineLevel="0" collapsed="false">
      <c r="A276" s="21"/>
      <c r="B276" s="33" t="n">
        <f aca="false">IF($A276="",0,INT(($A276-Macrociclo!$C$11)/7)+1)</f>
        <v>0</v>
      </c>
      <c r="C276" s="20"/>
      <c r="D276" s="20"/>
      <c r="E276" s="22"/>
      <c r="F276" s="22"/>
      <c r="G276" s="48" t="n">
        <f aca="false">IF(OR($E276="",$F276=""),0,$E276*$F276)</f>
        <v>0</v>
      </c>
      <c r="H276" s="48" t="n">
        <f aca="false">IF($A276="",0,SUMIFS($G$8:$G$1007,$C$8:$C$1007,$C276,$A$8:$A$1007,"&gt;="&amp;$A276-6,$A$8:$A$1007,"&lt;="&amp;$A276))</f>
        <v>0</v>
      </c>
      <c r="I276" s="48" t="n">
        <f aca="false">IF($A276="",0,SUMIFS($G$8:$G$1007,$C$8:$C$1007,$C276,$A$8:$A$1007,"&gt;="&amp;$A276-27,$A$8:$A$1007,"&lt;="&amp;$A276)/4)</f>
        <v>0</v>
      </c>
      <c r="J276" s="67" t="n">
        <f aca="false">IF(OR($A276="",$I276=0),0,$H276/$I276)</f>
        <v>0</v>
      </c>
      <c r="K276" s="33" t="n">
        <f aca="false">IF($A276="",0,$A276-SUMPRODUCT(MIN(($C$8:$C$1007=$C276)*$A$8:$A$1007+($C$8:$C$1007&lt;&gt;$C276)*100000))+1)</f>
        <v>0</v>
      </c>
      <c r="L276" s="19" t="str">
        <f aca="false">IF($A276="","",IF($J276=0,"Sem registro anterior",IF($K276&lt;21,"Histórico insuficiente",IF($J276&lt;0.8,"Subcarga",IF($J276&lt;=1.3,"Zona ideal",IF($J276&lt;=1.5,"Atenção","Risco elevado"))))))</f>
        <v/>
      </c>
      <c r="M276" s="20"/>
    </row>
    <row r="277" customFormat="false" ht="15" hidden="false" customHeight="false" outlineLevel="0" collapsed="false">
      <c r="A277" s="21"/>
      <c r="B277" s="33" t="n">
        <f aca="false">IF($A277="",0,INT(($A277-Macrociclo!$C$11)/7)+1)</f>
        <v>0</v>
      </c>
      <c r="C277" s="20"/>
      <c r="D277" s="20"/>
      <c r="E277" s="22"/>
      <c r="F277" s="22"/>
      <c r="G277" s="48" t="n">
        <f aca="false">IF(OR($E277="",$F277=""),0,$E277*$F277)</f>
        <v>0</v>
      </c>
      <c r="H277" s="48" t="n">
        <f aca="false">IF($A277="",0,SUMIFS($G$8:$G$1007,$C$8:$C$1007,$C277,$A$8:$A$1007,"&gt;="&amp;$A277-6,$A$8:$A$1007,"&lt;="&amp;$A277))</f>
        <v>0</v>
      </c>
      <c r="I277" s="48" t="n">
        <f aca="false">IF($A277="",0,SUMIFS($G$8:$G$1007,$C$8:$C$1007,$C277,$A$8:$A$1007,"&gt;="&amp;$A277-27,$A$8:$A$1007,"&lt;="&amp;$A277)/4)</f>
        <v>0</v>
      </c>
      <c r="J277" s="67" t="n">
        <f aca="false">IF(OR($A277="",$I277=0),0,$H277/$I277)</f>
        <v>0</v>
      </c>
      <c r="K277" s="33" t="n">
        <f aca="false">IF($A277="",0,$A277-SUMPRODUCT(MIN(($C$8:$C$1007=$C277)*$A$8:$A$1007+($C$8:$C$1007&lt;&gt;$C277)*100000))+1)</f>
        <v>0</v>
      </c>
      <c r="L277" s="19" t="str">
        <f aca="false">IF($A277="","",IF($J277=0,"Sem registro anterior",IF($K277&lt;21,"Histórico insuficiente",IF($J277&lt;0.8,"Subcarga",IF($J277&lt;=1.3,"Zona ideal",IF($J277&lt;=1.5,"Atenção","Risco elevado"))))))</f>
        <v/>
      </c>
      <c r="M277" s="20"/>
    </row>
    <row r="278" customFormat="false" ht="15" hidden="false" customHeight="false" outlineLevel="0" collapsed="false">
      <c r="A278" s="21"/>
      <c r="B278" s="33" t="n">
        <f aca="false">IF($A278="",0,INT(($A278-Macrociclo!$C$11)/7)+1)</f>
        <v>0</v>
      </c>
      <c r="C278" s="20"/>
      <c r="D278" s="20"/>
      <c r="E278" s="22"/>
      <c r="F278" s="22"/>
      <c r="G278" s="48" t="n">
        <f aca="false">IF(OR($E278="",$F278=""),0,$E278*$F278)</f>
        <v>0</v>
      </c>
      <c r="H278" s="48" t="n">
        <f aca="false">IF($A278="",0,SUMIFS($G$8:$G$1007,$C$8:$C$1007,$C278,$A$8:$A$1007,"&gt;="&amp;$A278-6,$A$8:$A$1007,"&lt;="&amp;$A278))</f>
        <v>0</v>
      </c>
      <c r="I278" s="48" t="n">
        <f aca="false">IF($A278="",0,SUMIFS($G$8:$G$1007,$C$8:$C$1007,$C278,$A$8:$A$1007,"&gt;="&amp;$A278-27,$A$8:$A$1007,"&lt;="&amp;$A278)/4)</f>
        <v>0</v>
      </c>
      <c r="J278" s="67" t="n">
        <f aca="false">IF(OR($A278="",$I278=0),0,$H278/$I278)</f>
        <v>0</v>
      </c>
      <c r="K278" s="33" t="n">
        <f aca="false">IF($A278="",0,$A278-SUMPRODUCT(MIN(($C$8:$C$1007=$C278)*$A$8:$A$1007+($C$8:$C$1007&lt;&gt;$C278)*100000))+1)</f>
        <v>0</v>
      </c>
      <c r="L278" s="19" t="str">
        <f aca="false">IF($A278="","",IF($J278=0,"Sem registro anterior",IF($K278&lt;21,"Histórico insuficiente",IF($J278&lt;0.8,"Subcarga",IF($J278&lt;=1.3,"Zona ideal",IF($J278&lt;=1.5,"Atenção","Risco elevado"))))))</f>
        <v/>
      </c>
      <c r="M278" s="20"/>
    </row>
    <row r="279" customFormat="false" ht="15" hidden="false" customHeight="false" outlineLevel="0" collapsed="false">
      <c r="A279" s="21"/>
      <c r="B279" s="33" t="n">
        <f aca="false">IF($A279="",0,INT(($A279-Macrociclo!$C$11)/7)+1)</f>
        <v>0</v>
      </c>
      <c r="C279" s="20"/>
      <c r="D279" s="20"/>
      <c r="E279" s="22"/>
      <c r="F279" s="22"/>
      <c r="G279" s="48" t="n">
        <f aca="false">IF(OR($E279="",$F279=""),0,$E279*$F279)</f>
        <v>0</v>
      </c>
      <c r="H279" s="48" t="n">
        <f aca="false">IF($A279="",0,SUMIFS($G$8:$G$1007,$C$8:$C$1007,$C279,$A$8:$A$1007,"&gt;="&amp;$A279-6,$A$8:$A$1007,"&lt;="&amp;$A279))</f>
        <v>0</v>
      </c>
      <c r="I279" s="48" t="n">
        <f aca="false">IF($A279="",0,SUMIFS($G$8:$G$1007,$C$8:$C$1007,$C279,$A$8:$A$1007,"&gt;="&amp;$A279-27,$A$8:$A$1007,"&lt;="&amp;$A279)/4)</f>
        <v>0</v>
      </c>
      <c r="J279" s="67" t="n">
        <f aca="false">IF(OR($A279="",$I279=0),0,$H279/$I279)</f>
        <v>0</v>
      </c>
      <c r="K279" s="33" t="n">
        <f aca="false">IF($A279="",0,$A279-SUMPRODUCT(MIN(($C$8:$C$1007=$C279)*$A$8:$A$1007+($C$8:$C$1007&lt;&gt;$C279)*100000))+1)</f>
        <v>0</v>
      </c>
      <c r="L279" s="19" t="str">
        <f aca="false">IF($A279="","",IF($J279=0,"Sem registro anterior",IF($K279&lt;21,"Histórico insuficiente",IF($J279&lt;0.8,"Subcarga",IF($J279&lt;=1.3,"Zona ideal",IF($J279&lt;=1.5,"Atenção","Risco elevado"))))))</f>
        <v/>
      </c>
      <c r="M279" s="20"/>
    </row>
    <row r="280" customFormat="false" ht="15" hidden="false" customHeight="false" outlineLevel="0" collapsed="false">
      <c r="A280" s="21"/>
      <c r="B280" s="33" t="n">
        <f aca="false">IF($A280="",0,INT(($A280-Macrociclo!$C$11)/7)+1)</f>
        <v>0</v>
      </c>
      <c r="C280" s="20"/>
      <c r="D280" s="20"/>
      <c r="E280" s="22"/>
      <c r="F280" s="22"/>
      <c r="G280" s="48" t="n">
        <f aca="false">IF(OR($E280="",$F280=""),0,$E280*$F280)</f>
        <v>0</v>
      </c>
      <c r="H280" s="48" t="n">
        <f aca="false">IF($A280="",0,SUMIFS($G$8:$G$1007,$C$8:$C$1007,$C280,$A$8:$A$1007,"&gt;="&amp;$A280-6,$A$8:$A$1007,"&lt;="&amp;$A280))</f>
        <v>0</v>
      </c>
      <c r="I280" s="48" t="n">
        <f aca="false">IF($A280="",0,SUMIFS($G$8:$G$1007,$C$8:$C$1007,$C280,$A$8:$A$1007,"&gt;="&amp;$A280-27,$A$8:$A$1007,"&lt;="&amp;$A280)/4)</f>
        <v>0</v>
      </c>
      <c r="J280" s="67" t="n">
        <f aca="false">IF(OR($A280="",$I280=0),0,$H280/$I280)</f>
        <v>0</v>
      </c>
      <c r="K280" s="33" t="n">
        <f aca="false">IF($A280="",0,$A280-SUMPRODUCT(MIN(($C$8:$C$1007=$C280)*$A$8:$A$1007+($C$8:$C$1007&lt;&gt;$C280)*100000))+1)</f>
        <v>0</v>
      </c>
      <c r="L280" s="19" t="str">
        <f aca="false">IF($A280="","",IF($J280=0,"Sem registro anterior",IF($K280&lt;21,"Histórico insuficiente",IF($J280&lt;0.8,"Subcarga",IF($J280&lt;=1.3,"Zona ideal",IF($J280&lt;=1.5,"Atenção","Risco elevado"))))))</f>
        <v/>
      </c>
      <c r="M280" s="20"/>
    </row>
    <row r="281" customFormat="false" ht="15" hidden="false" customHeight="false" outlineLevel="0" collapsed="false">
      <c r="A281" s="21"/>
      <c r="B281" s="33" t="n">
        <f aca="false">IF($A281="",0,INT(($A281-Macrociclo!$C$11)/7)+1)</f>
        <v>0</v>
      </c>
      <c r="C281" s="20"/>
      <c r="D281" s="20"/>
      <c r="E281" s="22"/>
      <c r="F281" s="22"/>
      <c r="G281" s="48" t="n">
        <f aca="false">IF(OR($E281="",$F281=""),0,$E281*$F281)</f>
        <v>0</v>
      </c>
      <c r="H281" s="48" t="n">
        <f aca="false">IF($A281="",0,SUMIFS($G$8:$G$1007,$C$8:$C$1007,$C281,$A$8:$A$1007,"&gt;="&amp;$A281-6,$A$8:$A$1007,"&lt;="&amp;$A281))</f>
        <v>0</v>
      </c>
      <c r="I281" s="48" t="n">
        <f aca="false">IF($A281="",0,SUMIFS($G$8:$G$1007,$C$8:$C$1007,$C281,$A$8:$A$1007,"&gt;="&amp;$A281-27,$A$8:$A$1007,"&lt;="&amp;$A281)/4)</f>
        <v>0</v>
      </c>
      <c r="J281" s="67" t="n">
        <f aca="false">IF(OR($A281="",$I281=0),0,$H281/$I281)</f>
        <v>0</v>
      </c>
      <c r="K281" s="33" t="n">
        <f aca="false">IF($A281="",0,$A281-SUMPRODUCT(MIN(($C$8:$C$1007=$C281)*$A$8:$A$1007+($C$8:$C$1007&lt;&gt;$C281)*100000))+1)</f>
        <v>0</v>
      </c>
      <c r="L281" s="19" t="str">
        <f aca="false">IF($A281="","",IF($J281=0,"Sem registro anterior",IF($K281&lt;21,"Histórico insuficiente",IF($J281&lt;0.8,"Subcarga",IF($J281&lt;=1.3,"Zona ideal",IF($J281&lt;=1.5,"Atenção","Risco elevado"))))))</f>
        <v/>
      </c>
      <c r="M281" s="20"/>
    </row>
    <row r="282" customFormat="false" ht="15" hidden="false" customHeight="false" outlineLevel="0" collapsed="false">
      <c r="A282" s="21"/>
      <c r="B282" s="33" t="n">
        <f aca="false">IF($A282="",0,INT(($A282-Macrociclo!$C$11)/7)+1)</f>
        <v>0</v>
      </c>
      <c r="C282" s="20"/>
      <c r="D282" s="20"/>
      <c r="E282" s="22"/>
      <c r="F282" s="22"/>
      <c r="G282" s="48" t="n">
        <f aca="false">IF(OR($E282="",$F282=""),0,$E282*$F282)</f>
        <v>0</v>
      </c>
      <c r="H282" s="48" t="n">
        <f aca="false">IF($A282="",0,SUMIFS($G$8:$G$1007,$C$8:$C$1007,$C282,$A$8:$A$1007,"&gt;="&amp;$A282-6,$A$8:$A$1007,"&lt;="&amp;$A282))</f>
        <v>0</v>
      </c>
      <c r="I282" s="48" t="n">
        <f aca="false">IF($A282="",0,SUMIFS($G$8:$G$1007,$C$8:$C$1007,$C282,$A$8:$A$1007,"&gt;="&amp;$A282-27,$A$8:$A$1007,"&lt;="&amp;$A282)/4)</f>
        <v>0</v>
      </c>
      <c r="J282" s="67" t="n">
        <f aca="false">IF(OR($A282="",$I282=0),0,$H282/$I282)</f>
        <v>0</v>
      </c>
      <c r="K282" s="33" t="n">
        <f aca="false">IF($A282="",0,$A282-SUMPRODUCT(MIN(($C$8:$C$1007=$C282)*$A$8:$A$1007+($C$8:$C$1007&lt;&gt;$C282)*100000))+1)</f>
        <v>0</v>
      </c>
      <c r="L282" s="19" t="str">
        <f aca="false">IF($A282="","",IF($J282=0,"Sem registro anterior",IF($K282&lt;21,"Histórico insuficiente",IF($J282&lt;0.8,"Subcarga",IF($J282&lt;=1.3,"Zona ideal",IF($J282&lt;=1.5,"Atenção","Risco elevado"))))))</f>
        <v/>
      </c>
      <c r="M282" s="20"/>
    </row>
    <row r="283" customFormat="false" ht="15" hidden="false" customHeight="false" outlineLevel="0" collapsed="false">
      <c r="A283" s="21"/>
      <c r="B283" s="33" t="n">
        <f aca="false">IF($A283="",0,INT(($A283-Macrociclo!$C$11)/7)+1)</f>
        <v>0</v>
      </c>
      <c r="C283" s="20"/>
      <c r="D283" s="20"/>
      <c r="E283" s="22"/>
      <c r="F283" s="22"/>
      <c r="G283" s="48" t="n">
        <f aca="false">IF(OR($E283="",$F283=""),0,$E283*$F283)</f>
        <v>0</v>
      </c>
      <c r="H283" s="48" t="n">
        <f aca="false">IF($A283="",0,SUMIFS($G$8:$G$1007,$C$8:$C$1007,$C283,$A$8:$A$1007,"&gt;="&amp;$A283-6,$A$8:$A$1007,"&lt;="&amp;$A283))</f>
        <v>0</v>
      </c>
      <c r="I283" s="48" t="n">
        <f aca="false">IF($A283="",0,SUMIFS($G$8:$G$1007,$C$8:$C$1007,$C283,$A$8:$A$1007,"&gt;="&amp;$A283-27,$A$8:$A$1007,"&lt;="&amp;$A283)/4)</f>
        <v>0</v>
      </c>
      <c r="J283" s="67" t="n">
        <f aca="false">IF(OR($A283="",$I283=0),0,$H283/$I283)</f>
        <v>0</v>
      </c>
      <c r="K283" s="33" t="n">
        <f aca="false">IF($A283="",0,$A283-SUMPRODUCT(MIN(($C$8:$C$1007=$C283)*$A$8:$A$1007+($C$8:$C$1007&lt;&gt;$C283)*100000))+1)</f>
        <v>0</v>
      </c>
      <c r="L283" s="19" t="str">
        <f aca="false">IF($A283="","",IF($J283=0,"Sem registro anterior",IF($K283&lt;21,"Histórico insuficiente",IF($J283&lt;0.8,"Subcarga",IF($J283&lt;=1.3,"Zona ideal",IF($J283&lt;=1.5,"Atenção","Risco elevado"))))))</f>
        <v/>
      </c>
      <c r="M283" s="20"/>
    </row>
    <row r="284" customFormat="false" ht="15" hidden="false" customHeight="false" outlineLevel="0" collapsed="false">
      <c r="A284" s="21"/>
      <c r="B284" s="33" t="n">
        <f aca="false">IF($A284="",0,INT(($A284-Macrociclo!$C$11)/7)+1)</f>
        <v>0</v>
      </c>
      <c r="C284" s="20"/>
      <c r="D284" s="20"/>
      <c r="E284" s="22"/>
      <c r="F284" s="22"/>
      <c r="G284" s="48" t="n">
        <f aca="false">IF(OR($E284="",$F284=""),0,$E284*$F284)</f>
        <v>0</v>
      </c>
      <c r="H284" s="48" t="n">
        <f aca="false">IF($A284="",0,SUMIFS($G$8:$G$1007,$C$8:$C$1007,$C284,$A$8:$A$1007,"&gt;="&amp;$A284-6,$A$8:$A$1007,"&lt;="&amp;$A284))</f>
        <v>0</v>
      </c>
      <c r="I284" s="48" t="n">
        <f aca="false">IF($A284="",0,SUMIFS($G$8:$G$1007,$C$8:$C$1007,$C284,$A$8:$A$1007,"&gt;="&amp;$A284-27,$A$8:$A$1007,"&lt;="&amp;$A284)/4)</f>
        <v>0</v>
      </c>
      <c r="J284" s="67" t="n">
        <f aca="false">IF(OR($A284="",$I284=0),0,$H284/$I284)</f>
        <v>0</v>
      </c>
      <c r="K284" s="33" t="n">
        <f aca="false">IF($A284="",0,$A284-SUMPRODUCT(MIN(($C$8:$C$1007=$C284)*$A$8:$A$1007+($C$8:$C$1007&lt;&gt;$C284)*100000))+1)</f>
        <v>0</v>
      </c>
      <c r="L284" s="19" t="str">
        <f aca="false">IF($A284="","",IF($J284=0,"Sem registro anterior",IF($K284&lt;21,"Histórico insuficiente",IF($J284&lt;0.8,"Subcarga",IF($J284&lt;=1.3,"Zona ideal",IF($J284&lt;=1.5,"Atenção","Risco elevado"))))))</f>
        <v/>
      </c>
      <c r="M284" s="20"/>
    </row>
    <row r="285" customFormat="false" ht="15" hidden="false" customHeight="false" outlineLevel="0" collapsed="false">
      <c r="A285" s="21"/>
      <c r="B285" s="33" t="n">
        <f aca="false">IF($A285="",0,INT(($A285-Macrociclo!$C$11)/7)+1)</f>
        <v>0</v>
      </c>
      <c r="C285" s="20"/>
      <c r="D285" s="20"/>
      <c r="E285" s="22"/>
      <c r="F285" s="22"/>
      <c r="G285" s="48" t="n">
        <f aca="false">IF(OR($E285="",$F285=""),0,$E285*$F285)</f>
        <v>0</v>
      </c>
      <c r="H285" s="48" t="n">
        <f aca="false">IF($A285="",0,SUMIFS($G$8:$G$1007,$C$8:$C$1007,$C285,$A$8:$A$1007,"&gt;="&amp;$A285-6,$A$8:$A$1007,"&lt;="&amp;$A285))</f>
        <v>0</v>
      </c>
      <c r="I285" s="48" t="n">
        <f aca="false">IF($A285="",0,SUMIFS($G$8:$G$1007,$C$8:$C$1007,$C285,$A$8:$A$1007,"&gt;="&amp;$A285-27,$A$8:$A$1007,"&lt;="&amp;$A285)/4)</f>
        <v>0</v>
      </c>
      <c r="J285" s="67" t="n">
        <f aca="false">IF(OR($A285="",$I285=0),0,$H285/$I285)</f>
        <v>0</v>
      </c>
      <c r="K285" s="33" t="n">
        <f aca="false">IF($A285="",0,$A285-SUMPRODUCT(MIN(($C$8:$C$1007=$C285)*$A$8:$A$1007+($C$8:$C$1007&lt;&gt;$C285)*100000))+1)</f>
        <v>0</v>
      </c>
      <c r="L285" s="19" t="str">
        <f aca="false">IF($A285="","",IF($J285=0,"Sem registro anterior",IF($K285&lt;21,"Histórico insuficiente",IF($J285&lt;0.8,"Subcarga",IF($J285&lt;=1.3,"Zona ideal",IF($J285&lt;=1.5,"Atenção","Risco elevado"))))))</f>
        <v/>
      </c>
      <c r="M285" s="20"/>
    </row>
    <row r="286" customFormat="false" ht="15" hidden="false" customHeight="false" outlineLevel="0" collapsed="false">
      <c r="A286" s="21"/>
      <c r="B286" s="33" t="n">
        <f aca="false">IF($A286="",0,INT(($A286-Macrociclo!$C$11)/7)+1)</f>
        <v>0</v>
      </c>
      <c r="C286" s="20"/>
      <c r="D286" s="20"/>
      <c r="E286" s="22"/>
      <c r="F286" s="22"/>
      <c r="G286" s="48" t="n">
        <f aca="false">IF(OR($E286="",$F286=""),0,$E286*$F286)</f>
        <v>0</v>
      </c>
      <c r="H286" s="48" t="n">
        <f aca="false">IF($A286="",0,SUMIFS($G$8:$G$1007,$C$8:$C$1007,$C286,$A$8:$A$1007,"&gt;="&amp;$A286-6,$A$8:$A$1007,"&lt;="&amp;$A286))</f>
        <v>0</v>
      </c>
      <c r="I286" s="48" t="n">
        <f aca="false">IF($A286="",0,SUMIFS($G$8:$G$1007,$C$8:$C$1007,$C286,$A$8:$A$1007,"&gt;="&amp;$A286-27,$A$8:$A$1007,"&lt;="&amp;$A286)/4)</f>
        <v>0</v>
      </c>
      <c r="J286" s="67" t="n">
        <f aca="false">IF(OR($A286="",$I286=0),0,$H286/$I286)</f>
        <v>0</v>
      </c>
      <c r="K286" s="33" t="n">
        <f aca="false">IF($A286="",0,$A286-SUMPRODUCT(MIN(($C$8:$C$1007=$C286)*$A$8:$A$1007+($C$8:$C$1007&lt;&gt;$C286)*100000))+1)</f>
        <v>0</v>
      </c>
      <c r="L286" s="19" t="str">
        <f aca="false">IF($A286="","",IF($J286=0,"Sem registro anterior",IF($K286&lt;21,"Histórico insuficiente",IF($J286&lt;0.8,"Subcarga",IF($J286&lt;=1.3,"Zona ideal",IF($J286&lt;=1.5,"Atenção","Risco elevado"))))))</f>
        <v/>
      </c>
      <c r="M286" s="20"/>
    </row>
    <row r="287" customFormat="false" ht="15" hidden="false" customHeight="false" outlineLevel="0" collapsed="false">
      <c r="A287" s="21"/>
      <c r="B287" s="33" t="n">
        <f aca="false">IF($A287="",0,INT(($A287-Macrociclo!$C$11)/7)+1)</f>
        <v>0</v>
      </c>
      <c r="C287" s="20"/>
      <c r="D287" s="20"/>
      <c r="E287" s="22"/>
      <c r="F287" s="22"/>
      <c r="G287" s="48" t="n">
        <f aca="false">IF(OR($E287="",$F287=""),0,$E287*$F287)</f>
        <v>0</v>
      </c>
      <c r="H287" s="48" t="n">
        <f aca="false">IF($A287="",0,SUMIFS($G$8:$G$1007,$C$8:$C$1007,$C287,$A$8:$A$1007,"&gt;="&amp;$A287-6,$A$8:$A$1007,"&lt;="&amp;$A287))</f>
        <v>0</v>
      </c>
      <c r="I287" s="48" t="n">
        <f aca="false">IF($A287="",0,SUMIFS($G$8:$G$1007,$C$8:$C$1007,$C287,$A$8:$A$1007,"&gt;="&amp;$A287-27,$A$8:$A$1007,"&lt;="&amp;$A287)/4)</f>
        <v>0</v>
      </c>
      <c r="J287" s="67" t="n">
        <f aca="false">IF(OR($A287="",$I287=0),0,$H287/$I287)</f>
        <v>0</v>
      </c>
      <c r="K287" s="33" t="n">
        <f aca="false">IF($A287="",0,$A287-SUMPRODUCT(MIN(($C$8:$C$1007=$C287)*$A$8:$A$1007+($C$8:$C$1007&lt;&gt;$C287)*100000))+1)</f>
        <v>0</v>
      </c>
      <c r="L287" s="19" t="str">
        <f aca="false">IF($A287="","",IF($J287=0,"Sem registro anterior",IF($K287&lt;21,"Histórico insuficiente",IF($J287&lt;0.8,"Subcarga",IF($J287&lt;=1.3,"Zona ideal",IF($J287&lt;=1.5,"Atenção","Risco elevado"))))))</f>
        <v/>
      </c>
      <c r="M287" s="20"/>
    </row>
    <row r="288" customFormat="false" ht="15" hidden="false" customHeight="false" outlineLevel="0" collapsed="false">
      <c r="A288" s="21"/>
      <c r="B288" s="33" t="n">
        <f aca="false">IF($A288="",0,INT(($A288-Macrociclo!$C$11)/7)+1)</f>
        <v>0</v>
      </c>
      <c r="C288" s="20"/>
      <c r="D288" s="20"/>
      <c r="E288" s="22"/>
      <c r="F288" s="22"/>
      <c r="G288" s="48" t="n">
        <f aca="false">IF(OR($E288="",$F288=""),0,$E288*$F288)</f>
        <v>0</v>
      </c>
      <c r="H288" s="48" t="n">
        <f aca="false">IF($A288="",0,SUMIFS($G$8:$G$1007,$C$8:$C$1007,$C288,$A$8:$A$1007,"&gt;="&amp;$A288-6,$A$8:$A$1007,"&lt;="&amp;$A288))</f>
        <v>0</v>
      </c>
      <c r="I288" s="48" t="n">
        <f aca="false">IF($A288="",0,SUMIFS($G$8:$G$1007,$C$8:$C$1007,$C288,$A$8:$A$1007,"&gt;="&amp;$A288-27,$A$8:$A$1007,"&lt;="&amp;$A288)/4)</f>
        <v>0</v>
      </c>
      <c r="J288" s="67" t="n">
        <f aca="false">IF(OR($A288="",$I288=0),0,$H288/$I288)</f>
        <v>0</v>
      </c>
      <c r="K288" s="33" t="n">
        <f aca="false">IF($A288="",0,$A288-SUMPRODUCT(MIN(($C$8:$C$1007=$C288)*$A$8:$A$1007+($C$8:$C$1007&lt;&gt;$C288)*100000))+1)</f>
        <v>0</v>
      </c>
      <c r="L288" s="19" t="str">
        <f aca="false">IF($A288="","",IF($J288=0,"Sem registro anterior",IF($K288&lt;21,"Histórico insuficiente",IF($J288&lt;0.8,"Subcarga",IF($J288&lt;=1.3,"Zona ideal",IF($J288&lt;=1.5,"Atenção","Risco elevado"))))))</f>
        <v/>
      </c>
      <c r="M288" s="20"/>
    </row>
    <row r="289" customFormat="false" ht="15" hidden="false" customHeight="false" outlineLevel="0" collapsed="false">
      <c r="A289" s="21"/>
      <c r="B289" s="33" t="n">
        <f aca="false">IF($A289="",0,INT(($A289-Macrociclo!$C$11)/7)+1)</f>
        <v>0</v>
      </c>
      <c r="C289" s="20"/>
      <c r="D289" s="20"/>
      <c r="E289" s="22"/>
      <c r="F289" s="22"/>
      <c r="G289" s="48" t="n">
        <f aca="false">IF(OR($E289="",$F289=""),0,$E289*$F289)</f>
        <v>0</v>
      </c>
      <c r="H289" s="48" t="n">
        <f aca="false">IF($A289="",0,SUMIFS($G$8:$G$1007,$C$8:$C$1007,$C289,$A$8:$A$1007,"&gt;="&amp;$A289-6,$A$8:$A$1007,"&lt;="&amp;$A289))</f>
        <v>0</v>
      </c>
      <c r="I289" s="48" t="n">
        <f aca="false">IF($A289="",0,SUMIFS($G$8:$G$1007,$C$8:$C$1007,$C289,$A$8:$A$1007,"&gt;="&amp;$A289-27,$A$8:$A$1007,"&lt;="&amp;$A289)/4)</f>
        <v>0</v>
      </c>
      <c r="J289" s="67" t="n">
        <f aca="false">IF(OR($A289="",$I289=0),0,$H289/$I289)</f>
        <v>0</v>
      </c>
      <c r="K289" s="33" t="n">
        <f aca="false">IF($A289="",0,$A289-SUMPRODUCT(MIN(($C$8:$C$1007=$C289)*$A$8:$A$1007+($C$8:$C$1007&lt;&gt;$C289)*100000))+1)</f>
        <v>0</v>
      </c>
      <c r="L289" s="19" t="str">
        <f aca="false">IF($A289="","",IF($J289=0,"Sem registro anterior",IF($K289&lt;21,"Histórico insuficiente",IF($J289&lt;0.8,"Subcarga",IF($J289&lt;=1.3,"Zona ideal",IF($J289&lt;=1.5,"Atenção","Risco elevado"))))))</f>
        <v/>
      </c>
      <c r="M289" s="20"/>
    </row>
    <row r="290" customFormat="false" ht="15" hidden="false" customHeight="false" outlineLevel="0" collapsed="false">
      <c r="A290" s="21"/>
      <c r="B290" s="33" t="n">
        <f aca="false">IF($A290="",0,INT(($A290-Macrociclo!$C$11)/7)+1)</f>
        <v>0</v>
      </c>
      <c r="C290" s="20"/>
      <c r="D290" s="20"/>
      <c r="E290" s="22"/>
      <c r="F290" s="22"/>
      <c r="G290" s="48" t="n">
        <f aca="false">IF(OR($E290="",$F290=""),0,$E290*$F290)</f>
        <v>0</v>
      </c>
      <c r="H290" s="48" t="n">
        <f aca="false">IF($A290="",0,SUMIFS($G$8:$G$1007,$C$8:$C$1007,$C290,$A$8:$A$1007,"&gt;="&amp;$A290-6,$A$8:$A$1007,"&lt;="&amp;$A290))</f>
        <v>0</v>
      </c>
      <c r="I290" s="48" t="n">
        <f aca="false">IF($A290="",0,SUMIFS($G$8:$G$1007,$C$8:$C$1007,$C290,$A$8:$A$1007,"&gt;="&amp;$A290-27,$A$8:$A$1007,"&lt;="&amp;$A290)/4)</f>
        <v>0</v>
      </c>
      <c r="J290" s="67" t="n">
        <f aca="false">IF(OR($A290="",$I290=0),0,$H290/$I290)</f>
        <v>0</v>
      </c>
      <c r="K290" s="33" t="n">
        <f aca="false">IF($A290="",0,$A290-SUMPRODUCT(MIN(($C$8:$C$1007=$C290)*$A$8:$A$1007+($C$8:$C$1007&lt;&gt;$C290)*100000))+1)</f>
        <v>0</v>
      </c>
      <c r="L290" s="19" t="str">
        <f aca="false">IF($A290="","",IF($J290=0,"Sem registro anterior",IF($K290&lt;21,"Histórico insuficiente",IF($J290&lt;0.8,"Subcarga",IF($J290&lt;=1.3,"Zona ideal",IF($J290&lt;=1.5,"Atenção","Risco elevado"))))))</f>
        <v/>
      </c>
      <c r="M290" s="20"/>
    </row>
    <row r="291" customFormat="false" ht="15" hidden="false" customHeight="false" outlineLevel="0" collapsed="false">
      <c r="A291" s="21"/>
      <c r="B291" s="33" t="n">
        <f aca="false">IF($A291="",0,INT(($A291-Macrociclo!$C$11)/7)+1)</f>
        <v>0</v>
      </c>
      <c r="C291" s="20"/>
      <c r="D291" s="20"/>
      <c r="E291" s="22"/>
      <c r="F291" s="22"/>
      <c r="G291" s="48" t="n">
        <f aca="false">IF(OR($E291="",$F291=""),0,$E291*$F291)</f>
        <v>0</v>
      </c>
      <c r="H291" s="48" t="n">
        <f aca="false">IF($A291="",0,SUMIFS($G$8:$G$1007,$C$8:$C$1007,$C291,$A$8:$A$1007,"&gt;="&amp;$A291-6,$A$8:$A$1007,"&lt;="&amp;$A291))</f>
        <v>0</v>
      </c>
      <c r="I291" s="48" t="n">
        <f aca="false">IF($A291="",0,SUMIFS($G$8:$G$1007,$C$8:$C$1007,$C291,$A$8:$A$1007,"&gt;="&amp;$A291-27,$A$8:$A$1007,"&lt;="&amp;$A291)/4)</f>
        <v>0</v>
      </c>
      <c r="J291" s="67" t="n">
        <f aca="false">IF(OR($A291="",$I291=0),0,$H291/$I291)</f>
        <v>0</v>
      </c>
      <c r="K291" s="33" t="n">
        <f aca="false">IF($A291="",0,$A291-SUMPRODUCT(MIN(($C$8:$C$1007=$C291)*$A$8:$A$1007+($C$8:$C$1007&lt;&gt;$C291)*100000))+1)</f>
        <v>0</v>
      </c>
      <c r="L291" s="19" t="str">
        <f aca="false">IF($A291="","",IF($J291=0,"Sem registro anterior",IF($K291&lt;21,"Histórico insuficiente",IF($J291&lt;0.8,"Subcarga",IF($J291&lt;=1.3,"Zona ideal",IF($J291&lt;=1.5,"Atenção","Risco elevado"))))))</f>
        <v/>
      </c>
      <c r="M291" s="20"/>
    </row>
    <row r="292" customFormat="false" ht="15" hidden="false" customHeight="false" outlineLevel="0" collapsed="false">
      <c r="A292" s="21"/>
      <c r="B292" s="33" t="n">
        <f aca="false">IF($A292="",0,INT(($A292-Macrociclo!$C$11)/7)+1)</f>
        <v>0</v>
      </c>
      <c r="C292" s="20"/>
      <c r="D292" s="20"/>
      <c r="E292" s="22"/>
      <c r="F292" s="22"/>
      <c r="G292" s="48" t="n">
        <f aca="false">IF(OR($E292="",$F292=""),0,$E292*$F292)</f>
        <v>0</v>
      </c>
      <c r="H292" s="48" t="n">
        <f aca="false">IF($A292="",0,SUMIFS($G$8:$G$1007,$C$8:$C$1007,$C292,$A$8:$A$1007,"&gt;="&amp;$A292-6,$A$8:$A$1007,"&lt;="&amp;$A292))</f>
        <v>0</v>
      </c>
      <c r="I292" s="48" t="n">
        <f aca="false">IF($A292="",0,SUMIFS($G$8:$G$1007,$C$8:$C$1007,$C292,$A$8:$A$1007,"&gt;="&amp;$A292-27,$A$8:$A$1007,"&lt;="&amp;$A292)/4)</f>
        <v>0</v>
      </c>
      <c r="J292" s="67" t="n">
        <f aca="false">IF(OR($A292="",$I292=0),0,$H292/$I292)</f>
        <v>0</v>
      </c>
      <c r="K292" s="33" t="n">
        <f aca="false">IF($A292="",0,$A292-SUMPRODUCT(MIN(($C$8:$C$1007=$C292)*$A$8:$A$1007+($C$8:$C$1007&lt;&gt;$C292)*100000))+1)</f>
        <v>0</v>
      </c>
      <c r="L292" s="19" t="str">
        <f aca="false">IF($A292="","",IF($J292=0,"Sem registro anterior",IF($K292&lt;21,"Histórico insuficiente",IF($J292&lt;0.8,"Subcarga",IF($J292&lt;=1.3,"Zona ideal",IF($J292&lt;=1.5,"Atenção","Risco elevado"))))))</f>
        <v/>
      </c>
      <c r="M292" s="20"/>
    </row>
    <row r="293" customFormat="false" ht="15" hidden="false" customHeight="false" outlineLevel="0" collapsed="false">
      <c r="A293" s="21"/>
      <c r="B293" s="33" t="n">
        <f aca="false">IF($A293="",0,INT(($A293-Macrociclo!$C$11)/7)+1)</f>
        <v>0</v>
      </c>
      <c r="C293" s="20"/>
      <c r="D293" s="20"/>
      <c r="E293" s="22"/>
      <c r="F293" s="22"/>
      <c r="G293" s="48" t="n">
        <f aca="false">IF(OR($E293="",$F293=""),0,$E293*$F293)</f>
        <v>0</v>
      </c>
      <c r="H293" s="48" t="n">
        <f aca="false">IF($A293="",0,SUMIFS($G$8:$G$1007,$C$8:$C$1007,$C293,$A$8:$A$1007,"&gt;="&amp;$A293-6,$A$8:$A$1007,"&lt;="&amp;$A293))</f>
        <v>0</v>
      </c>
      <c r="I293" s="48" t="n">
        <f aca="false">IF($A293="",0,SUMIFS($G$8:$G$1007,$C$8:$C$1007,$C293,$A$8:$A$1007,"&gt;="&amp;$A293-27,$A$8:$A$1007,"&lt;="&amp;$A293)/4)</f>
        <v>0</v>
      </c>
      <c r="J293" s="67" t="n">
        <f aca="false">IF(OR($A293="",$I293=0),0,$H293/$I293)</f>
        <v>0</v>
      </c>
      <c r="K293" s="33" t="n">
        <f aca="false">IF($A293="",0,$A293-SUMPRODUCT(MIN(($C$8:$C$1007=$C293)*$A$8:$A$1007+($C$8:$C$1007&lt;&gt;$C293)*100000))+1)</f>
        <v>0</v>
      </c>
      <c r="L293" s="19" t="str">
        <f aca="false">IF($A293="","",IF($J293=0,"Sem registro anterior",IF($K293&lt;21,"Histórico insuficiente",IF($J293&lt;0.8,"Subcarga",IF($J293&lt;=1.3,"Zona ideal",IF($J293&lt;=1.5,"Atenção","Risco elevado"))))))</f>
        <v/>
      </c>
      <c r="M293" s="20"/>
    </row>
    <row r="294" customFormat="false" ht="15" hidden="false" customHeight="false" outlineLevel="0" collapsed="false">
      <c r="A294" s="21"/>
      <c r="B294" s="33" t="n">
        <f aca="false">IF($A294="",0,INT(($A294-Macrociclo!$C$11)/7)+1)</f>
        <v>0</v>
      </c>
      <c r="C294" s="20"/>
      <c r="D294" s="20"/>
      <c r="E294" s="22"/>
      <c r="F294" s="22"/>
      <c r="G294" s="48" t="n">
        <f aca="false">IF(OR($E294="",$F294=""),0,$E294*$F294)</f>
        <v>0</v>
      </c>
      <c r="H294" s="48" t="n">
        <f aca="false">IF($A294="",0,SUMIFS($G$8:$G$1007,$C$8:$C$1007,$C294,$A$8:$A$1007,"&gt;="&amp;$A294-6,$A$8:$A$1007,"&lt;="&amp;$A294))</f>
        <v>0</v>
      </c>
      <c r="I294" s="48" t="n">
        <f aca="false">IF($A294="",0,SUMIFS($G$8:$G$1007,$C$8:$C$1007,$C294,$A$8:$A$1007,"&gt;="&amp;$A294-27,$A$8:$A$1007,"&lt;="&amp;$A294)/4)</f>
        <v>0</v>
      </c>
      <c r="J294" s="67" t="n">
        <f aca="false">IF(OR($A294="",$I294=0),0,$H294/$I294)</f>
        <v>0</v>
      </c>
      <c r="K294" s="33" t="n">
        <f aca="false">IF($A294="",0,$A294-SUMPRODUCT(MIN(($C$8:$C$1007=$C294)*$A$8:$A$1007+($C$8:$C$1007&lt;&gt;$C294)*100000))+1)</f>
        <v>0</v>
      </c>
      <c r="L294" s="19" t="str">
        <f aca="false">IF($A294="","",IF($J294=0,"Sem registro anterior",IF($K294&lt;21,"Histórico insuficiente",IF($J294&lt;0.8,"Subcarga",IF($J294&lt;=1.3,"Zona ideal",IF($J294&lt;=1.5,"Atenção","Risco elevado"))))))</f>
        <v/>
      </c>
      <c r="M294" s="20"/>
    </row>
    <row r="295" customFormat="false" ht="15" hidden="false" customHeight="false" outlineLevel="0" collapsed="false">
      <c r="A295" s="21"/>
      <c r="B295" s="33" t="n">
        <f aca="false">IF($A295="",0,INT(($A295-Macrociclo!$C$11)/7)+1)</f>
        <v>0</v>
      </c>
      <c r="C295" s="20"/>
      <c r="D295" s="20"/>
      <c r="E295" s="22"/>
      <c r="F295" s="22"/>
      <c r="G295" s="48" t="n">
        <f aca="false">IF(OR($E295="",$F295=""),0,$E295*$F295)</f>
        <v>0</v>
      </c>
      <c r="H295" s="48" t="n">
        <f aca="false">IF($A295="",0,SUMIFS($G$8:$G$1007,$C$8:$C$1007,$C295,$A$8:$A$1007,"&gt;="&amp;$A295-6,$A$8:$A$1007,"&lt;="&amp;$A295))</f>
        <v>0</v>
      </c>
      <c r="I295" s="48" t="n">
        <f aca="false">IF($A295="",0,SUMIFS($G$8:$G$1007,$C$8:$C$1007,$C295,$A$8:$A$1007,"&gt;="&amp;$A295-27,$A$8:$A$1007,"&lt;="&amp;$A295)/4)</f>
        <v>0</v>
      </c>
      <c r="J295" s="67" t="n">
        <f aca="false">IF(OR($A295="",$I295=0),0,$H295/$I295)</f>
        <v>0</v>
      </c>
      <c r="K295" s="33" t="n">
        <f aca="false">IF($A295="",0,$A295-SUMPRODUCT(MIN(($C$8:$C$1007=$C295)*$A$8:$A$1007+($C$8:$C$1007&lt;&gt;$C295)*100000))+1)</f>
        <v>0</v>
      </c>
      <c r="L295" s="19" t="str">
        <f aca="false">IF($A295="","",IF($J295=0,"Sem registro anterior",IF($K295&lt;21,"Histórico insuficiente",IF($J295&lt;0.8,"Subcarga",IF($J295&lt;=1.3,"Zona ideal",IF($J295&lt;=1.5,"Atenção","Risco elevado"))))))</f>
        <v/>
      </c>
      <c r="M295" s="20"/>
    </row>
    <row r="296" customFormat="false" ht="15" hidden="false" customHeight="false" outlineLevel="0" collapsed="false">
      <c r="A296" s="21"/>
      <c r="B296" s="33" t="n">
        <f aca="false">IF($A296="",0,INT(($A296-Macrociclo!$C$11)/7)+1)</f>
        <v>0</v>
      </c>
      <c r="C296" s="20"/>
      <c r="D296" s="20"/>
      <c r="E296" s="22"/>
      <c r="F296" s="22"/>
      <c r="G296" s="48" t="n">
        <f aca="false">IF(OR($E296="",$F296=""),0,$E296*$F296)</f>
        <v>0</v>
      </c>
      <c r="H296" s="48" t="n">
        <f aca="false">IF($A296="",0,SUMIFS($G$8:$G$1007,$C$8:$C$1007,$C296,$A$8:$A$1007,"&gt;="&amp;$A296-6,$A$8:$A$1007,"&lt;="&amp;$A296))</f>
        <v>0</v>
      </c>
      <c r="I296" s="48" t="n">
        <f aca="false">IF($A296="",0,SUMIFS($G$8:$G$1007,$C$8:$C$1007,$C296,$A$8:$A$1007,"&gt;="&amp;$A296-27,$A$8:$A$1007,"&lt;="&amp;$A296)/4)</f>
        <v>0</v>
      </c>
      <c r="J296" s="67" t="n">
        <f aca="false">IF(OR($A296="",$I296=0),0,$H296/$I296)</f>
        <v>0</v>
      </c>
      <c r="K296" s="33" t="n">
        <f aca="false">IF($A296="",0,$A296-SUMPRODUCT(MIN(($C$8:$C$1007=$C296)*$A$8:$A$1007+($C$8:$C$1007&lt;&gt;$C296)*100000))+1)</f>
        <v>0</v>
      </c>
      <c r="L296" s="19" t="str">
        <f aca="false">IF($A296="","",IF($J296=0,"Sem registro anterior",IF($K296&lt;21,"Histórico insuficiente",IF($J296&lt;0.8,"Subcarga",IF($J296&lt;=1.3,"Zona ideal",IF($J296&lt;=1.5,"Atenção","Risco elevado"))))))</f>
        <v/>
      </c>
      <c r="M296" s="20"/>
    </row>
    <row r="297" customFormat="false" ht="15" hidden="false" customHeight="false" outlineLevel="0" collapsed="false">
      <c r="A297" s="21"/>
      <c r="B297" s="33" t="n">
        <f aca="false">IF($A297="",0,INT(($A297-Macrociclo!$C$11)/7)+1)</f>
        <v>0</v>
      </c>
      <c r="C297" s="20"/>
      <c r="D297" s="20"/>
      <c r="E297" s="22"/>
      <c r="F297" s="22"/>
      <c r="G297" s="48" t="n">
        <f aca="false">IF(OR($E297="",$F297=""),0,$E297*$F297)</f>
        <v>0</v>
      </c>
      <c r="H297" s="48" t="n">
        <f aca="false">IF($A297="",0,SUMIFS($G$8:$G$1007,$C$8:$C$1007,$C297,$A$8:$A$1007,"&gt;="&amp;$A297-6,$A$8:$A$1007,"&lt;="&amp;$A297))</f>
        <v>0</v>
      </c>
      <c r="I297" s="48" t="n">
        <f aca="false">IF($A297="",0,SUMIFS($G$8:$G$1007,$C$8:$C$1007,$C297,$A$8:$A$1007,"&gt;="&amp;$A297-27,$A$8:$A$1007,"&lt;="&amp;$A297)/4)</f>
        <v>0</v>
      </c>
      <c r="J297" s="67" t="n">
        <f aca="false">IF(OR($A297="",$I297=0),0,$H297/$I297)</f>
        <v>0</v>
      </c>
      <c r="K297" s="33" t="n">
        <f aca="false">IF($A297="",0,$A297-SUMPRODUCT(MIN(($C$8:$C$1007=$C297)*$A$8:$A$1007+($C$8:$C$1007&lt;&gt;$C297)*100000))+1)</f>
        <v>0</v>
      </c>
      <c r="L297" s="19" t="str">
        <f aca="false">IF($A297="","",IF($J297=0,"Sem registro anterior",IF($K297&lt;21,"Histórico insuficiente",IF($J297&lt;0.8,"Subcarga",IF($J297&lt;=1.3,"Zona ideal",IF($J297&lt;=1.5,"Atenção","Risco elevado"))))))</f>
        <v/>
      </c>
      <c r="M297" s="20"/>
    </row>
    <row r="298" customFormat="false" ht="15" hidden="false" customHeight="false" outlineLevel="0" collapsed="false">
      <c r="A298" s="21"/>
      <c r="B298" s="33" t="n">
        <f aca="false">IF($A298="",0,INT(($A298-Macrociclo!$C$11)/7)+1)</f>
        <v>0</v>
      </c>
      <c r="C298" s="20"/>
      <c r="D298" s="20"/>
      <c r="E298" s="22"/>
      <c r="F298" s="22"/>
      <c r="G298" s="48" t="n">
        <f aca="false">IF(OR($E298="",$F298=""),0,$E298*$F298)</f>
        <v>0</v>
      </c>
      <c r="H298" s="48" t="n">
        <f aca="false">IF($A298="",0,SUMIFS($G$8:$G$1007,$C$8:$C$1007,$C298,$A$8:$A$1007,"&gt;="&amp;$A298-6,$A$8:$A$1007,"&lt;="&amp;$A298))</f>
        <v>0</v>
      </c>
      <c r="I298" s="48" t="n">
        <f aca="false">IF($A298="",0,SUMIFS($G$8:$G$1007,$C$8:$C$1007,$C298,$A$8:$A$1007,"&gt;="&amp;$A298-27,$A$8:$A$1007,"&lt;="&amp;$A298)/4)</f>
        <v>0</v>
      </c>
      <c r="J298" s="67" t="n">
        <f aca="false">IF(OR($A298="",$I298=0),0,$H298/$I298)</f>
        <v>0</v>
      </c>
      <c r="K298" s="33" t="n">
        <f aca="false">IF($A298="",0,$A298-SUMPRODUCT(MIN(($C$8:$C$1007=$C298)*$A$8:$A$1007+($C$8:$C$1007&lt;&gt;$C298)*100000))+1)</f>
        <v>0</v>
      </c>
      <c r="L298" s="19" t="str">
        <f aca="false">IF($A298="","",IF($J298=0,"Sem registro anterior",IF($K298&lt;21,"Histórico insuficiente",IF($J298&lt;0.8,"Subcarga",IF($J298&lt;=1.3,"Zona ideal",IF($J298&lt;=1.5,"Atenção","Risco elevado"))))))</f>
        <v/>
      </c>
      <c r="M298" s="20"/>
    </row>
    <row r="299" customFormat="false" ht="15" hidden="false" customHeight="false" outlineLevel="0" collapsed="false">
      <c r="A299" s="21"/>
      <c r="B299" s="33" t="n">
        <f aca="false">IF($A299="",0,INT(($A299-Macrociclo!$C$11)/7)+1)</f>
        <v>0</v>
      </c>
      <c r="C299" s="20"/>
      <c r="D299" s="20"/>
      <c r="E299" s="22"/>
      <c r="F299" s="22"/>
      <c r="G299" s="48" t="n">
        <f aca="false">IF(OR($E299="",$F299=""),0,$E299*$F299)</f>
        <v>0</v>
      </c>
      <c r="H299" s="48" t="n">
        <f aca="false">IF($A299="",0,SUMIFS($G$8:$G$1007,$C$8:$C$1007,$C299,$A$8:$A$1007,"&gt;="&amp;$A299-6,$A$8:$A$1007,"&lt;="&amp;$A299))</f>
        <v>0</v>
      </c>
      <c r="I299" s="48" t="n">
        <f aca="false">IF($A299="",0,SUMIFS($G$8:$G$1007,$C$8:$C$1007,$C299,$A$8:$A$1007,"&gt;="&amp;$A299-27,$A$8:$A$1007,"&lt;="&amp;$A299)/4)</f>
        <v>0</v>
      </c>
      <c r="J299" s="67" t="n">
        <f aca="false">IF(OR($A299="",$I299=0),0,$H299/$I299)</f>
        <v>0</v>
      </c>
      <c r="K299" s="33" t="n">
        <f aca="false">IF($A299="",0,$A299-SUMPRODUCT(MIN(($C$8:$C$1007=$C299)*$A$8:$A$1007+($C$8:$C$1007&lt;&gt;$C299)*100000))+1)</f>
        <v>0</v>
      </c>
      <c r="L299" s="19" t="str">
        <f aca="false">IF($A299="","",IF($J299=0,"Sem registro anterior",IF($K299&lt;21,"Histórico insuficiente",IF($J299&lt;0.8,"Subcarga",IF($J299&lt;=1.3,"Zona ideal",IF($J299&lt;=1.5,"Atenção","Risco elevado"))))))</f>
        <v/>
      </c>
      <c r="M299" s="20"/>
    </row>
    <row r="300" customFormat="false" ht="15" hidden="false" customHeight="false" outlineLevel="0" collapsed="false">
      <c r="A300" s="21"/>
      <c r="B300" s="33" t="n">
        <f aca="false">IF($A300="",0,INT(($A300-Macrociclo!$C$11)/7)+1)</f>
        <v>0</v>
      </c>
      <c r="C300" s="20"/>
      <c r="D300" s="20"/>
      <c r="E300" s="22"/>
      <c r="F300" s="22"/>
      <c r="G300" s="48" t="n">
        <f aca="false">IF(OR($E300="",$F300=""),0,$E300*$F300)</f>
        <v>0</v>
      </c>
      <c r="H300" s="48" t="n">
        <f aca="false">IF($A300="",0,SUMIFS($G$8:$G$1007,$C$8:$C$1007,$C300,$A$8:$A$1007,"&gt;="&amp;$A300-6,$A$8:$A$1007,"&lt;="&amp;$A300))</f>
        <v>0</v>
      </c>
      <c r="I300" s="48" t="n">
        <f aca="false">IF($A300="",0,SUMIFS($G$8:$G$1007,$C$8:$C$1007,$C300,$A$8:$A$1007,"&gt;="&amp;$A300-27,$A$8:$A$1007,"&lt;="&amp;$A300)/4)</f>
        <v>0</v>
      </c>
      <c r="J300" s="67" t="n">
        <f aca="false">IF(OR($A300="",$I300=0),0,$H300/$I300)</f>
        <v>0</v>
      </c>
      <c r="K300" s="33" t="n">
        <f aca="false">IF($A300="",0,$A300-SUMPRODUCT(MIN(($C$8:$C$1007=$C300)*$A$8:$A$1007+($C$8:$C$1007&lt;&gt;$C300)*100000))+1)</f>
        <v>0</v>
      </c>
      <c r="L300" s="19" t="str">
        <f aca="false">IF($A300="","",IF($J300=0,"Sem registro anterior",IF($K300&lt;21,"Histórico insuficiente",IF($J300&lt;0.8,"Subcarga",IF($J300&lt;=1.3,"Zona ideal",IF($J300&lt;=1.5,"Atenção","Risco elevado"))))))</f>
        <v/>
      </c>
      <c r="M300" s="20"/>
    </row>
    <row r="301" customFormat="false" ht="15" hidden="false" customHeight="false" outlineLevel="0" collapsed="false">
      <c r="A301" s="21"/>
      <c r="B301" s="33" t="n">
        <f aca="false">IF($A301="",0,INT(($A301-Macrociclo!$C$11)/7)+1)</f>
        <v>0</v>
      </c>
      <c r="C301" s="20"/>
      <c r="D301" s="20"/>
      <c r="E301" s="22"/>
      <c r="F301" s="22"/>
      <c r="G301" s="48" t="n">
        <f aca="false">IF(OR($E301="",$F301=""),0,$E301*$F301)</f>
        <v>0</v>
      </c>
      <c r="H301" s="48" t="n">
        <f aca="false">IF($A301="",0,SUMIFS($G$8:$G$1007,$C$8:$C$1007,$C301,$A$8:$A$1007,"&gt;="&amp;$A301-6,$A$8:$A$1007,"&lt;="&amp;$A301))</f>
        <v>0</v>
      </c>
      <c r="I301" s="48" t="n">
        <f aca="false">IF($A301="",0,SUMIFS($G$8:$G$1007,$C$8:$C$1007,$C301,$A$8:$A$1007,"&gt;="&amp;$A301-27,$A$8:$A$1007,"&lt;="&amp;$A301)/4)</f>
        <v>0</v>
      </c>
      <c r="J301" s="67" t="n">
        <f aca="false">IF(OR($A301="",$I301=0),0,$H301/$I301)</f>
        <v>0</v>
      </c>
      <c r="K301" s="33" t="n">
        <f aca="false">IF($A301="",0,$A301-SUMPRODUCT(MIN(($C$8:$C$1007=$C301)*$A$8:$A$1007+($C$8:$C$1007&lt;&gt;$C301)*100000))+1)</f>
        <v>0</v>
      </c>
      <c r="L301" s="19" t="str">
        <f aca="false">IF($A301="","",IF($J301=0,"Sem registro anterior",IF($K301&lt;21,"Histórico insuficiente",IF($J301&lt;0.8,"Subcarga",IF($J301&lt;=1.3,"Zona ideal",IF($J301&lt;=1.5,"Atenção","Risco elevado"))))))</f>
        <v/>
      </c>
      <c r="M301" s="20"/>
    </row>
    <row r="302" customFormat="false" ht="15" hidden="false" customHeight="false" outlineLevel="0" collapsed="false">
      <c r="A302" s="21"/>
      <c r="B302" s="33" t="n">
        <f aca="false">IF($A302="",0,INT(($A302-Macrociclo!$C$11)/7)+1)</f>
        <v>0</v>
      </c>
      <c r="C302" s="20"/>
      <c r="D302" s="20"/>
      <c r="E302" s="22"/>
      <c r="F302" s="22"/>
      <c r="G302" s="48" t="n">
        <f aca="false">IF(OR($E302="",$F302=""),0,$E302*$F302)</f>
        <v>0</v>
      </c>
      <c r="H302" s="48" t="n">
        <f aca="false">IF($A302="",0,SUMIFS($G$8:$G$1007,$C$8:$C$1007,$C302,$A$8:$A$1007,"&gt;="&amp;$A302-6,$A$8:$A$1007,"&lt;="&amp;$A302))</f>
        <v>0</v>
      </c>
      <c r="I302" s="48" t="n">
        <f aca="false">IF($A302="",0,SUMIFS($G$8:$G$1007,$C$8:$C$1007,$C302,$A$8:$A$1007,"&gt;="&amp;$A302-27,$A$8:$A$1007,"&lt;="&amp;$A302)/4)</f>
        <v>0</v>
      </c>
      <c r="J302" s="67" t="n">
        <f aca="false">IF(OR($A302="",$I302=0),0,$H302/$I302)</f>
        <v>0</v>
      </c>
      <c r="K302" s="33" t="n">
        <f aca="false">IF($A302="",0,$A302-SUMPRODUCT(MIN(($C$8:$C$1007=$C302)*$A$8:$A$1007+($C$8:$C$1007&lt;&gt;$C302)*100000))+1)</f>
        <v>0</v>
      </c>
      <c r="L302" s="19" t="str">
        <f aca="false">IF($A302="","",IF($J302=0,"Sem registro anterior",IF($K302&lt;21,"Histórico insuficiente",IF($J302&lt;0.8,"Subcarga",IF($J302&lt;=1.3,"Zona ideal",IF($J302&lt;=1.5,"Atenção","Risco elevado"))))))</f>
        <v/>
      </c>
      <c r="M302" s="20"/>
    </row>
    <row r="303" customFormat="false" ht="15" hidden="false" customHeight="false" outlineLevel="0" collapsed="false">
      <c r="A303" s="21"/>
      <c r="B303" s="33" t="n">
        <f aca="false">IF($A303="",0,INT(($A303-Macrociclo!$C$11)/7)+1)</f>
        <v>0</v>
      </c>
      <c r="C303" s="20"/>
      <c r="D303" s="20"/>
      <c r="E303" s="22"/>
      <c r="F303" s="22"/>
      <c r="G303" s="48" t="n">
        <f aca="false">IF(OR($E303="",$F303=""),0,$E303*$F303)</f>
        <v>0</v>
      </c>
      <c r="H303" s="48" t="n">
        <f aca="false">IF($A303="",0,SUMIFS($G$8:$G$1007,$C$8:$C$1007,$C303,$A$8:$A$1007,"&gt;="&amp;$A303-6,$A$8:$A$1007,"&lt;="&amp;$A303))</f>
        <v>0</v>
      </c>
      <c r="I303" s="48" t="n">
        <f aca="false">IF($A303="",0,SUMIFS($G$8:$G$1007,$C$8:$C$1007,$C303,$A$8:$A$1007,"&gt;="&amp;$A303-27,$A$8:$A$1007,"&lt;="&amp;$A303)/4)</f>
        <v>0</v>
      </c>
      <c r="J303" s="67" t="n">
        <f aca="false">IF(OR($A303="",$I303=0),0,$H303/$I303)</f>
        <v>0</v>
      </c>
      <c r="K303" s="33" t="n">
        <f aca="false">IF($A303="",0,$A303-SUMPRODUCT(MIN(($C$8:$C$1007=$C303)*$A$8:$A$1007+($C$8:$C$1007&lt;&gt;$C303)*100000))+1)</f>
        <v>0</v>
      </c>
      <c r="L303" s="19" t="str">
        <f aca="false">IF($A303="","",IF($J303=0,"Sem registro anterior",IF($K303&lt;21,"Histórico insuficiente",IF($J303&lt;0.8,"Subcarga",IF($J303&lt;=1.3,"Zona ideal",IF($J303&lt;=1.5,"Atenção","Risco elevado"))))))</f>
        <v/>
      </c>
      <c r="M303" s="20"/>
    </row>
    <row r="304" customFormat="false" ht="15" hidden="false" customHeight="false" outlineLevel="0" collapsed="false">
      <c r="A304" s="21"/>
      <c r="B304" s="33" t="n">
        <f aca="false">IF($A304="",0,INT(($A304-Macrociclo!$C$11)/7)+1)</f>
        <v>0</v>
      </c>
      <c r="C304" s="20"/>
      <c r="D304" s="20"/>
      <c r="E304" s="22"/>
      <c r="F304" s="22"/>
      <c r="G304" s="48" t="n">
        <f aca="false">IF(OR($E304="",$F304=""),0,$E304*$F304)</f>
        <v>0</v>
      </c>
      <c r="H304" s="48" t="n">
        <f aca="false">IF($A304="",0,SUMIFS($G$8:$G$1007,$C$8:$C$1007,$C304,$A$8:$A$1007,"&gt;="&amp;$A304-6,$A$8:$A$1007,"&lt;="&amp;$A304))</f>
        <v>0</v>
      </c>
      <c r="I304" s="48" t="n">
        <f aca="false">IF($A304="",0,SUMIFS($G$8:$G$1007,$C$8:$C$1007,$C304,$A$8:$A$1007,"&gt;="&amp;$A304-27,$A$8:$A$1007,"&lt;="&amp;$A304)/4)</f>
        <v>0</v>
      </c>
      <c r="J304" s="67" t="n">
        <f aca="false">IF(OR($A304="",$I304=0),0,$H304/$I304)</f>
        <v>0</v>
      </c>
      <c r="K304" s="33" t="n">
        <f aca="false">IF($A304="",0,$A304-SUMPRODUCT(MIN(($C$8:$C$1007=$C304)*$A$8:$A$1007+($C$8:$C$1007&lt;&gt;$C304)*100000))+1)</f>
        <v>0</v>
      </c>
      <c r="L304" s="19" t="str">
        <f aca="false">IF($A304="","",IF($J304=0,"Sem registro anterior",IF($K304&lt;21,"Histórico insuficiente",IF($J304&lt;0.8,"Subcarga",IF($J304&lt;=1.3,"Zona ideal",IF($J304&lt;=1.5,"Atenção","Risco elevado"))))))</f>
        <v/>
      </c>
      <c r="M304" s="20"/>
    </row>
    <row r="305" customFormat="false" ht="15" hidden="false" customHeight="false" outlineLevel="0" collapsed="false">
      <c r="A305" s="21"/>
      <c r="B305" s="33" t="n">
        <f aca="false">IF($A305="",0,INT(($A305-Macrociclo!$C$11)/7)+1)</f>
        <v>0</v>
      </c>
      <c r="C305" s="20"/>
      <c r="D305" s="20"/>
      <c r="E305" s="22"/>
      <c r="F305" s="22"/>
      <c r="G305" s="48" t="n">
        <f aca="false">IF(OR($E305="",$F305=""),0,$E305*$F305)</f>
        <v>0</v>
      </c>
      <c r="H305" s="48" t="n">
        <f aca="false">IF($A305="",0,SUMIFS($G$8:$G$1007,$C$8:$C$1007,$C305,$A$8:$A$1007,"&gt;="&amp;$A305-6,$A$8:$A$1007,"&lt;="&amp;$A305))</f>
        <v>0</v>
      </c>
      <c r="I305" s="48" t="n">
        <f aca="false">IF($A305="",0,SUMIFS($G$8:$G$1007,$C$8:$C$1007,$C305,$A$8:$A$1007,"&gt;="&amp;$A305-27,$A$8:$A$1007,"&lt;="&amp;$A305)/4)</f>
        <v>0</v>
      </c>
      <c r="J305" s="67" t="n">
        <f aca="false">IF(OR($A305="",$I305=0),0,$H305/$I305)</f>
        <v>0</v>
      </c>
      <c r="K305" s="33" t="n">
        <f aca="false">IF($A305="",0,$A305-SUMPRODUCT(MIN(($C$8:$C$1007=$C305)*$A$8:$A$1007+($C$8:$C$1007&lt;&gt;$C305)*100000))+1)</f>
        <v>0</v>
      </c>
      <c r="L305" s="19" t="str">
        <f aca="false">IF($A305="","",IF($J305=0,"Sem registro anterior",IF($K305&lt;21,"Histórico insuficiente",IF($J305&lt;0.8,"Subcarga",IF($J305&lt;=1.3,"Zona ideal",IF($J305&lt;=1.5,"Atenção","Risco elevado"))))))</f>
        <v/>
      </c>
      <c r="M305" s="20"/>
    </row>
    <row r="306" customFormat="false" ht="15" hidden="false" customHeight="false" outlineLevel="0" collapsed="false">
      <c r="A306" s="21"/>
      <c r="B306" s="33" t="n">
        <f aca="false">IF($A306="",0,INT(($A306-Macrociclo!$C$11)/7)+1)</f>
        <v>0</v>
      </c>
      <c r="C306" s="20"/>
      <c r="D306" s="20"/>
      <c r="E306" s="22"/>
      <c r="F306" s="22"/>
      <c r="G306" s="48" t="n">
        <f aca="false">IF(OR($E306="",$F306=""),0,$E306*$F306)</f>
        <v>0</v>
      </c>
      <c r="H306" s="48" t="n">
        <f aca="false">IF($A306="",0,SUMIFS($G$8:$G$1007,$C$8:$C$1007,$C306,$A$8:$A$1007,"&gt;="&amp;$A306-6,$A$8:$A$1007,"&lt;="&amp;$A306))</f>
        <v>0</v>
      </c>
      <c r="I306" s="48" t="n">
        <f aca="false">IF($A306="",0,SUMIFS($G$8:$G$1007,$C$8:$C$1007,$C306,$A$8:$A$1007,"&gt;="&amp;$A306-27,$A$8:$A$1007,"&lt;="&amp;$A306)/4)</f>
        <v>0</v>
      </c>
      <c r="J306" s="67" t="n">
        <f aca="false">IF(OR($A306="",$I306=0),0,$H306/$I306)</f>
        <v>0</v>
      </c>
      <c r="K306" s="33" t="n">
        <f aca="false">IF($A306="",0,$A306-SUMPRODUCT(MIN(($C$8:$C$1007=$C306)*$A$8:$A$1007+($C$8:$C$1007&lt;&gt;$C306)*100000))+1)</f>
        <v>0</v>
      </c>
      <c r="L306" s="19" t="str">
        <f aca="false">IF($A306="","",IF($J306=0,"Sem registro anterior",IF($K306&lt;21,"Histórico insuficiente",IF($J306&lt;0.8,"Subcarga",IF($J306&lt;=1.3,"Zona ideal",IF($J306&lt;=1.5,"Atenção","Risco elevado"))))))</f>
        <v/>
      </c>
      <c r="M306" s="20"/>
    </row>
    <row r="307" customFormat="false" ht="15" hidden="false" customHeight="false" outlineLevel="0" collapsed="false">
      <c r="A307" s="21"/>
      <c r="B307" s="33" t="n">
        <f aca="false">IF($A307="",0,INT(($A307-Macrociclo!$C$11)/7)+1)</f>
        <v>0</v>
      </c>
      <c r="C307" s="20"/>
      <c r="D307" s="20"/>
      <c r="E307" s="22"/>
      <c r="F307" s="22"/>
      <c r="G307" s="48" t="n">
        <f aca="false">IF(OR($E307="",$F307=""),0,$E307*$F307)</f>
        <v>0</v>
      </c>
      <c r="H307" s="48" t="n">
        <f aca="false">IF($A307="",0,SUMIFS($G$8:$G$1007,$C$8:$C$1007,$C307,$A$8:$A$1007,"&gt;="&amp;$A307-6,$A$8:$A$1007,"&lt;="&amp;$A307))</f>
        <v>0</v>
      </c>
      <c r="I307" s="48" t="n">
        <f aca="false">IF($A307="",0,SUMIFS($G$8:$G$1007,$C$8:$C$1007,$C307,$A$8:$A$1007,"&gt;="&amp;$A307-27,$A$8:$A$1007,"&lt;="&amp;$A307)/4)</f>
        <v>0</v>
      </c>
      <c r="J307" s="67" t="n">
        <f aca="false">IF(OR($A307="",$I307=0),0,$H307/$I307)</f>
        <v>0</v>
      </c>
      <c r="K307" s="33" t="n">
        <f aca="false">IF($A307="",0,$A307-SUMPRODUCT(MIN(($C$8:$C$1007=$C307)*$A$8:$A$1007+($C$8:$C$1007&lt;&gt;$C307)*100000))+1)</f>
        <v>0</v>
      </c>
      <c r="L307" s="19" t="str">
        <f aca="false">IF($A307="","",IF($J307=0,"Sem registro anterior",IF($K307&lt;21,"Histórico insuficiente",IF($J307&lt;0.8,"Subcarga",IF($J307&lt;=1.3,"Zona ideal",IF($J307&lt;=1.5,"Atenção","Risco elevado"))))))</f>
        <v/>
      </c>
      <c r="M307" s="20"/>
    </row>
    <row r="308" customFormat="false" ht="15" hidden="false" customHeight="false" outlineLevel="0" collapsed="false">
      <c r="A308" s="21"/>
      <c r="B308" s="33" t="n">
        <f aca="false">IF($A308="",0,INT(($A308-Macrociclo!$C$11)/7)+1)</f>
        <v>0</v>
      </c>
      <c r="C308" s="20"/>
      <c r="D308" s="20"/>
      <c r="E308" s="22"/>
      <c r="F308" s="22"/>
      <c r="G308" s="48" t="n">
        <f aca="false">IF(OR($E308="",$F308=""),0,$E308*$F308)</f>
        <v>0</v>
      </c>
      <c r="H308" s="48" t="n">
        <f aca="false">IF($A308="",0,SUMIFS($G$8:$G$1007,$C$8:$C$1007,$C308,$A$8:$A$1007,"&gt;="&amp;$A308-6,$A$8:$A$1007,"&lt;="&amp;$A308))</f>
        <v>0</v>
      </c>
      <c r="I308" s="48" t="n">
        <f aca="false">IF($A308="",0,SUMIFS($G$8:$G$1007,$C$8:$C$1007,$C308,$A$8:$A$1007,"&gt;="&amp;$A308-27,$A$8:$A$1007,"&lt;="&amp;$A308)/4)</f>
        <v>0</v>
      </c>
      <c r="J308" s="67" t="n">
        <f aca="false">IF(OR($A308="",$I308=0),0,$H308/$I308)</f>
        <v>0</v>
      </c>
      <c r="K308" s="33" t="n">
        <f aca="false">IF($A308="",0,$A308-SUMPRODUCT(MIN(($C$8:$C$1007=$C308)*$A$8:$A$1007+($C$8:$C$1007&lt;&gt;$C308)*100000))+1)</f>
        <v>0</v>
      </c>
      <c r="L308" s="19" t="str">
        <f aca="false">IF($A308="","",IF($J308=0,"Sem registro anterior",IF($K308&lt;21,"Histórico insuficiente",IF($J308&lt;0.8,"Subcarga",IF($J308&lt;=1.3,"Zona ideal",IF($J308&lt;=1.5,"Atenção","Risco elevado"))))))</f>
        <v/>
      </c>
      <c r="M308" s="20"/>
    </row>
    <row r="309" customFormat="false" ht="15" hidden="false" customHeight="false" outlineLevel="0" collapsed="false">
      <c r="A309" s="21"/>
      <c r="B309" s="33" t="n">
        <f aca="false">IF($A309="",0,INT(($A309-Macrociclo!$C$11)/7)+1)</f>
        <v>0</v>
      </c>
      <c r="C309" s="20"/>
      <c r="D309" s="20"/>
      <c r="E309" s="22"/>
      <c r="F309" s="22"/>
      <c r="G309" s="48" t="n">
        <f aca="false">IF(OR($E309="",$F309=""),0,$E309*$F309)</f>
        <v>0</v>
      </c>
      <c r="H309" s="48" t="n">
        <f aca="false">IF($A309="",0,SUMIFS($G$8:$G$1007,$C$8:$C$1007,$C309,$A$8:$A$1007,"&gt;="&amp;$A309-6,$A$8:$A$1007,"&lt;="&amp;$A309))</f>
        <v>0</v>
      </c>
      <c r="I309" s="48" t="n">
        <f aca="false">IF($A309="",0,SUMIFS($G$8:$G$1007,$C$8:$C$1007,$C309,$A$8:$A$1007,"&gt;="&amp;$A309-27,$A$8:$A$1007,"&lt;="&amp;$A309)/4)</f>
        <v>0</v>
      </c>
      <c r="J309" s="67" t="n">
        <f aca="false">IF(OR($A309="",$I309=0),0,$H309/$I309)</f>
        <v>0</v>
      </c>
      <c r="K309" s="33" t="n">
        <f aca="false">IF($A309="",0,$A309-SUMPRODUCT(MIN(($C$8:$C$1007=$C309)*$A$8:$A$1007+($C$8:$C$1007&lt;&gt;$C309)*100000))+1)</f>
        <v>0</v>
      </c>
      <c r="L309" s="19" t="str">
        <f aca="false">IF($A309="","",IF($J309=0,"Sem registro anterior",IF($K309&lt;21,"Histórico insuficiente",IF($J309&lt;0.8,"Subcarga",IF($J309&lt;=1.3,"Zona ideal",IF($J309&lt;=1.5,"Atenção","Risco elevado"))))))</f>
        <v/>
      </c>
      <c r="M309" s="20"/>
    </row>
    <row r="310" customFormat="false" ht="15" hidden="false" customHeight="false" outlineLevel="0" collapsed="false">
      <c r="A310" s="21"/>
      <c r="B310" s="33" t="n">
        <f aca="false">IF($A310="",0,INT(($A310-Macrociclo!$C$11)/7)+1)</f>
        <v>0</v>
      </c>
      <c r="C310" s="20"/>
      <c r="D310" s="20"/>
      <c r="E310" s="22"/>
      <c r="F310" s="22"/>
      <c r="G310" s="48" t="n">
        <f aca="false">IF(OR($E310="",$F310=""),0,$E310*$F310)</f>
        <v>0</v>
      </c>
      <c r="H310" s="48" t="n">
        <f aca="false">IF($A310="",0,SUMIFS($G$8:$G$1007,$C$8:$C$1007,$C310,$A$8:$A$1007,"&gt;="&amp;$A310-6,$A$8:$A$1007,"&lt;="&amp;$A310))</f>
        <v>0</v>
      </c>
      <c r="I310" s="48" t="n">
        <f aca="false">IF($A310="",0,SUMIFS($G$8:$G$1007,$C$8:$C$1007,$C310,$A$8:$A$1007,"&gt;="&amp;$A310-27,$A$8:$A$1007,"&lt;="&amp;$A310)/4)</f>
        <v>0</v>
      </c>
      <c r="J310" s="67" t="n">
        <f aca="false">IF(OR($A310="",$I310=0),0,$H310/$I310)</f>
        <v>0</v>
      </c>
      <c r="K310" s="33" t="n">
        <f aca="false">IF($A310="",0,$A310-SUMPRODUCT(MIN(($C$8:$C$1007=$C310)*$A$8:$A$1007+($C$8:$C$1007&lt;&gt;$C310)*100000))+1)</f>
        <v>0</v>
      </c>
      <c r="L310" s="19" t="str">
        <f aca="false">IF($A310="","",IF($J310=0,"Sem registro anterior",IF($K310&lt;21,"Histórico insuficiente",IF($J310&lt;0.8,"Subcarga",IF($J310&lt;=1.3,"Zona ideal",IF($J310&lt;=1.5,"Atenção","Risco elevado"))))))</f>
        <v/>
      </c>
      <c r="M310" s="20"/>
    </row>
    <row r="311" customFormat="false" ht="15" hidden="false" customHeight="false" outlineLevel="0" collapsed="false">
      <c r="A311" s="21"/>
      <c r="B311" s="33" t="n">
        <f aca="false">IF($A311="",0,INT(($A311-Macrociclo!$C$11)/7)+1)</f>
        <v>0</v>
      </c>
      <c r="C311" s="20"/>
      <c r="D311" s="20"/>
      <c r="E311" s="22"/>
      <c r="F311" s="22"/>
      <c r="G311" s="48" t="n">
        <f aca="false">IF(OR($E311="",$F311=""),0,$E311*$F311)</f>
        <v>0</v>
      </c>
      <c r="H311" s="48" t="n">
        <f aca="false">IF($A311="",0,SUMIFS($G$8:$G$1007,$C$8:$C$1007,$C311,$A$8:$A$1007,"&gt;="&amp;$A311-6,$A$8:$A$1007,"&lt;="&amp;$A311))</f>
        <v>0</v>
      </c>
      <c r="I311" s="48" t="n">
        <f aca="false">IF($A311="",0,SUMIFS($G$8:$G$1007,$C$8:$C$1007,$C311,$A$8:$A$1007,"&gt;="&amp;$A311-27,$A$8:$A$1007,"&lt;="&amp;$A311)/4)</f>
        <v>0</v>
      </c>
      <c r="J311" s="67" t="n">
        <f aca="false">IF(OR($A311="",$I311=0),0,$H311/$I311)</f>
        <v>0</v>
      </c>
      <c r="K311" s="33" t="n">
        <f aca="false">IF($A311="",0,$A311-SUMPRODUCT(MIN(($C$8:$C$1007=$C311)*$A$8:$A$1007+($C$8:$C$1007&lt;&gt;$C311)*100000))+1)</f>
        <v>0</v>
      </c>
      <c r="L311" s="19" t="str">
        <f aca="false">IF($A311="","",IF($J311=0,"Sem registro anterior",IF($K311&lt;21,"Histórico insuficiente",IF($J311&lt;0.8,"Subcarga",IF($J311&lt;=1.3,"Zona ideal",IF($J311&lt;=1.5,"Atenção","Risco elevado"))))))</f>
        <v/>
      </c>
      <c r="M311" s="20"/>
    </row>
    <row r="312" customFormat="false" ht="15" hidden="false" customHeight="false" outlineLevel="0" collapsed="false">
      <c r="A312" s="21"/>
      <c r="B312" s="33" t="n">
        <f aca="false">IF($A312="",0,INT(($A312-Macrociclo!$C$11)/7)+1)</f>
        <v>0</v>
      </c>
      <c r="C312" s="20"/>
      <c r="D312" s="20"/>
      <c r="E312" s="22"/>
      <c r="F312" s="22"/>
      <c r="G312" s="48" t="n">
        <f aca="false">IF(OR($E312="",$F312=""),0,$E312*$F312)</f>
        <v>0</v>
      </c>
      <c r="H312" s="48" t="n">
        <f aca="false">IF($A312="",0,SUMIFS($G$8:$G$1007,$C$8:$C$1007,$C312,$A$8:$A$1007,"&gt;="&amp;$A312-6,$A$8:$A$1007,"&lt;="&amp;$A312))</f>
        <v>0</v>
      </c>
      <c r="I312" s="48" t="n">
        <f aca="false">IF($A312="",0,SUMIFS($G$8:$G$1007,$C$8:$C$1007,$C312,$A$8:$A$1007,"&gt;="&amp;$A312-27,$A$8:$A$1007,"&lt;="&amp;$A312)/4)</f>
        <v>0</v>
      </c>
      <c r="J312" s="67" t="n">
        <f aca="false">IF(OR($A312="",$I312=0),0,$H312/$I312)</f>
        <v>0</v>
      </c>
      <c r="K312" s="33" t="n">
        <f aca="false">IF($A312="",0,$A312-SUMPRODUCT(MIN(($C$8:$C$1007=$C312)*$A$8:$A$1007+($C$8:$C$1007&lt;&gt;$C312)*100000))+1)</f>
        <v>0</v>
      </c>
      <c r="L312" s="19" t="str">
        <f aca="false">IF($A312="","",IF($J312=0,"Sem registro anterior",IF($K312&lt;21,"Histórico insuficiente",IF($J312&lt;0.8,"Subcarga",IF($J312&lt;=1.3,"Zona ideal",IF($J312&lt;=1.5,"Atenção","Risco elevado"))))))</f>
        <v/>
      </c>
      <c r="M312" s="20"/>
    </row>
    <row r="313" customFormat="false" ht="15" hidden="false" customHeight="false" outlineLevel="0" collapsed="false">
      <c r="A313" s="21"/>
      <c r="B313" s="33" t="n">
        <f aca="false">IF($A313="",0,INT(($A313-Macrociclo!$C$11)/7)+1)</f>
        <v>0</v>
      </c>
      <c r="C313" s="20"/>
      <c r="D313" s="20"/>
      <c r="E313" s="22"/>
      <c r="F313" s="22"/>
      <c r="G313" s="48" t="n">
        <f aca="false">IF(OR($E313="",$F313=""),0,$E313*$F313)</f>
        <v>0</v>
      </c>
      <c r="H313" s="48" t="n">
        <f aca="false">IF($A313="",0,SUMIFS($G$8:$G$1007,$C$8:$C$1007,$C313,$A$8:$A$1007,"&gt;="&amp;$A313-6,$A$8:$A$1007,"&lt;="&amp;$A313))</f>
        <v>0</v>
      </c>
      <c r="I313" s="48" t="n">
        <f aca="false">IF($A313="",0,SUMIFS($G$8:$G$1007,$C$8:$C$1007,$C313,$A$8:$A$1007,"&gt;="&amp;$A313-27,$A$8:$A$1007,"&lt;="&amp;$A313)/4)</f>
        <v>0</v>
      </c>
      <c r="J313" s="67" t="n">
        <f aca="false">IF(OR($A313="",$I313=0),0,$H313/$I313)</f>
        <v>0</v>
      </c>
      <c r="K313" s="33" t="n">
        <f aca="false">IF($A313="",0,$A313-SUMPRODUCT(MIN(($C$8:$C$1007=$C313)*$A$8:$A$1007+($C$8:$C$1007&lt;&gt;$C313)*100000))+1)</f>
        <v>0</v>
      </c>
      <c r="L313" s="19" t="str">
        <f aca="false">IF($A313="","",IF($J313=0,"Sem registro anterior",IF($K313&lt;21,"Histórico insuficiente",IF($J313&lt;0.8,"Subcarga",IF($J313&lt;=1.3,"Zona ideal",IF($J313&lt;=1.5,"Atenção","Risco elevado"))))))</f>
        <v/>
      </c>
      <c r="M313" s="20"/>
    </row>
    <row r="314" customFormat="false" ht="15" hidden="false" customHeight="false" outlineLevel="0" collapsed="false">
      <c r="A314" s="21"/>
      <c r="B314" s="33" t="n">
        <f aca="false">IF($A314="",0,INT(($A314-Macrociclo!$C$11)/7)+1)</f>
        <v>0</v>
      </c>
      <c r="C314" s="20"/>
      <c r="D314" s="20"/>
      <c r="E314" s="22"/>
      <c r="F314" s="22"/>
      <c r="G314" s="48" t="n">
        <f aca="false">IF(OR($E314="",$F314=""),0,$E314*$F314)</f>
        <v>0</v>
      </c>
      <c r="H314" s="48" t="n">
        <f aca="false">IF($A314="",0,SUMIFS($G$8:$G$1007,$C$8:$C$1007,$C314,$A$8:$A$1007,"&gt;="&amp;$A314-6,$A$8:$A$1007,"&lt;="&amp;$A314))</f>
        <v>0</v>
      </c>
      <c r="I314" s="48" t="n">
        <f aca="false">IF($A314="",0,SUMIFS($G$8:$G$1007,$C$8:$C$1007,$C314,$A$8:$A$1007,"&gt;="&amp;$A314-27,$A$8:$A$1007,"&lt;="&amp;$A314)/4)</f>
        <v>0</v>
      </c>
      <c r="J314" s="67" t="n">
        <f aca="false">IF(OR($A314="",$I314=0),0,$H314/$I314)</f>
        <v>0</v>
      </c>
      <c r="K314" s="33" t="n">
        <f aca="false">IF($A314="",0,$A314-SUMPRODUCT(MIN(($C$8:$C$1007=$C314)*$A$8:$A$1007+($C$8:$C$1007&lt;&gt;$C314)*100000))+1)</f>
        <v>0</v>
      </c>
      <c r="L314" s="19" t="str">
        <f aca="false">IF($A314="","",IF($J314=0,"Sem registro anterior",IF($K314&lt;21,"Histórico insuficiente",IF($J314&lt;0.8,"Subcarga",IF($J314&lt;=1.3,"Zona ideal",IF($J314&lt;=1.5,"Atenção","Risco elevado"))))))</f>
        <v/>
      </c>
      <c r="M314" s="20"/>
    </row>
    <row r="315" customFormat="false" ht="15" hidden="false" customHeight="false" outlineLevel="0" collapsed="false">
      <c r="A315" s="21"/>
      <c r="B315" s="33" t="n">
        <f aca="false">IF($A315="",0,INT(($A315-Macrociclo!$C$11)/7)+1)</f>
        <v>0</v>
      </c>
      <c r="C315" s="20"/>
      <c r="D315" s="20"/>
      <c r="E315" s="22"/>
      <c r="F315" s="22"/>
      <c r="G315" s="48" t="n">
        <f aca="false">IF(OR($E315="",$F315=""),0,$E315*$F315)</f>
        <v>0</v>
      </c>
      <c r="H315" s="48" t="n">
        <f aca="false">IF($A315="",0,SUMIFS($G$8:$G$1007,$C$8:$C$1007,$C315,$A$8:$A$1007,"&gt;="&amp;$A315-6,$A$8:$A$1007,"&lt;="&amp;$A315))</f>
        <v>0</v>
      </c>
      <c r="I315" s="48" t="n">
        <f aca="false">IF($A315="",0,SUMIFS($G$8:$G$1007,$C$8:$C$1007,$C315,$A$8:$A$1007,"&gt;="&amp;$A315-27,$A$8:$A$1007,"&lt;="&amp;$A315)/4)</f>
        <v>0</v>
      </c>
      <c r="J315" s="67" t="n">
        <f aca="false">IF(OR($A315="",$I315=0),0,$H315/$I315)</f>
        <v>0</v>
      </c>
      <c r="K315" s="33" t="n">
        <f aca="false">IF($A315="",0,$A315-SUMPRODUCT(MIN(($C$8:$C$1007=$C315)*$A$8:$A$1007+($C$8:$C$1007&lt;&gt;$C315)*100000))+1)</f>
        <v>0</v>
      </c>
      <c r="L315" s="19" t="str">
        <f aca="false">IF($A315="","",IF($J315=0,"Sem registro anterior",IF($K315&lt;21,"Histórico insuficiente",IF($J315&lt;0.8,"Subcarga",IF($J315&lt;=1.3,"Zona ideal",IF($J315&lt;=1.5,"Atenção","Risco elevado"))))))</f>
        <v/>
      </c>
      <c r="M315" s="20"/>
    </row>
    <row r="316" customFormat="false" ht="15" hidden="false" customHeight="false" outlineLevel="0" collapsed="false">
      <c r="A316" s="21"/>
      <c r="B316" s="33" t="n">
        <f aca="false">IF($A316="",0,INT(($A316-Macrociclo!$C$11)/7)+1)</f>
        <v>0</v>
      </c>
      <c r="C316" s="20"/>
      <c r="D316" s="20"/>
      <c r="E316" s="22"/>
      <c r="F316" s="22"/>
      <c r="G316" s="48" t="n">
        <f aca="false">IF(OR($E316="",$F316=""),0,$E316*$F316)</f>
        <v>0</v>
      </c>
      <c r="H316" s="48" t="n">
        <f aca="false">IF($A316="",0,SUMIFS($G$8:$G$1007,$C$8:$C$1007,$C316,$A$8:$A$1007,"&gt;="&amp;$A316-6,$A$8:$A$1007,"&lt;="&amp;$A316))</f>
        <v>0</v>
      </c>
      <c r="I316" s="48" t="n">
        <f aca="false">IF($A316="",0,SUMIFS($G$8:$G$1007,$C$8:$C$1007,$C316,$A$8:$A$1007,"&gt;="&amp;$A316-27,$A$8:$A$1007,"&lt;="&amp;$A316)/4)</f>
        <v>0</v>
      </c>
      <c r="J316" s="67" t="n">
        <f aca="false">IF(OR($A316="",$I316=0),0,$H316/$I316)</f>
        <v>0</v>
      </c>
      <c r="K316" s="33" t="n">
        <f aca="false">IF($A316="",0,$A316-SUMPRODUCT(MIN(($C$8:$C$1007=$C316)*$A$8:$A$1007+($C$8:$C$1007&lt;&gt;$C316)*100000))+1)</f>
        <v>0</v>
      </c>
      <c r="L316" s="19" t="str">
        <f aca="false">IF($A316="","",IF($J316=0,"Sem registro anterior",IF($K316&lt;21,"Histórico insuficiente",IF($J316&lt;0.8,"Subcarga",IF($J316&lt;=1.3,"Zona ideal",IF($J316&lt;=1.5,"Atenção","Risco elevado"))))))</f>
        <v/>
      </c>
      <c r="M316" s="20"/>
    </row>
    <row r="317" customFormat="false" ht="15" hidden="false" customHeight="false" outlineLevel="0" collapsed="false">
      <c r="A317" s="21"/>
      <c r="B317" s="33" t="n">
        <f aca="false">IF($A317="",0,INT(($A317-Macrociclo!$C$11)/7)+1)</f>
        <v>0</v>
      </c>
      <c r="C317" s="20"/>
      <c r="D317" s="20"/>
      <c r="E317" s="22"/>
      <c r="F317" s="22"/>
      <c r="G317" s="48" t="n">
        <f aca="false">IF(OR($E317="",$F317=""),0,$E317*$F317)</f>
        <v>0</v>
      </c>
      <c r="H317" s="48" t="n">
        <f aca="false">IF($A317="",0,SUMIFS($G$8:$G$1007,$C$8:$C$1007,$C317,$A$8:$A$1007,"&gt;="&amp;$A317-6,$A$8:$A$1007,"&lt;="&amp;$A317))</f>
        <v>0</v>
      </c>
      <c r="I317" s="48" t="n">
        <f aca="false">IF($A317="",0,SUMIFS($G$8:$G$1007,$C$8:$C$1007,$C317,$A$8:$A$1007,"&gt;="&amp;$A317-27,$A$8:$A$1007,"&lt;="&amp;$A317)/4)</f>
        <v>0</v>
      </c>
      <c r="J317" s="67" t="n">
        <f aca="false">IF(OR($A317="",$I317=0),0,$H317/$I317)</f>
        <v>0</v>
      </c>
      <c r="K317" s="33" t="n">
        <f aca="false">IF($A317="",0,$A317-SUMPRODUCT(MIN(($C$8:$C$1007=$C317)*$A$8:$A$1007+($C$8:$C$1007&lt;&gt;$C317)*100000))+1)</f>
        <v>0</v>
      </c>
      <c r="L317" s="19" t="str">
        <f aca="false">IF($A317="","",IF($J317=0,"Sem registro anterior",IF($K317&lt;21,"Histórico insuficiente",IF($J317&lt;0.8,"Subcarga",IF($J317&lt;=1.3,"Zona ideal",IF($J317&lt;=1.5,"Atenção","Risco elevado"))))))</f>
        <v/>
      </c>
      <c r="M317" s="20"/>
    </row>
    <row r="318" customFormat="false" ht="15" hidden="false" customHeight="false" outlineLevel="0" collapsed="false">
      <c r="A318" s="21"/>
      <c r="B318" s="33" t="n">
        <f aca="false">IF($A318="",0,INT(($A318-Macrociclo!$C$11)/7)+1)</f>
        <v>0</v>
      </c>
      <c r="C318" s="20"/>
      <c r="D318" s="20"/>
      <c r="E318" s="22"/>
      <c r="F318" s="22"/>
      <c r="G318" s="48" t="n">
        <f aca="false">IF(OR($E318="",$F318=""),0,$E318*$F318)</f>
        <v>0</v>
      </c>
      <c r="H318" s="48" t="n">
        <f aca="false">IF($A318="",0,SUMIFS($G$8:$G$1007,$C$8:$C$1007,$C318,$A$8:$A$1007,"&gt;="&amp;$A318-6,$A$8:$A$1007,"&lt;="&amp;$A318))</f>
        <v>0</v>
      </c>
      <c r="I318" s="48" t="n">
        <f aca="false">IF($A318="",0,SUMIFS($G$8:$G$1007,$C$8:$C$1007,$C318,$A$8:$A$1007,"&gt;="&amp;$A318-27,$A$8:$A$1007,"&lt;="&amp;$A318)/4)</f>
        <v>0</v>
      </c>
      <c r="J318" s="67" t="n">
        <f aca="false">IF(OR($A318="",$I318=0),0,$H318/$I318)</f>
        <v>0</v>
      </c>
      <c r="K318" s="33" t="n">
        <f aca="false">IF($A318="",0,$A318-SUMPRODUCT(MIN(($C$8:$C$1007=$C318)*$A$8:$A$1007+($C$8:$C$1007&lt;&gt;$C318)*100000))+1)</f>
        <v>0</v>
      </c>
      <c r="L318" s="19" t="str">
        <f aca="false">IF($A318="","",IF($J318=0,"Sem registro anterior",IF($K318&lt;21,"Histórico insuficiente",IF($J318&lt;0.8,"Subcarga",IF($J318&lt;=1.3,"Zona ideal",IF($J318&lt;=1.5,"Atenção","Risco elevado"))))))</f>
        <v/>
      </c>
      <c r="M318" s="20"/>
    </row>
    <row r="319" customFormat="false" ht="15" hidden="false" customHeight="false" outlineLevel="0" collapsed="false">
      <c r="A319" s="21"/>
      <c r="B319" s="33" t="n">
        <f aca="false">IF($A319="",0,INT(($A319-Macrociclo!$C$11)/7)+1)</f>
        <v>0</v>
      </c>
      <c r="C319" s="20"/>
      <c r="D319" s="20"/>
      <c r="E319" s="22"/>
      <c r="F319" s="22"/>
      <c r="G319" s="48" t="n">
        <f aca="false">IF(OR($E319="",$F319=""),0,$E319*$F319)</f>
        <v>0</v>
      </c>
      <c r="H319" s="48" t="n">
        <f aca="false">IF($A319="",0,SUMIFS($G$8:$G$1007,$C$8:$C$1007,$C319,$A$8:$A$1007,"&gt;="&amp;$A319-6,$A$8:$A$1007,"&lt;="&amp;$A319))</f>
        <v>0</v>
      </c>
      <c r="I319" s="48" t="n">
        <f aca="false">IF($A319="",0,SUMIFS($G$8:$G$1007,$C$8:$C$1007,$C319,$A$8:$A$1007,"&gt;="&amp;$A319-27,$A$8:$A$1007,"&lt;="&amp;$A319)/4)</f>
        <v>0</v>
      </c>
      <c r="J319" s="67" t="n">
        <f aca="false">IF(OR($A319="",$I319=0),0,$H319/$I319)</f>
        <v>0</v>
      </c>
      <c r="K319" s="33" t="n">
        <f aca="false">IF($A319="",0,$A319-SUMPRODUCT(MIN(($C$8:$C$1007=$C319)*$A$8:$A$1007+($C$8:$C$1007&lt;&gt;$C319)*100000))+1)</f>
        <v>0</v>
      </c>
      <c r="L319" s="19" t="str">
        <f aca="false">IF($A319="","",IF($J319=0,"Sem registro anterior",IF($K319&lt;21,"Histórico insuficiente",IF($J319&lt;0.8,"Subcarga",IF($J319&lt;=1.3,"Zona ideal",IF($J319&lt;=1.5,"Atenção","Risco elevado"))))))</f>
        <v/>
      </c>
      <c r="M319" s="20"/>
    </row>
    <row r="320" customFormat="false" ht="15" hidden="false" customHeight="false" outlineLevel="0" collapsed="false">
      <c r="A320" s="21"/>
      <c r="B320" s="33" t="n">
        <f aca="false">IF($A320="",0,INT(($A320-Macrociclo!$C$11)/7)+1)</f>
        <v>0</v>
      </c>
      <c r="C320" s="20"/>
      <c r="D320" s="20"/>
      <c r="E320" s="22"/>
      <c r="F320" s="22"/>
      <c r="G320" s="48" t="n">
        <f aca="false">IF(OR($E320="",$F320=""),0,$E320*$F320)</f>
        <v>0</v>
      </c>
      <c r="H320" s="48" t="n">
        <f aca="false">IF($A320="",0,SUMIFS($G$8:$G$1007,$C$8:$C$1007,$C320,$A$8:$A$1007,"&gt;="&amp;$A320-6,$A$8:$A$1007,"&lt;="&amp;$A320))</f>
        <v>0</v>
      </c>
      <c r="I320" s="48" t="n">
        <f aca="false">IF($A320="",0,SUMIFS($G$8:$G$1007,$C$8:$C$1007,$C320,$A$8:$A$1007,"&gt;="&amp;$A320-27,$A$8:$A$1007,"&lt;="&amp;$A320)/4)</f>
        <v>0</v>
      </c>
      <c r="J320" s="67" t="n">
        <f aca="false">IF(OR($A320="",$I320=0),0,$H320/$I320)</f>
        <v>0</v>
      </c>
      <c r="K320" s="33" t="n">
        <f aca="false">IF($A320="",0,$A320-SUMPRODUCT(MIN(($C$8:$C$1007=$C320)*$A$8:$A$1007+($C$8:$C$1007&lt;&gt;$C320)*100000))+1)</f>
        <v>0</v>
      </c>
      <c r="L320" s="19" t="str">
        <f aca="false">IF($A320="","",IF($J320=0,"Sem registro anterior",IF($K320&lt;21,"Histórico insuficiente",IF($J320&lt;0.8,"Subcarga",IF($J320&lt;=1.3,"Zona ideal",IF($J320&lt;=1.5,"Atenção","Risco elevado"))))))</f>
        <v/>
      </c>
      <c r="M320" s="20"/>
    </row>
    <row r="321" customFormat="false" ht="15" hidden="false" customHeight="false" outlineLevel="0" collapsed="false">
      <c r="A321" s="21"/>
      <c r="B321" s="33" t="n">
        <f aca="false">IF($A321="",0,INT(($A321-Macrociclo!$C$11)/7)+1)</f>
        <v>0</v>
      </c>
      <c r="C321" s="20"/>
      <c r="D321" s="20"/>
      <c r="E321" s="22"/>
      <c r="F321" s="22"/>
      <c r="G321" s="48" t="n">
        <f aca="false">IF(OR($E321="",$F321=""),0,$E321*$F321)</f>
        <v>0</v>
      </c>
      <c r="H321" s="48" t="n">
        <f aca="false">IF($A321="",0,SUMIFS($G$8:$G$1007,$C$8:$C$1007,$C321,$A$8:$A$1007,"&gt;="&amp;$A321-6,$A$8:$A$1007,"&lt;="&amp;$A321))</f>
        <v>0</v>
      </c>
      <c r="I321" s="48" t="n">
        <f aca="false">IF($A321="",0,SUMIFS($G$8:$G$1007,$C$8:$C$1007,$C321,$A$8:$A$1007,"&gt;="&amp;$A321-27,$A$8:$A$1007,"&lt;="&amp;$A321)/4)</f>
        <v>0</v>
      </c>
      <c r="J321" s="67" t="n">
        <f aca="false">IF(OR($A321="",$I321=0),0,$H321/$I321)</f>
        <v>0</v>
      </c>
      <c r="K321" s="33" t="n">
        <f aca="false">IF($A321="",0,$A321-SUMPRODUCT(MIN(($C$8:$C$1007=$C321)*$A$8:$A$1007+($C$8:$C$1007&lt;&gt;$C321)*100000))+1)</f>
        <v>0</v>
      </c>
      <c r="L321" s="19" t="str">
        <f aca="false">IF($A321="","",IF($J321=0,"Sem registro anterior",IF($K321&lt;21,"Histórico insuficiente",IF($J321&lt;0.8,"Subcarga",IF($J321&lt;=1.3,"Zona ideal",IF($J321&lt;=1.5,"Atenção","Risco elevado"))))))</f>
        <v/>
      </c>
      <c r="M321" s="20"/>
    </row>
    <row r="322" customFormat="false" ht="15" hidden="false" customHeight="false" outlineLevel="0" collapsed="false">
      <c r="A322" s="21"/>
      <c r="B322" s="33" t="n">
        <f aca="false">IF($A322="",0,INT(($A322-Macrociclo!$C$11)/7)+1)</f>
        <v>0</v>
      </c>
      <c r="C322" s="20"/>
      <c r="D322" s="20"/>
      <c r="E322" s="22"/>
      <c r="F322" s="22"/>
      <c r="G322" s="48" t="n">
        <f aca="false">IF(OR($E322="",$F322=""),0,$E322*$F322)</f>
        <v>0</v>
      </c>
      <c r="H322" s="48" t="n">
        <f aca="false">IF($A322="",0,SUMIFS($G$8:$G$1007,$C$8:$C$1007,$C322,$A$8:$A$1007,"&gt;="&amp;$A322-6,$A$8:$A$1007,"&lt;="&amp;$A322))</f>
        <v>0</v>
      </c>
      <c r="I322" s="48" t="n">
        <f aca="false">IF($A322="",0,SUMIFS($G$8:$G$1007,$C$8:$C$1007,$C322,$A$8:$A$1007,"&gt;="&amp;$A322-27,$A$8:$A$1007,"&lt;="&amp;$A322)/4)</f>
        <v>0</v>
      </c>
      <c r="J322" s="67" t="n">
        <f aca="false">IF(OR($A322="",$I322=0),0,$H322/$I322)</f>
        <v>0</v>
      </c>
      <c r="K322" s="33" t="n">
        <f aca="false">IF($A322="",0,$A322-SUMPRODUCT(MIN(($C$8:$C$1007=$C322)*$A$8:$A$1007+($C$8:$C$1007&lt;&gt;$C322)*100000))+1)</f>
        <v>0</v>
      </c>
      <c r="L322" s="19" t="str">
        <f aca="false">IF($A322="","",IF($J322=0,"Sem registro anterior",IF($K322&lt;21,"Histórico insuficiente",IF($J322&lt;0.8,"Subcarga",IF($J322&lt;=1.3,"Zona ideal",IF($J322&lt;=1.5,"Atenção","Risco elevado"))))))</f>
        <v/>
      </c>
      <c r="M322" s="20"/>
    </row>
    <row r="323" customFormat="false" ht="15" hidden="false" customHeight="false" outlineLevel="0" collapsed="false">
      <c r="A323" s="21"/>
      <c r="B323" s="33" t="n">
        <f aca="false">IF($A323="",0,INT(($A323-Macrociclo!$C$11)/7)+1)</f>
        <v>0</v>
      </c>
      <c r="C323" s="20"/>
      <c r="D323" s="20"/>
      <c r="E323" s="22"/>
      <c r="F323" s="22"/>
      <c r="G323" s="48" t="n">
        <f aca="false">IF(OR($E323="",$F323=""),0,$E323*$F323)</f>
        <v>0</v>
      </c>
      <c r="H323" s="48" t="n">
        <f aca="false">IF($A323="",0,SUMIFS($G$8:$G$1007,$C$8:$C$1007,$C323,$A$8:$A$1007,"&gt;="&amp;$A323-6,$A$8:$A$1007,"&lt;="&amp;$A323))</f>
        <v>0</v>
      </c>
      <c r="I323" s="48" t="n">
        <f aca="false">IF($A323="",0,SUMIFS($G$8:$G$1007,$C$8:$C$1007,$C323,$A$8:$A$1007,"&gt;="&amp;$A323-27,$A$8:$A$1007,"&lt;="&amp;$A323)/4)</f>
        <v>0</v>
      </c>
      <c r="J323" s="67" t="n">
        <f aca="false">IF(OR($A323="",$I323=0),0,$H323/$I323)</f>
        <v>0</v>
      </c>
      <c r="K323" s="33" t="n">
        <f aca="false">IF($A323="",0,$A323-SUMPRODUCT(MIN(($C$8:$C$1007=$C323)*$A$8:$A$1007+($C$8:$C$1007&lt;&gt;$C323)*100000))+1)</f>
        <v>0</v>
      </c>
      <c r="L323" s="19" t="str">
        <f aca="false">IF($A323="","",IF($J323=0,"Sem registro anterior",IF($K323&lt;21,"Histórico insuficiente",IF($J323&lt;0.8,"Subcarga",IF($J323&lt;=1.3,"Zona ideal",IF($J323&lt;=1.5,"Atenção","Risco elevado"))))))</f>
        <v/>
      </c>
      <c r="M323" s="20"/>
    </row>
    <row r="324" customFormat="false" ht="15" hidden="false" customHeight="false" outlineLevel="0" collapsed="false">
      <c r="A324" s="21"/>
      <c r="B324" s="33" t="n">
        <f aca="false">IF($A324="",0,INT(($A324-Macrociclo!$C$11)/7)+1)</f>
        <v>0</v>
      </c>
      <c r="C324" s="20"/>
      <c r="D324" s="20"/>
      <c r="E324" s="22"/>
      <c r="F324" s="22"/>
      <c r="G324" s="48" t="n">
        <f aca="false">IF(OR($E324="",$F324=""),0,$E324*$F324)</f>
        <v>0</v>
      </c>
      <c r="H324" s="48" t="n">
        <f aca="false">IF($A324="",0,SUMIFS($G$8:$G$1007,$C$8:$C$1007,$C324,$A$8:$A$1007,"&gt;="&amp;$A324-6,$A$8:$A$1007,"&lt;="&amp;$A324))</f>
        <v>0</v>
      </c>
      <c r="I324" s="48" t="n">
        <f aca="false">IF($A324="",0,SUMIFS($G$8:$G$1007,$C$8:$C$1007,$C324,$A$8:$A$1007,"&gt;="&amp;$A324-27,$A$8:$A$1007,"&lt;="&amp;$A324)/4)</f>
        <v>0</v>
      </c>
      <c r="J324" s="67" t="n">
        <f aca="false">IF(OR($A324="",$I324=0),0,$H324/$I324)</f>
        <v>0</v>
      </c>
      <c r="K324" s="33" t="n">
        <f aca="false">IF($A324="",0,$A324-SUMPRODUCT(MIN(($C$8:$C$1007=$C324)*$A$8:$A$1007+($C$8:$C$1007&lt;&gt;$C324)*100000))+1)</f>
        <v>0</v>
      </c>
      <c r="L324" s="19" t="str">
        <f aca="false">IF($A324="","",IF($J324=0,"Sem registro anterior",IF($K324&lt;21,"Histórico insuficiente",IF($J324&lt;0.8,"Subcarga",IF($J324&lt;=1.3,"Zona ideal",IF($J324&lt;=1.5,"Atenção","Risco elevado"))))))</f>
        <v/>
      </c>
      <c r="M324" s="20"/>
    </row>
    <row r="325" customFormat="false" ht="15" hidden="false" customHeight="false" outlineLevel="0" collapsed="false">
      <c r="A325" s="21"/>
      <c r="B325" s="33" t="n">
        <f aca="false">IF($A325="",0,INT(($A325-Macrociclo!$C$11)/7)+1)</f>
        <v>0</v>
      </c>
      <c r="C325" s="20"/>
      <c r="D325" s="20"/>
      <c r="E325" s="22"/>
      <c r="F325" s="22"/>
      <c r="G325" s="48" t="n">
        <f aca="false">IF(OR($E325="",$F325=""),0,$E325*$F325)</f>
        <v>0</v>
      </c>
      <c r="H325" s="48" t="n">
        <f aca="false">IF($A325="",0,SUMIFS($G$8:$G$1007,$C$8:$C$1007,$C325,$A$8:$A$1007,"&gt;="&amp;$A325-6,$A$8:$A$1007,"&lt;="&amp;$A325))</f>
        <v>0</v>
      </c>
      <c r="I325" s="48" t="n">
        <f aca="false">IF($A325="",0,SUMIFS($G$8:$G$1007,$C$8:$C$1007,$C325,$A$8:$A$1007,"&gt;="&amp;$A325-27,$A$8:$A$1007,"&lt;="&amp;$A325)/4)</f>
        <v>0</v>
      </c>
      <c r="J325" s="67" t="n">
        <f aca="false">IF(OR($A325="",$I325=0),0,$H325/$I325)</f>
        <v>0</v>
      </c>
      <c r="K325" s="33" t="n">
        <f aca="false">IF($A325="",0,$A325-SUMPRODUCT(MIN(($C$8:$C$1007=$C325)*$A$8:$A$1007+($C$8:$C$1007&lt;&gt;$C325)*100000))+1)</f>
        <v>0</v>
      </c>
      <c r="L325" s="19" t="str">
        <f aca="false">IF($A325="","",IF($J325=0,"Sem registro anterior",IF($K325&lt;21,"Histórico insuficiente",IF($J325&lt;0.8,"Subcarga",IF($J325&lt;=1.3,"Zona ideal",IF($J325&lt;=1.5,"Atenção","Risco elevado"))))))</f>
        <v/>
      </c>
      <c r="M325" s="20"/>
    </row>
    <row r="326" customFormat="false" ht="15" hidden="false" customHeight="false" outlineLevel="0" collapsed="false">
      <c r="A326" s="21"/>
      <c r="B326" s="33" t="n">
        <f aca="false">IF($A326="",0,INT(($A326-Macrociclo!$C$11)/7)+1)</f>
        <v>0</v>
      </c>
      <c r="C326" s="20"/>
      <c r="D326" s="20"/>
      <c r="E326" s="22"/>
      <c r="F326" s="22"/>
      <c r="G326" s="48" t="n">
        <f aca="false">IF(OR($E326="",$F326=""),0,$E326*$F326)</f>
        <v>0</v>
      </c>
      <c r="H326" s="48" t="n">
        <f aca="false">IF($A326="",0,SUMIFS($G$8:$G$1007,$C$8:$C$1007,$C326,$A$8:$A$1007,"&gt;="&amp;$A326-6,$A$8:$A$1007,"&lt;="&amp;$A326))</f>
        <v>0</v>
      </c>
      <c r="I326" s="48" t="n">
        <f aca="false">IF($A326="",0,SUMIFS($G$8:$G$1007,$C$8:$C$1007,$C326,$A$8:$A$1007,"&gt;="&amp;$A326-27,$A$8:$A$1007,"&lt;="&amp;$A326)/4)</f>
        <v>0</v>
      </c>
      <c r="J326" s="67" t="n">
        <f aca="false">IF(OR($A326="",$I326=0),0,$H326/$I326)</f>
        <v>0</v>
      </c>
      <c r="K326" s="33" t="n">
        <f aca="false">IF($A326="",0,$A326-SUMPRODUCT(MIN(($C$8:$C$1007=$C326)*$A$8:$A$1007+($C$8:$C$1007&lt;&gt;$C326)*100000))+1)</f>
        <v>0</v>
      </c>
      <c r="L326" s="19" t="str">
        <f aca="false">IF($A326="","",IF($J326=0,"Sem registro anterior",IF($K326&lt;21,"Histórico insuficiente",IF($J326&lt;0.8,"Subcarga",IF($J326&lt;=1.3,"Zona ideal",IF($J326&lt;=1.5,"Atenção","Risco elevado"))))))</f>
        <v/>
      </c>
      <c r="M326" s="20"/>
    </row>
    <row r="327" customFormat="false" ht="15" hidden="false" customHeight="false" outlineLevel="0" collapsed="false">
      <c r="A327" s="21"/>
      <c r="B327" s="33" t="n">
        <f aca="false">IF($A327="",0,INT(($A327-Macrociclo!$C$11)/7)+1)</f>
        <v>0</v>
      </c>
      <c r="C327" s="20"/>
      <c r="D327" s="20"/>
      <c r="E327" s="22"/>
      <c r="F327" s="22"/>
      <c r="G327" s="48" t="n">
        <f aca="false">IF(OR($E327="",$F327=""),0,$E327*$F327)</f>
        <v>0</v>
      </c>
      <c r="H327" s="48" t="n">
        <f aca="false">IF($A327="",0,SUMIFS($G$8:$G$1007,$C$8:$C$1007,$C327,$A$8:$A$1007,"&gt;="&amp;$A327-6,$A$8:$A$1007,"&lt;="&amp;$A327))</f>
        <v>0</v>
      </c>
      <c r="I327" s="48" t="n">
        <f aca="false">IF($A327="",0,SUMIFS($G$8:$G$1007,$C$8:$C$1007,$C327,$A$8:$A$1007,"&gt;="&amp;$A327-27,$A$8:$A$1007,"&lt;="&amp;$A327)/4)</f>
        <v>0</v>
      </c>
      <c r="J327" s="67" t="n">
        <f aca="false">IF(OR($A327="",$I327=0),0,$H327/$I327)</f>
        <v>0</v>
      </c>
      <c r="K327" s="33" t="n">
        <f aca="false">IF($A327="",0,$A327-SUMPRODUCT(MIN(($C$8:$C$1007=$C327)*$A$8:$A$1007+($C$8:$C$1007&lt;&gt;$C327)*100000))+1)</f>
        <v>0</v>
      </c>
      <c r="L327" s="19" t="str">
        <f aca="false">IF($A327="","",IF($J327=0,"Sem registro anterior",IF($K327&lt;21,"Histórico insuficiente",IF($J327&lt;0.8,"Subcarga",IF($J327&lt;=1.3,"Zona ideal",IF($J327&lt;=1.5,"Atenção","Risco elevado"))))))</f>
        <v/>
      </c>
      <c r="M327" s="20"/>
    </row>
    <row r="328" customFormat="false" ht="15" hidden="false" customHeight="false" outlineLevel="0" collapsed="false">
      <c r="A328" s="21"/>
      <c r="B328" s="33" t="n">
        <f aca="false">IF($A328="",0,INT(($A328-Macrociclo!$C$11)/7)+1)</f>
        <v>0</v>
      </c>
      <c r="C328" s="20"/>
      <c r="D328" s="20"/>
      <c r="E328" s="22"/>
      <c r="F328" s="22"/>
      <c r="G328" s="48" t="n">
        <f aca="false">IF(OR($E328="",$F328=""),0,$E328*$F328)</f>
        <v>0</v>
      </c>
      <c r="H328" s="48" t="n">
        <f aca="false">IF($A328="",0,SUMIFS($G$8:$G$1007,$C$8:$C$1007,$C328,$A$8:$A$1007,"&gt;="&amp;$A328-6,$A$8:$A$1007,"&lt;="&amp;$A328))</f>
        <v>0</v>
      </c>
      <c r="I328" s="48" t="n">
        <f aca="false">IF($A328="",0,SUMIFS($G$8:$G$1007,$C$8:$C$1007,$C328,$A$8:$A$1007,"&gt;="&amp;$A328-27,$A$8:$A$1007,"&lt;="&amp;$A328)/4)</f>
        <v>0</v>
      </c>
      <c r="J328" s="67" t="n">
        <f aca="false">IF(OR($A328="",$I328=0),0,$H328/$I328)</f>
        <v>0</v>
      </c>
      <c r="K328" s="33" t="n">
        <f aca="false">IF($A328="",0,$A328-SUMPRODUCT(MIN(($C$8:$C$1007=$C328)*$A$8:$A$1007+($C$8:$C$1007&lt;&gt;$C328)*100000))+1)</f>
        <v>0</v>
      </c>
      <c r="L328" s="19" t="str">
        <f aca="false">IF($A328="","",IF($J328=0,"Sem registro anterior",IF($K328&lt;21,"Histórico insuficiente",IF($J328&lt;0.8,"Subcarga",IF($J328&lt;=1.3,"Zona ideal",IF($J328&lt;=1.5,"Atenção","Risco elevado"))))))</f>
        <v/>
      </c>
      <c r="M328" s="20"/>
    </row>
    <row r="329" customFormat="false" ht="15" hidden="false" customHeight="false" outlineLevel="0" collapsed="false">
      <c r="A329" s="21"/>
      <c r="B329" s="33" t="n">
        <f aca="false">IF($A329="",0,INT(($A329-Macrociclo!$C$11)/7)+1)</f>
        <v>0</v>
      </c>
      <c r="C329" s="20"/>
      <c r="D329" s="20"/>
      <c r="E329" s="22"/>
      <c r="F329" s="22"/>
      <c r="G329" s="48" t="n">
        <f aca="false">IF(OR($E329="",$F329=""),0,$E329*$F329)</f>
        <v>0</v>
      </c>
      <c r="H329" s="48" t="n">
        <f aca="false">IF($A329="",0,SUMIFS($G$8:$G$1007,$C$8:$C$1007,$C329,$A$8:$A$1007,"&gt;="&amp;$A329-6,$A$8:$A$1007,"&lt;="&amp;$A329))</f>
        <v>0</v>
      </c>
      <c r="I329" s="48" t="n">
        <f aca="false">IF($A329="",0,SUMIFS($G$8:$G$1007,$C$8:$C$1007,$C329,$A$8:$A$1007,"&gt;="&amp;$A329-27,$A$8:$A$1007,"&lt;="&amp;$A329)/4)</f>
        <v>0</v>
      </c>
      <c r="J329" s="67" t="n">
        <f aca="false">IF(OR($A329="",$I329=0),0,$H329/$I329)</f>
        <v>0</v>
      </c>
      <c r="K329" s="33" t="n">
        <f aca="false">IF($A329="",0,$A329-SUMPRODUCT(MIN(($C$8:$C$1007=$C329)*$A$8:$A$1007+($C$8:$C$1007&lt;&gt;$C329)*100000))+1)</f>
        <v>0</v>
      </c>
      <c r="L329" s="19" t="str">
        <f aca="false">IF($A329="","",IF($J329=0,"Sem registro anterior",IF($K329&lt;21,"Histórico insuficiente",IF($J329&lt;0.8,"Subcarga",IF($J329&lt;=1.3,"Zona ideal",IF($J329&lt;=1.5,"Atenção","Risco elevado"))))))</f>
        <v/>
      </c>
      <c r="M329" s="20"/>
    </row>
    <row r="330" customFormat="false" ht="15" hidden="false" customHeight="false" outlineLevel="0" collapsed="false">
      <c r="A330" s="21"/>
      <c r="B330" s="33" t="n">
        <f aca="false">IF($A330="",0,INT(($A330-Macrociclo!$C$11)/7)+1)</f>
        <v>0</v>
      </c>
      <c r="C330" s="20"/>
      <c r="D330" s="20"/>
      <c r="E330" s="22"/>
      <c r="F330" s="22"/>
      <c r="G330" s="48" t="n">
        <f aca="false">IF(OR($E330="",$F330=""),0,$E330*$F330)</f>
        <v>0</v>
      </c>
      <c r="H330" s="48" t="n">
        <f aca="false">IF($A330="",0,SUMIFS($G$8:$G$1007,$C$8:$C$1007,$C330,$A$8:$A$1007,"&gt;="&amp;$A330-6,$A$8:$A$1007,"&lt;="&amp;$A330))</f>
        <v>0</v>
      </c>
      <c r="I330" s="48" t="n">
        <f aca="false">IF($A330="",0,SUMIFS($G$8:$G$1007,$C$8:$C$1007,$C330,$A$8:$A$1007,"&gt;="&amp;$A330-27,$A$8:$A$1007,"&lt;="&amp;$A330)/4)</f>
        <v>0</v>
      </c>
      <c r="J330" s="67" t="n">
        <f aca="false">IF(OR($A330="",$I330=0),0,$H330/$I330)</f>
        <v>0</v>
      </c>
      <c r="K330" s="33" t="n">
        <f aca="false">IF($A330="",0,$A330-SUMPRODUCT(MIN(($C$8:$C$1007=$C330)*$A$8:$A$1007+($C$8:$C$1007&lt;&gt;$C330)*100000))+1)</f>
        <v>0</v>
      </c>
      <c r="L330" s="19" t="str">
        <f aca="false">IF($A330="","",IF($J330=0,"Sem registro anterior",IF($K330&lt;21,"Histórico insuficiente",IF($J330&lt;0.8,"Subcarga",IF($J330&lt;=1.3,"Zona ideal",IF($J330&lt;=1.5,"Atenção","Risco elevado"))))))</f>
        <v/>
      </c>
      <c r="M330" s="20"/>
    </row>
    <row r="331" customFormat="false" ht="15" hidden="false" customHeight="false" outlineLevel="0" collapsed="false">
      <c r="A331" s="21"/>
      <c r="B331" s="33" t="n">
        <f aca="false">IF($A331="",0,INT(($A331-Macrociclo!$C$11)/7)+1)</f>
        <v>0</v>
      </c>
      <c r="C331" s="20"/>
      <c r="D331" s="20"/>
      <c r="E331" s="22"/>
      <c r="F331" s="22"/>
      <c r="G331" s="48" t="n">
        <f aca="false">IF(OR($E331="",$F331=""),0,$E331*$F331)</f>
        <v>0</v>
      </c>
      <c r="H331" s="48" t="n">
        <f aca="false">IF($A331="",0,SUMIFS($G$8:$G$1007,$C$8:$C$1007,$C331,$A$8:$A$1007,"&gt;="&amp;$A331-6,$A$8:$A$1007,"&lt;="&amp;$A331))</f>
        <v>0</v>
      </c>
      <c r="I331" s="48" t="n">
        <f aca="false">IF($A331="",0,SUMIFS($G$8:$G$1007,$C$8:$C$1007,$C331,$A$8:$A$1007,"&gt;="&amp;$A331-27,$A$8:$A$1007,"&lt;="&amp;$A331)/4)</f>
        <v>0</v>
      </c>
      <c r="J331" s="67" t="n">
        <f aca="false">IF(OR($A331="",$I331=0),0,$H331/$I331)</f>
        <v>0</v>
      </c>
      <c r="K331" s="33" t="n">
        <f aca="false">IF($A331="",0,$A331-SUMPRODUCT(MIN(($C$8:$C$1007=$C331)*$A$8:$A$1007+($C$8:$C$1007&lt;&gt;$C331)*100000))+1)</f>
        <v>0</v>
      </c>
      <c r="L331" s="19" t="str">
        <f aca="false">IF($A331="","",IF($J331=0,"Sem registro anterior",IF($K331&lt;21,"Histórico insuficiente",IF($J331&lt;0.8,"Subcarga",IF($J331&lt;=1.3,"Zona ideal",IF($J331&lt;=1.5,"Atenção","Risco elevado"))))))</f>
        <v/>
      </c>
      <c r="M331" s="20"/>
    </row>
    <row r="332" customFormat="false" ht="15" hidden="false" customHeight="false" outlineLevel="0" collapsed="false">
      <c r="A332" s="21"/>
      <c r="B332" s="33" t="n">
        <f aca="false">IF($A332="",0,INT(($A332-Macrociclo!$C$11)/7)+1)</f>
        <v>0</v>
      </c>
      <c r="C332" s="20"/>
      <c r="D332" s="20"/>
      <c r="E332" s="22"/>
      <c r="F332" s="22"/>
      <c r="G332" s="48" t="n">
        <f aca="false">IF(OR($E332="",$F332=""),0,$E332*$F332)</f>
        <v>0</v>
      </c>
      <c r="H332" s="48" t="n">
        <f aca="false">IF($A332="",0,SUMIFS($G$8:$G$1007,$C$8:$C$1007,$C332,$A$8:$A$1007,"&gt;="&amp;$A332-6,$A$8:$A$1007,"&lt;="&amp;$A332))</f>
        <v>0</v>
      </c>
      <c r="I332" s="48" t="n">
        <f aca="false">IF($A332="",0,SUMIFS($G$8:$G$1007,$C$8:$C$1007,$C332,$A$8:$A$1007,"&gt;="&amp;$A332-27,$A$8:$A$1007,"&lt;="&amp;$A332)/4)</f>
        <v>0</v>
      </c>
      <c r="J332" s="67" t="n">
        <f aca="false">IF(OR($A332="",$I332=0),0,$H332/$I332)</f>
        <v>0</v>
      </c>
      <c r="K332" s="33" t="n">
        <f aca="false">IF($A332="",0,$A332-SUMPRODUCT(MIN(($C$8:$C$1007=$C332)*$A$8:$A$1007+($C$8:$C$1007&lt;&gt;$C332)*100000))+1)</f>
        <v>0</v>
      </c>
      <c r="L332" s="19" t="str">
        <f aca="false">IF($A332="","",IF($J332=0,"Sem registro anterior",IF($K332&lt;21,"Histórico insuficiente",IF($J332&lt;0.8,"Subcarga",IF($J332&lt;=1.3,"Zona ideal",IF($J332&lt;=1.5,"Atenção","Risco elevado"))))))</f>
        <v/>
      </c>
      <c r="M332" s="20"/>
    </row>
    <row r="333" customFormat="false" ht="15" hidden="false" customHeight="false" outlineLevel="0" collapsed="false">
      <c r="A333" s="21"/>
      <c r="B333" s="33" t="n">
        <f aca="false">IF($A333="",0,INT(($A333-Macrociclo!$C$11)/7)+1)</f>
        <v>0</v>
      </c>
      <c r="C333" s="20"/>
      <c r="D333" s="20"/>
      <c r="E333" s="22"/>
      <c r="F333" s="22"/>
      <c r="G333" s="48" t="n">
        <f aca="false">IF(OR($E333="",$F333=""),0,$E333*$F333)</f>
        <v>0</v>
      </c>
      <c r="H333" s="48" t="n">
        <f aca="false">IF($A333="",0,SUMIFS($G$8:$G$1007,$C$8:$C$1007,$C333,$A$8:$A$1007,"&gt;="&amp;$A333-6,$A$8:$A$1007,"&lt;="&amp;$A333))</f>
        <v>0</v>
      </c>
      <c r="I333" s="48" t="n">
        <f aca="false">IF($A333="",0,SUMIFS($G$8:$G$1007,$C$8:$C$1007,$C333,$A$8:$A$1007,"&gt;="&amp;$A333-27,$A$8:$A$1007,"&lt;="&amp;$A333)/4)</f>
        <v>0</v>
      </c>
      <c r="J333" s="67" t="n">
        <f aca="false">IF(OR($A333="",$I333=0),0,$H333/$I333)</f>
        <v>0</v>
      </c>
      <c r="K333" s="33" t="n">
        <f aca="false">IF($A333="",0,$A333-SUMPRODUCT(MIN(($C$8:$C$1007=$C333)*$A$8:$A$1007+($C$8:$C$1007&lt;&gt;$C333)*100000))+1)</f>
        <v>0</v>
      </c>
      <c r="L333" s="19" t="str">
        <f aca="false">IF($A333="","",IF($J333=0,"Sem registro anterior",IF($K333&lt;21,"Histórico insuficiente",IF($J333&lt;0.8,"Subcarga",IF($J333&lt;=1.3,"Zona ideal",IF($J333&lt;=1.5,"Atenção","Risco elevado"))))))</f>
        <v/>
      </c>
      <c r="M333" s="20"/>
    </row>
    <row r="334" customFormat="false" ht="15" hidden="false" customHeight="false" outlineLevel="0" collapsed="false">
      <c r="A334" s="21"/>
      <c r="B334" s="33" t="n">
        <f aca="false">IF($A334="",0,INT(($A334-Macrociclo!$C$11)/7)+1)</f>
        <v>0</v>
      </c>
      <c r="C334" s="20"/>
      <c r="D334" s="20"/>
      <c r="E334" s="22"/>
      <c r="F334" s="22"/>
      <c r="G334" s="48" t="n">
        <f aca="false">IF(OR($E334="",$F334=""),0,$E334*$F334)</f>
        <v>0</v>
      </c>
      <c r="H334" s="48" t="n">
        <f aca="false">IF($A334="",0,SUMIFS($G$8:$G$1007,$C$8:$C$1007,$C334,$A$8:$A$1007,"&gt;="&amp;$A334-6,$A$8:$A$1007,"&lt;="&amp;$A334))</f>
        <v>0</v>
      </c>
      <c r="I334" s="48" t="n">
        <f aca="false">IF($A334="",0,SUMIFS($G$8:$G$1007,$C$8:$C$1007,$C334,$A$8:$A$1007,"&gt;="&amp;$A334-27,$A$8:$A$1007,"&lt;="&amp;$A334)/4)</f>
        <v>0</v>
      </c>
      <c r="J334" s="67" t="n">
        <f aca="false">IF(OR($A334="",$I334=0),0,$H334/$I334)</f>
        <v>0</v>
      </c>
      <c r="K334" s="33" t="n">
        <f aca="false">IF($A334="",0,$A334-SUMPRODUCT(MIN(($C$8:$C$1007=$C334)*$A$8:$A$1007+($C$8:$C$1007&lt;&gt;$C334)*100000))+1)</f>
        <v>0</v>
      </c>
      <c r="L334" s="19" t="str">
        <f aca="false">IF($A334="","",IF($J334=0,"Sem registro anterior",IF($K334&lt;21,"Histórico insuficiente",IF($J334&lt;0.8,"Subcarga",IF($J334&lt;=1.3,"Zona ideal",IF($J334&lt;=1.5,"Atenção","Risco elevado"))))))</f>
        <v/>
      </c>
      <c r="M334" s="20"/>
    </row>
    <row r="335" customFormat="false" ht="15" hidden="false" customHeight="false" outlineLevel="0" collapsed="false">
      <c r="A335" s="21"/>
      <c r="B335" s="33" t="n">
        <f aca="false">IF($A335="",0,INT(($A335-Macrociclo!$C$11)/7)+1)</f>
        <v>0</v>
      </c>
      <c r="C335" s="20"/>
      <c r="D335" s="20"/>
      <c r="E335" s="22"/>
      <c r="F335" s="22"/>
      <c r="G335" s="48" t="n">
        <f aca="false">IF(OR($E335="",$F335=""),0,$E335*$F335)</f>
        <v>0</v>
      </c>
      <c r="H335" s="48" t="n">
        <f aca="false">IF($A335="",0,SUMIFS($G$8:$G$1007,$C$8:$C$1007,$C335,$A$8:$A$1007,"&gt;="&amp;$A335-6,$A$8:$A$1007,"&lt;="&amp;$A335))</f>
        <v>0</v>
      </c>
      <c r="I335" s="48" t="n">
        <f aca="false">IF($A335="",0,SUMIFS($G$8:$G$1007,$C$8:$C$1007,$C335,$A$8:$A$1007,"&gt;="&amp;$A335-27,$A$8:$A$1007,"&lt;="&amp;$A335)/4)</f>
        <v>0</v>
      </c>
      <c r="J335" s="67" t="n">
        <f aca="false">IF(OR($A335="",$I335=0),0,$H335/$I335)</f>
        <v>0</v>
      </c>
      <c r="K335" s="33" t="n">
        <f aca="false">IF($A335="",0,$A335-SUMPRODUCT(MIN(($C$8:$C$1007=$C335)*$A$8:$A$1007+($C$8:$C$1007&lt;&gt;$C335)*100000))+1)</f>
        <v>0</v>
      </c>
      <c r="L335" s="19" t="str">
        <f aca="false">IF($A335="","",IF($J335=0,"Sem registro anterior",IF($K335&lt;21,"Histórico insuficiente",IF($J335&lt;0.8,"Subcarga",IF($J335&lt;=1.3,"Zona ideal",IF($J335&lt;=1.5,"Atenção","Risco elevado"))))))</f>
        <v/>
      </c>
      <c r="M335" s="20"/>
    </row>
    <row r="336" customFormat="false" ht="15" hidden="false" customHeight="false" outlineLevel="0" collapsed="false">
      <c r="A336" s="21"/>
      <c r="B336" s="33" t="n">
        <f aca="false">IF($A336="",0,INT(($A336-Macrociclo!$C$11)/7)+1)</f>
        <v>0</v>
      </c>
      <c r="C336" s="20"/>
      <c r="D336" s="20"/>
      <c r="E336" s="22"/>
      <c r="F336" s="22"/>
      <c r="G336" s="48" t="n">
        <f aca="false">IF(OR($E336="",$F336=""),0,$E336*$F336)</f>
        <v>0</v>
      </c>
      <c r="H336" s="48" t="n">
        <f aca="false">IF($A336="",0,SUMIFS($G$8:$G$1007,$C$8:$C$1007,$C336,$A$8:$A$1007,"&gt;="&amp;$A336-6,$A$8:$A$1007,"&lt;="&amp;$A336))</f>
        <v>0</v>
      </c>
      <c r="I336" s="48" t="n">
        <f aca="false">IF($A336="",0,SUMIFS($G$8:$G$1007,$C$8:$C$1007,$C336,$A$8:$A$1007,"&gt;="&amp;$A336-27,$A$8:$A$1007,"&lt;="&amp;$A336)/4)</f>
        <v>0</v>
      </c>
      <c r="J336" s="67" t="n">
        <f aca="false">IF(OR($A336="",$I336=0),0,$H336/$I336)</f>
        <v>0</v>
      </c>
      <c r="K336" s="33" t="n">
        <f aca="false">IF($A336="",0,$A336-SUMPRODUCT(MIN(($C$8:$C$1007=$C336)*$A$8:$A$1007+($C$8:$C$1007&lt;&gt;$C336)*100000))+1)</f>
        <v>0</v>
      </c>
      <c r="L336" s="19" t="str">
        <f aca="false">IF($A336="","",IF($J336=0,"Sem registro anterior",IF($K336&lt;21,"Histórico insuficiente",IF($J336&lt;0.8,"Subcarga",IF($J336&lt;=1.3,"Zona ideal",IF($J336&lt;=1.5,"Atenção","Risco elevado"))))))</f>
        <v/>
      </c>
      <c r="M336" s="20"/>
    </row>
    <row r="337" customFormat="false" ht="15" hidden="false" customHeight="false" outlineLevel="0" collapsed="false">
      <c r="A337" s="21"/>
      <c r="B337" s="33" t="n">
        <f aca="false">IF($A337="",0,INT(($A337-Macrociclo!$C$11)/7)+1)</f>
        <v>0</v>
      </c>
      <c r="C337" s="20"/>
      <c r="D337" s="20"/>
      <c r="E337" s="22"/>
      <c r="F337" s="22"/>
      <c r="G337" s="48" t="n">
        <f aca="false">IF(OR($E337="",$F337=""),0,$E337*$F337)</f>
        <v>0</v>
      </c>
      <c r="H337" s="48" t="n">
        <f aca="false">IF($A337="",0,SUMIFS($G$8:$G$1007,$C$8:$C$1007,$C337,$A$8:$A$1007,"&gt;="&amp;$A337-6,$A$8:$A$1007,"&lt;="&amp;$A337))</f>
        <v>0</v>
      </c>
      <c r="I337" s="48" t="n">
        <f aca="false">IF($A337="",0,SUMIFS($G$8:$G$1007,$C$8:$C$1007,$C337,$A$8:$A$1007,"&gt;="&amp;$A337-27,$A$8:$A$1007,"&lt;="&amp;$A337)/4)</f>
        <v>0</v>
      </c>
      <c r="J337" s="67" t="n">
        <f aca="false">IF(OR($A337="",$I337=0),0,$H337/$I337)</f>
        <v>0</v>
      </c>
      <c r="K337" s="33" t="n">
        <f aca="false">IF($A337="",0,$A337-SUMPRODUCT(MIN(($C$8:$C$1007=$C337)*$A$8:$A$1007+($C$8:$C$1007&lt;&gt;$C337)*100000))+1)</f>
        <v>0</v>
      </c>
      <c r="L337" s="19" t="str">
        <f aca="false">IF($A337="","",IF($J337=0,"Sem registro anterior",IF($K337&lt;21,"Histórico insuficiente",IF($J337&lt;0.8,"Subcarga",IF($J337&lt;=1.3,"Zona ideal",IF($J337&lt;=1.5,"Atenção","Risco elevado"))))))</f>
        <v/>
      </c>
      <c r="M337" s="20"/>
    </row>
    <row r="338" customFormat="false" ht="15" hidden="false" customHeight="false" outlineLevel="0" collapsed="false">
      <c r="A338" s="21"/>
      <c r="B338" s="33" t="n">
        <f aca="false">IF($A338="",0,INT(($A338-Macrociclo!$C$11)/7)+1)</f>
        <v>0</v>
      </c>
      <c r="C338" s="20"/>
      <c r="D338" s="20"/>
      <c r="E338" s="22"/>
      <c r="F338" s="22"/>
      <c r="G338" s="48" t="n">
        <f aca="false">IF(OR($E338="",$F338=""),0,$E338*$F338)</f>
        <v>0</v>
      </c>
      <c r="H338" s="48" t="n">
        <f aca="false">IF($A338="",0,SUMIFS($G$8:$G$1007,$C$8:$C$1007,$C338,$A$8:$A$1007,"&gt;="&amp;$A338-6,$A$8:$A$1007,"&lt;="&amp;$A338))</f>
        <v>0</v>
      </c>
      <c r="I338" s="48" t="n">
        <f aca="false">IF($A338="",0,SUMIFS($G$8:$G$1007,$C$8:$C$1007,$C338,$A$8:$A$1007,"&gt;="&amp;$A338-27,$A$8:$A$1007,"&lt;="&amp;$A338)/4)</f>
        <v>0</v>
      </c>
      <c r="J338" s="67" t="n">
        <f aca="false">IF(OR($A338="",$I338=0),0,$H338/$I338)</f>
        <v>0</v>
      </c>
      <c r="K338" s="33" t="n">
        <f aca="false">IF($A338="",0,$A338-SUMPRODUCT(MIN(($C$8:$C$1007=$C338)*$A$8:$A$1007+($C$8:$C$1007&lt;&gt;$C338)*100000))+1)</f>
        <v>0</v>
      </c>
      <c r="L338" s="19" t="str">
        <f aca="false">IF($A338="","",IF($J338=0,"Sem registro anterior",IF($K338&lt;21,"Histórico insuficiente",IF($J338&lt;0.8,"Subcarga",IF($J338&lt;=1.3,"Zona ideal",IF($J338&lt;=1.5,"Atenção","Risco elevado"))))))</f>
        <v/>
      </c>
      <c r="M338" s="20"/>
    </row>
    <row r="339" customFormat="false" ht="15" hidden="false" customHeight="false" outlineLevel="0" collapsed="false">
      <c r="A339" s="21"/>
      <c r="B339" s="33" t="n">
        <f aca="false">IF($A339="",0,INT(($A339-Macrociclo!$C$11)/7)+1)</f>
        <v>0</v>
      </c>
      <c r="C339" s="20"/>
      <c r="D339" s="20"/>
      <c r="E339" s="22"/>
      <c r="F339" s="22"/>
      <c r="G339" s="48" t="n">
        <f aca="false">IF(OR($E339="",$F339=""),0,$E339*$F339)</f>
        <v>0</v>
      </c>
      <c r="H339" s="48" t="n">
        <f aca="false">IF($A339="",0,SUMIFS($G$8:$G$1007,$C$8:$C$1007,$C339,$A$8:$A$1007,"&gt;="&amp;$A339-6,$A$8:$A$1007,"&lt;="&amp;$A339))</f>
        <v>0</v>
      </c>
      <c r="I339" s="48" t="n">
        <f aca="false">IF($A339="",0,SUMIFS($G$8:$G$1007,$C$8:$C$1007,$C339,$A$8:$A$1007,"&gt;="&amp;$A339-27,$A$8:$A$1007,"&lt;="&amp;$A339)/4)</f>
        <v>0</v>
      </c>
      <c r="J339" s="67" t="n">
        <f aca="false">IF(OR($A339="",$I339=0),0,$H339/$I339)</f>
        <v>0</v>
      </c>
      <c r="K339" s="33" t="n">
        <f aca="false">IF($A339="",0,$A339-SUMPRODUCT(MIN(($C$8:$C$1007=$C339)*$A$8:$A$1007+($C$8:$C$1007&lt;&gt;$C339)*100000))+1)</f>
        <v>0</v>
      </c>
      <c r="L339" s="19" t="str">
        <f aca="false">IF($A339="","",IF($J339=0,"Sem registro anterior",IF($K339&lt;21,"Histórico insuficiente",IF($J339&lt;0.8,"Subcarga",IF($J339&lt;=1.3,"Zona ideal",IF($J339&lt;=1.5,"Atenção","Risco elevado"))))))</f>
        <v/>
      </c>
      <c r="M339" s="20"/>
    </row>
    <row r="340" customFormat="false" ht="15" hidden="false" customHeight="false" outlineLevel="0" collapsed="false">
      <c r="A340" s="21"/>
      <c r="B340" s="33" t="n">
        <f aca="false">IF($A340="",0,INT(($A340-Macrociclo!$C$11)/7)+1)</f>
        <v>0</v>
      </c>
      <c r="C340" s="20"/>
      <c r="D340" s="20"/>
      <c r="E340" s="22"/>
      <c r="F340" s="22"/>
      <c r="G340" s="48" t="n">
        <f aca="false">IF(OR($E340="",$F340=""),0,$E340*$F340)</f>
        <v>0</v>
      </c>
      <c r="H340" s="48" t="n">
        <f aca="false">IF($A340="",0,SUMIFS($G$8:$G$1007,$C$8:$C$1007,$C340,$A$8:$A$1007,"&gt;="&amp;$A340-6,$A$8:$A$1007,"&lt;="&amp;$A340))</f>
        <v>0</v>
      </c>
      <c r="I340" s="48" t="n">
        <f aca="false">IF($A340="",0,SUMIFS($G$8:$G$1007,$C$8:$C$1007,$C340,$A$8:$A$1007,"&gt;="&amp;$A340-27,$A$8:$A$1007,"&lt;="&amp;$A340)/4)</f>
        <v>0</v>
      </c>
      <c r="J340" s="67" t="n">
        <f aca="false">IF(OR($A340="",$I340=0),0,$H340/$I340)</f>
        <v>0</v>
      </c>
      <c r="K340" s="33" t="n">
        <f aca="false">IF($A340="",0,$A340-SUMPRODUCT(MIN(($C$8:$C$1007=$C340)*$A$8:$A$1007+($C$8:$C$1007&lt;&gt;$C340)*100000))+1)</f>
        <v>0</v>
      </c>
      <c r="L340" s="19" t="str">
        <f aca="false">IF($A340="","",IF($J340=0,"Sem registro anterior",IF($K340&lt;21,"Histórico insuficiente",IF($J340&lt;0.8,"Subcarga",IF($J340&lt;=1.3,"Zona ideal",IF($J340&lt;=1.5,"Atenção","Risco elevado"))))))</f>
        <v/>
      </c>
      <c r="M340" s="20"/>
    </row>
    <row r="341" customFormat="false" ht="15" hidden="false" customHeight="false" outlineLevel="0" collapsed="false">
      <c r="A341" s="21"/>
      <c r="B341" s="33" t="n">
        <f aca="false">IF($A341="",0,INT(($A341-Macrociclo!$C$11)/7)+1)</f>
        <v>0</v>
      </c>
      <c r="C341" s="20"/>
      <c r="D341" s="20"/>
      <c r="E341" s="22"/>
      <c r="F341" s="22"/>
      <c r="G341" s="48" t="n">
        <f aca="false">IF(OR($E341="",$F341=""),0,$E341*$F341)</f>
        <v>0</v>
      </c>
      <c r="H341" s="48" t="n">
        <f aca="false">IF($A341="",0,SUMIFS($G$8:$G$1007,$C$8:$C$1007,$C341,$A$8:$A$1007,"&gt;="&amp;$A341-6,$A$8:$A$1007,"&lt;="&amp;$A341))</f>
        <v>0</v>
      </c>
      <c r="I341" s="48" t="n">
        <f aca="false">IF($A341="",0,SUMIFS($G$8:$G$1007,$C$8:$C$1007,$C341,$A$8:$A$1007,"&gt;="&amp;$A341-27,$A$8:$A$1007,"&lt;="&amp;$A341)/4)</f>
        <v>0</v>
      </c>
      <c r="J341" s="67" t="n">
        <f aca="false">IF(OR($A341="",$I341=0),0,$H341/$I341)</f>
        <v>0</v>
      </c>
      <c r="K341" s="33" t="n">
        <f aca="false">IF($A341="",0,$A341-SUMPRODUCT(MIN(($C$8:$C$1007=$C341)*$A$8:$A$1007+($C$8:$C$1007&lt;&gt;$C341)*100000))+1)</f>
        <v>0</v>
      </c>
      <c r="L341" s="19" t="str">
        <f aca="false">IF($A341="","",IF($J341=0,"Sem registro anterior",IF($K341&lt;21,"Histórico insuficiente",IF($J341&lt;0.8,"Subcarga",IF($J341&lt;=1.3,"Zona ideal",IF($J341&lt;=1.5,"Atenção","Risco elevado"))))))</f>
        <v/>
      </c>
      <c r="M341" s="20"/>
    </row>
    <row r="342" customFormat="false" ht="15" hidden="false" customHeight="false" outlineLevel="0" collapsed="false">
      <c r="A342" s="21"/>
      <c r="B342" s="33" t="n">
        <f aca="false">IF($A342="",0,INT(($A342-Macrociclo!$C$11)/7)+1)</f>
        <v>0</v>
      </c>
      <c r="C342" s="20"/>
      <c r="D342" s="20"/>
      <c r="E342" s="22"/>
      <c r="F342" s="22"/>
      <c r="G342" s="48" t="n">
        <f aca="false">IF(OR($E342="",$F342=""),0,$E342*$F342)</f>
        <v>0</v>
      </c>
      <c r="H342" s="48" t="n">
        <f aca="false">IF($A342="",0,SUMIFS($G$8:$G$1007,$C$8:$C$1007,$C342,$A$8:$A$1007,"&gt;="&amp;$A342-6,$A$8:$A$1007,"&lt;="&amp;$A342))</f>
        <v>0</v>
      </c>
      <c r="I342" s="48" t="n">
        <f aca="false">IF($A342="",0,SUMIFS($G$8:$G$1007,$C$8:$C$1007,$C342,$A$8:$A$1007,"&gt;="&amp;$A342-27,$A$8:$A$1007,"&lt;="&amp;$A342)/4)</f>
        <v>0</v>
      </c>
      <c r="J342" s="67" t="n">
        <f aca="false">IF(OR($A342="",$I342=0),0,$H342/$I342)</f>
        <v>0</v>
      </c>
      <c r="K342" s="33" t="n">
        <f aca="false">IF($A342="",0,$A342-SUMPRODUCT(MIN(($C$8:$C$1007=$C342)*$A$8:$A$1007+($C$8:$C$1007&lt;&gt;$C342)*100000))+1)</f>
        <v>0</v>
      </c>
      <c r="L342" s="19" t="str">
        <f aca="false">IF($A342="","",IF($J342=0,"Sem registro anterior",IF($K342&lt;21,"Histórico insuficiente",IF($J342&lt;0.8,"Subcarga",IF($J342&lt;=1.3,"Zona ideal",IF($J342&lt;=1.5,"Atenção","Risco elevado"))))))</f>
        <v/>
      </c>
      <c r="M342" s="20"/>
    </row>
    <row r="343" customFormat="false" ht="15" hidden="false" customHeight="false" outlineLevel="0" collapsed="false">
      <c r="A343" s="21"/>
      <c r="B343" s="33" t="n">
        <f aca="false">IF($A343="",0,INT(($A343-Macrociclo!$C$11)/7)+1)</f>
        <v>0</v>
      </c>
      <c r="C343" s="20"/>
      <c r="D343" s="20"/>
      <c r="E343" s="22"/>
      <c r="F343" s="22"/>
      <c r="G343" s="48" t="n">
        <f aca="false">IF(OR($E343="",$F343=""),0,$E343*$F343)</f>
        <v>0</v>
      </c>
      <c r="H343" s="48" t="n">
        <f aca="false">IF($A343="",0,SUMIFS($G$8:$G$1007,$C$8:$C$1007,$C343,$A$8:$A$1007,"&gt;="&amp;$A343-6,$A$8:$A$1007,"&lt;="&amp;$A343))</f>
        <v>0</v>
      </c>
      <c r="I343" s="48" t="n">
        <f aca="false">IF($A343="",0,SUMIFS($G$8:$G$1007,$C$8:$C$1007,$C343,$A$8:$A$1007,"&gt;="&amp;$A343-27,$A$8:$A$1007,"&lt;="&amp;$A343)/4)</f>
        <v>0</v>
      </c>
      <c r="J343" s="67" t="n">
        <f aca="false">IF(OR($A343="",$I343=0),0,$H343/$I343)</f>
        <v>0</v>
      </c>
      <c r="K343" s="33" t="n">
        <f aca="false">IF($A343="",0,$A343-SUMPRODUCT(MIN(($C$8:$C$1007=$C343)*$A$8:$A$1007+($C$8:$C$1007&lt;&gt;$C343)*100000))+1)</f>
        <v>0</v>
      </c>
      <c r="L343" s="19" t="str">
        <f aca="false">IF($A343="","",IF($J343=0,"Sem registro anterior",IF($K343&lt;21,"Histórico insuficiente",IF($J343&lt;0.8,"Subcarga",IF($J343&lt;=1.3,"Zona ideal",IF($J343&lt;=1.5,"Atenção","Risco elevado"))))))</f>
        <v/>
      </c>
      <c r="M343" s="20"/>
    </row>
    <row r="344" customFormat="false" ht="15" hidden="false" customHeight="false" outlineLevel="0" collapsed="false">
      <c r="A344" s="21"/>
      <c r="B344" s="33" t="n">
        <f aca="false">IF($A344="",0,INT(($A344-Macrociclo!$C$11)/7)+1)</f>
        <v>0</v>
      </c>
      <c r="C344" s="20"/>
      <c r="D344" s="20"/>
      <c r="E344" s="22"/>
      <c r="F344" s="22"/>
      <c r="G344" s="48" t="n">
        <f aca="false">IF(OR($E344="",$F344=""),0,$E344*$F344)</f>
        <v>0</v>
      </c>
      <c r="H344" s="48" t="n">
        <f aca="false">IF($A344="",0,SUMIFS($G$8:$G$1007,$C$8:$C$1007,$C344,$A$8:$A$1007,"&gt;="&amp;$A344-6,$A$8:$A$1007,"&lt;="&amp;$A344))</f>
        <v>0</v>
      </c>
      <c r="I344" s="48" t="n">
        <f aca="false">IF($A344="",0,SUMIFS($G$8:$G$1007,$C$8:$C$1007,$C344,$A$8:$A$1007,"&gt;="&amp;$A344-27,$A$8:$A$1007,"&lt;="&amp;$A344)/4)</f>
        <v>0</v>
      </c>
      <c r="J344" s="67" t="n">
        <f aca="false">IF(OR($A344="",$I344=0),0,$H344/$I344)</f>
        <v>0</v>
      </c>
      <c r="K344" s="33" t="n">
        <f aca="false">IF($A344="",0,$A344-SUMPRODUCT(MIN(($C$8:$C$1007=$C344)*$A$8:$A$1007+($C$8:$C$1007&lt;&gt;$C344)*100000))+1)</f>
        <v>0</v>
      </c>
      <c r="L344" s="19" t="str">
        <f aca="false">IF($A344="","",IF($J344=0,"Sem registro anterior",IF($K344&lt;21,"Histórico insuficiente",IF($J344&lt;0.8,"Subcarga",IF($J344&lt;=1.3,"Zona ideal",IF($J344&lt;=1.5,"Atenção","Risco elevado"))))))</f>
        <v/>
      </c>
      <c r="M344" s="20"/>
    </row>
    <row r="345" customFormat="false" ht="15" hidden="false" customHeight="false" outlineLevel="0" collapsed="false">
      <c r="A345" s="21"/>
      <c r="B345" s="33" t="n">
        <f aca="false">IF($A345="",0,INT(($A345-Macrociclo!$C$11)/7)+1)</f>
        <v>0</v>
      </c>
      <c r="C345" s="20"/>
      <c r="D345" s="20"/>
      <c r="E345" s="22"/>
      <c r="F345" s="22"/>
      <c r="G345" s="48" t="n">
        <f aca="false">IF(OR($E345="",$F345=""),0,$E345*$F345)</f>
        <v>0</v>
      </c>
      <c r="H345" s="48" t="n">
        <f aca="false">IF($A345="",0,SUMIFS($G$8:$G$1007,$C$8:$C$1007,$C345,$A$8:$A$1007,"&gt;="&amp;$A345-6,$A$8:$A$1007,"&lt;="&amp;$A345))</f>
        <v>0</v>
      </c>
      <c r="I345" s="48" t="n">
        <f aca="false">IF($A345="",0,SUMIFS($G$8:$G$1007,$C$8:$C$1007,$C345,$A$8:$A$1007,"&gt;="&amp;$A345-27,$A$8:$A$1007,"&lt;="&amp;$A345)/4)</f>
        <v>0</v>
      </c>
      <c r="J345" s="67" t="n">
        <f aca="false">IF(OR($A345="",$I345=0),0,$H345/$I345)</f>
        <v>0</v>
      </c>
      <c r="K345" s="33" t="n">
        <f aca="false">IF($A345="",0,$A345-SUMPRODUCT(MIN(($C$8:$C$1007=$C345)*$A$8:$A$1007+($C$8:$C$1007&lt;&gt;$C345)*100000))+1)</f>
        <v>0</v>
      </c>
      <c r="L345" s="19" t="str">
        <f aca="false">IF($A345="","",IF($J345=0,"Sem registro anterior",IF($K345&lt;21,"Histórico insuficiente",IF($J345&lt;0.8,"Subcarga",IF($J345&lt;=1.3,"Zona ideal",IF($J345&lt;=1.5,"Atenção","Risco elevado"))))))</f>
        <v/>
      </c>
      <c r="M345" s="20"/>
    </row>
    <row r="346" customFormat="false" ht="15" hidden="false" customHeight="false" outlineLevel="0" collapsed="false">
      <c r="A346" s="21"/>
      <c r="B346" s="33" t="n">
        <f aca="false">IF($A346="",0,INT(($A346-Macrociclo!$C$11)/7)+1)</f>
        <v>0</v>
      </c>
      <c r="C346" s="20"/>
      <c r="D346" s="20"/>
      <c r="E346" s="22"/>
      <c r="F346" s="22"/>
      <c r="G346" s="48" t="n">
        <f aca="false">IF(OR($E346="",$F346=""),0,$E346*$F346)</f>
        <v>0</v>
      </c>
      <c r="H346" s="48" t="n">
        <f aca="false">IF($A346="",0,SUMIFS($G$8:$G$1007,$C$8:$C$1007,$C346,$A$8:$A$1007,"&gt;="&amp;$A346-6,$A$8:$A$1007,"&lt;="&amp;$A346))</f>
        <v>0</v>
      </c>
      <c r="I346" s="48" t="n">
        <f aca="false">IF($A346="",0,SUMIFS($G$8:$G$1007,$C$8:$C$1007,$C346,$A$8:$A$1007,"&gt;="&amp;$A346-27,$A$8:$A$1007,"&lt;="&amp;$A346)/4)</f>
        <v>0</v>
      </c>
      <c r="J346" s="67" t="n">
        <f aca="false">IF(OR($A346="",$I346=0),0,$H346/$I346)</f>
        <v>0</v>
      </c>
      <c r="K346" s="33" t="n">
        <f aca="false">IF($A346="",0,$A346-SUMPRODUCT(MIN(($C$8:$C$1007=$C346)*$A$8:$A$1007+($C$8:$C$1007&lt;&gt;$C346)*100000))+1)</f>
        <v>0</v>
      </c>
      <c r="L346" s="19" t="str">
        <f aca="false">IF($A346="","",IF($J346=0,"Sem registro anterior",IF($K346&lt;21,"Histórico insuficiente",IF($J346&lt;0.8,"Subcarga",IF($J346&lt;=1.3,"Zona ideal",IF($J346&lt;=1.5,"Atenção","Risco elevado"))))))</f>
        <v/>
      </c>
      <c r="M346" s="20"/>
    </row>
    <row r="347" customFormat="false" ht="15" hidden="false" customHeight="false" outlineLevel="0" collapsed="false">
      <c r="A347" s="21"/>
      <c r="B347" s="33" t="n">
        <f aca="false">IF($A347="",0,INT(($A347-Macrociclo!$C$11)/7)+1)</f>
        <v>0</v>
      </c>
      <c r="C347" s="20"/>
      <c r="D347" s="20"/>
      <c r="E347" s="22"/>
      <c r="F347" s="22"/>
      <c r="G347" s="48" t="n">
        <f aca="false">IF(OR($E347="",$F347=""),0,$E347*$F347)</f>
        <v>0</v>
      </c>
      <c r="H347" s="48" t="n">
        <f aca="false">IF($A347="",0,SUMIFS($G$8:$G$1007,$C$8:$C$1007,$C347,$A$8:$A$1007,"&gt;="&amp;$A347-6,$A$8:$A$1007,"&lt;="&amp;$A347))</f>
        <v>0</v>
      </c>
      <c r="I347" s="48" t="n">
        <f aca="false">IF($A347="",0,SUMIFS($G$8:$G$1007,$C$8:$C$1007,$C347,$A$8:$A$1007,"&gt;="&amp;$A347-27,$A$8:$A$1007,"&lt;="&amp;$A347)/4)</f>
        <v>0</v>
      </c>
      <c r="J347" s="67" t="n">
        <f aca="false">IF(OR($A347="",$I347=0),0,$H347/$I347)</f>
        <v>0</v>
      </c>
      <c r="K347" s="33" t="n">
        <f aca="false">IF($A347="",0,$A347-SUMPRODUCT(MIN(($C$8:$C$1007=$C347)*$A$8:$A$1007+($C$8:$C$1007&lt;&gt;$C347)*100000))+1)</f>
        <v>0</v>
      </c>
      <c r="L347" s="19" t="str">
        <f aca="false">IF($A347="","",IF($J347=0,"Sem registro anterior",IF($K347&lt;21,"Histórico insuficiente",IF($J347&lt;0.8,"Subcarga",IF($J347&lt;=1.3,"Zona ideal",IF($J347&lt;=1.5,"Atenção","Risco elevado"))))))</f>
        <v/>
      </c>
      <c r="M347" s="20"/>
    </row>
    <row r="348" customFormat="false" ht="15" hidden="false" customHeight="false" outlineLevel="0" collapsed="false">
      <c r="A348" s="21"/>
      <c r="B348" s="33" t="n">
        <f aca="false">IF($A348="",0,INT(($A348-Macrociclo!$C$11)/7)+1)</f>
        <v>0</v>
      </c>
      <c r="C348" s="20"/>
      <c r="D348" s="20"/>
      <c r="E348" s="22"/>
      <c r="F348" s="22"/>
      <c r="G348" s="48" t="n">
        <f aca="false">IF(OR($E348="",$F348=""),0,$E348*$F348)</f>
        <v>0</v>
      </c>
      <c r="H348" s="48" t="n">
        <f aca="false">IF($A348="",0,SUMIFS($G$8:$G$1007,$C$8:$C$1007,$C348,$A$8:$A$1007,"&gt;="&amp;$A348-6,$A$8:$A$1007,"&lt;="&amp;$A348))</f>
        <v>0</v>
      </c>
      <c r="I348" s="48" t="n">
        <f aca="false">IF($A348="",0,SUMIFS($G$8:$G$1007,$C$8:$C$1007,$C348,$A$8:$A$1007,"&gt;="&amp;$A348-27,$A$8:$A$1007,"&lt;="&amp;$A348)/4)</f>
        <v>0</v>
      </c>
      <c r="J348" s="67" t="n">
        <f aca="false">IF(OR($A348="",$I348=0),0,$H348/$I348)</f>
        <v>0</v>
      </c>
      <c r="K348" s="33" t="n">
        <f aca="false">IF($A348="",0,$A348-SUMPRODUCT(MIN(($C$8:$C$1007=$C348)*$A$8:$A$1007+($C$8:$C$1007&lt;&gt;$C348)*100000))+1)</f>
        <v>0</v>
      </c>
      <c r="L348" s="19" t="str">
        <f aca="false">IF($A348="","",IF($J348=0,"Sem registro anterior",IF($K348&lt;21,"Histórico insuficiente",IF($J348&lt;0.8,"Subcarga",IF($J348&lt;=1.3,"Zona ideal",IF($J348&lt;=1.5,"Atenção","Risco elevado"))))))</f>
        <v/>
      </c>
      <c r="M348" s="20"/>
    </row>
    <row r="349" customFormat="false" ht="15" hidden="false" customHeight="false" outlineLevel="0" collapsed="false">
      <c r="A349" s="21"/>
      <c r="B349" s="33" t="n">
        <f aca="false">IF($A349="",0,INT(($A349-Macrociclo!$C$11)/7)+1)</f>
        <v>0</v>
      </c>
      <c r="C349" s="20"/>
      <c r="D349" s="20"/>
      <c r="E349" s="22"/>
      <c r="F349" s="22"/>
      <c r="G349" s="48" t="n">
        <f aca="false">IF(OR($E349="",$F349=""),0,$E349*$F349)</f>
        <v>0</v>
      </c>
      <c r="H349" s="48" t="n">
        <f aca="false">IF($A349="",0,SUMIFS($G$8:$G$1007,$C$8:$C$1007,$C349,$A$8:$A$1007,"&gt;="&amp;$A349-6,$A$8:$A$1007,"&lt;="&amp;$A349))</f>
        <v>0</v>
      </c>
      <c r="I349" s="48" t="n">
        <f aca="false">IF($A349="",0,SUMIFS($G$8:$G$1007,$C$8:$C$1007,$C349,$A$8:$A$1007,"&gt;="&amp;$A349-27,$A$8:$A$1007,"&lt;="&amp;$A349)/4)</f>
        <v>0</v>
      </c>
      <c r="J349" s="67" t="n">
        <f aca="false">IF(OR($A349="",$I349=0),0,$H349/$I349)</f>
        <v>0</v>
      </c>
      <c r="K349" s="33" t="n">
        <f aca="false">IF($A349="",0,$A349-SUMPRODUCT(MIN(($C$8:$C$1007=$C349)*$A$8:$A$1007+($C$8:$C$1007&lt;&gt;$C349)*100000))+1)</f>
        <v>0</v>
      </c>
      <c r="L349" s="19" t="str">
        <f aca="false">IF($A349="","",IF($J349=0,"Sem registro anterior",IF($K349&lt;21,"Histórico insuficiente",IF($J349&lt;0.8,"Subcarga",IF($J349&lt;=1.3,"Zona ideal",IF($J349&lt;=1.5,"Atenção","Risco elevado"))))))</f>
        <v/>
      </c>
      <c r="M349" s="20"/>
    </row>
    <row r="350" customFormat="false" ht="15" hidden="false" customHeight="false" outlineLevel="0" collapsed="false">
      <c r="A350" s="21"/>
      <c r="B350" s="33" t="n">
        <f aca="false">IF($A350="",0,INT(($A350-Macrociclo!$C$11)/7)+1)</f>
        <v>0</v>
      </c>
      <c r="C350" s="20"/>
      <c r="D350" s="20"/>
      <c r="E350" s="22"/>
      <c r="F350" s="22"/>
      <c r="G350" s="48" t="n">
        <f aca="false">IF(OR($E350="",$F350=""),0,$E350*$F350)</f>
        <v>0</v>
      </c>
      <c r="H350" s="48" t="n">
        <f aca="false">IF($A350="",0,SUMIFS($G$8:$G$1007,$C$8:$C$1007,$C350,$A$8:$A$1007,"&gt;="&amp;$A350-6,$A$8:$A$1007,"&lt;="&amp;$A350))</f>
        <v>0</v>
      </c>
      <c r="I350" s="48" t="n">
        <f aca="false">IF($A350="",0,SUMIFS($G$8:$G$1007,$C$8:$C$1007,$C350,$A$8:$A$1007,"&gt;="&amp;$A350-27,$A$8:$A$1007,"&lt;="&amp;$A350)/4)</f>
        <v>0</v>
      </c>
      <c r="J350" s="67" t="n">
        <f aca="false">IF(OR($A350="",$I350=0),0,$H350/$I350)</f>
        <v>0</v>
      </c>
      <c r="K350" s="33" t="n">
        <f aca="false">IF($A350="",0,$A350-SUMPRODUCT(MIN(($C$8:$C$1007=$C350)*$A$8:$A$1007+($C$8:$C$1007&lt;&gt;$C350)*100000))+1)</f>
        <v>0</v>
      </c>
      <c r="L350" s="19" t="str">
        <f aca="false">IF($A350="","",IF($J350=0,"Sem registro anterior",IF($K350&lt;21,"Histórico insuficiente",IF($J350&lt;0.8,"Subcarga",IF($J350&lt;=1.3,"Zona ideal",IF($J350&lt;=1.5,"Atenção","Risco elevado"))))))</f>
        <v/>
      </c>
      <c r="M350" s="20"/>
    </row>
    <row r="351" customFormat="false" ht="15" hidden="false" customHeight="false" outlineLevel="0" collapsed="false">
      <c r="A351" s="21"/>
      <c r="B351" s="33" t="n">
        <f aca="false">IF($A351="",0,INT(($A351-Macrociclo!$C$11)/7)+1)</f>
        <v>0</v>
      </c>
      <c r="C351" s="20"/>
      <c r="D351" s="20"/>
      <c r="E351" s="22"/>
      <c r="F351" s="22"/>
      <c r="G351" s="48" t="n">
        <f aca="false">IF(OR($E351="",$F351=""),0,$E351*$F351)</f>
        <v>0</v>
      </c>
      <c r="H351" s="48" t="n">
        <f aca="false">IF($A351="",0,SUMIFS($G$8:$G$1007,$C$8:$C$1007,$C351,$A$8:$A$1007,"&gt;="&amp;$A351-6,$A$8:$A$1007,"&lt;="&amp;$A351))</f>
        <v>0</v>
      </c>
      <c r="I351" s="48" t="n">
        <f aca="false">IF($A351="",0,SUMIFS($G$8:$G$1007,$C$8:$C$1007,$C351,$A$8:$A$1007,"&gt;="&amp;$A351-27,$A$8:$A$1007,"&lt;="&amp;$A351)/4)</f>
        <v>0</v>
      </c>
      <c r="J351" s="67" t="n">
        <f aca="false">IF(OR($A351="",$I351=0),0,$H351/$I351)</f>
        <v>0</v>
      </c>
      <c r="K351" s="33" t="n">
        <f aca="false">IF($A351="",0,$A351-SUMPRODUCT(MIN(($C$8:$C$1007=$C351)*$A$8:$A$1007+($C$8:$C$1007&lt;&gt;$C351)*100000))+1)</f>
        <v>0</v>
      </c>
      <c r="L351" s="19" t="str">
        <f aca="false">IF($A351="","",IF($J351=0,"Sem registro anterior",IF($K351&lt;21,"Histórico insuficiente",IF($J351&lt;0.8,"Subcarga",IF($J351&lt;=1.3,"Zona ideal",IF($J351&lt;=1.5,"Atenção","Risco elevado"))))))</f>
        <v/>
      </c>
      <c r="M351" s="20"/>
    </row>
    <row r="352" customFormat="false" ht="15" hidden="false" customHeight="false" outlineLevel="0" collapsed="false">
      <c r="A352" s="21"/>
      <c r="B352" s="33" t="n">
        <f aca="false">IF($A352="",0,INT(($A352-Macrociclo!$C$11)/7)+1)</f>
        <v>0</v>
      </c>
      <c r="C352" s="20"/>
      <c r="D352" s="20"/>
      <c r="E352" s="22"/>
      <c r="F352" s="22"/>
      <c r="G352" s="48" t="n">
        <f aca="false">IF(OR($E352="",$F352=""),0,$E352*$F352)</f>
        <v>0</v>
      </c>
      <c r="H352" s="48" t="n">
        <f aca="false">IF($A352="",0,SUMIFS($G$8:$G$1007,$C$8:$C$1007,$C352,$A$8:$A$1007,"&gt;="&amp;$A352-6,$A$8:$A$1007,"&lt;="&amp;$A352))</f>
        <v>0</v>
      </c>
      <c r="I352" s="48" t="n">
        <f aca="false">IF($A352="",0,SUMIFS($G$8:$G$1007,$C$8:$C$1007,$C352,$A$8:$A$1007,"&gt;="&amp;$A352-27,$A$8:$A$1007,"&lt;="&amp;$A352)/4)</f>
        <v>0</v>
      </c>
      <c r="J352" s="67" t="n">
        <f aca="false">IF(OR($A352="",$I352=0),0,$H352/$I352)</f>
        <v>0</v>
      </c>
      <c r="K352" s="33" t="n">
        <f aca="false">IF($A352="",0,$A352-SUMPRODUCT(MIN(($C$8:$C$1007=$C352)*$A$8:$A$1007+($C$8:$C$1007&lt;&gt;$C352)*100000))+1)</f>
        <v>0</v>
      </c>
      <c r="L352" s="19" t="str">
        <f aca="false">IF($A352="","",IF($J352=0,"Sem registro anterior",IF($K352&lt;21,"Histórico insuficiente",IF($J352&lt;0.8,"Subcarga",IF($J352&lt;=1.3,"Zona ideal",IF($J352&lt;=1.5,"Atenção","Risco elevado"))))))</f>
        <v/>
      </c>
      <c r="M352" s="20"/>
    </row>
    <row r="353" customFormat="false" ht="15" hidden="false" customHeight="false" outlineLevel="0" collapsed="false">
      <c r="A353" s="21"/>
      <c r="B353" s="33" t="n">
        <f aca="false">IF($A353="",0,INT(($A353-Macrociclo!$C$11)/7)+1)</f>
        <v>0</v>
      </c>
      <c r="C353" s="20"/>
      <c r="D353" s="20"/>
      <c r="E353" s="22"/>
      <c r="F353" s="22"/>
      <c r="G353" s="48" t="n">
        <f aca="false">IF(OR($E353="",$F353=""),0,$E353*$F353)</f>
        <v>0</v>
      </c>
      <c r="H353" s="48" t="n">
        <f aca="false">IF($A353="",0,SUMIFS($G$8:$G$1007,$C$8:$C$1007,$C353,$A$8:$A$1007,"&gt;="&amp;$A353-6,$A$8:$A$1007,"&lt;="&amp;$A353))</f>
        <v>0</v>
      </c>
      <c r="I353" s="48" t="n">
        <f aca="false">IF($A353="",0,SUMIFS($G$8:$G$1007,$C$8:$C$1007,$C353,$A$8:$A$1007,"&gt;="&amp;$A353-27,$A$8:$A$1007,"&lt;="&amp;$A353)/4)</f>
        <v>0</v>
      </c>
      <c r="J353" s="67" t="n">
        <f aca="false">IF(OR($A353="",$I353=0),0,$H353/$I353)</f>
        <v>0</v>
      </c>
      <c r="K353" s="33" t="n">
        <f aca="false">IF($A353="",0,$A353-SUMPRODUCT(MIN(($C$8:$C$1007=$C353)*$A$8:$A$1007+($C$8:$C$1007&lt;&gt;$C353)*100000))+1)</f>
        <v>0</v>
      </c>
      <c r="L353" s="19" t="str">
        <f aca="false">IF($A353="","",IF($J353=0,"Sem registro anterior",IF($K353&lt;21,"Histórico insuficiente",IF($J353&lt;0.8,"Subcarga",IF($J353&lt;=1.3,"Zona ideal",IF($J353&lt;=1.5,"Atenção","Risco elevado"))))))</f>
        <v/>
      </c>
      <c r="M353" s="20"/>
    </row>
    <row r="354" customFormat="false" ht="15" hidden="false" customHeight="false" outlineLevel="0" collapsed="false">
      <c r="A354" s="21"/>
      <c r="B354" s="33" t="n">
        <f aca="false">IF($A354="",0,INT(($A354-Macrociclo!$C$11)/7)+1)</f>
        <v>0</v>
      </c>
      <c r="C354" s="20"/>
      <c r="D354" s="20"/>
      <c r="E354" s="22"/>
      <c r="F354" s="22"/>
      <c r="G354" s="48" t="n">
        <f aca="false">IF(OR($E354="",$F354=""),0,$E354*$F354)</f>
        <v>0</v>
      </c>
      <c r="H354" s="48" t="n">
        <f aca="false">IF($A354="",0,SUMIFS($G$8:$G$1007,$C$8:$C$1007,$C354,$A$8:$A$1007,"&gt;="&amp;$A354-6,$A$8:$A$1007,"&lt;="&amp;$A354))</f>
        <v>0</v>
      </c>
      <c r="I354" s="48" t="n">
        <f aca="false">IF($A354="",0,SUMIFS($G$8:$G$1007,$C$8:$C$1007,$C354,$A$8:$A$1007,"&gt;="&amp;$A354-27,$A$8:$A$1007,"&lt;="&amp;$A354)/4)</f>
        <v>0</v>
      </c>
      <c r="J354" s="67" t="n">
        <f aca="false">IF(OR($A354="",$I354=0),0,$H354/$I354)</f>
        <v>0</v>
      </c>
      <c r="K354" s="33" t="n">
        <f aca="false">IF($A354="",0,$A354-SUMPRODUCT(MIN(($C$8:$C$1007=$C354)*$A$8:$A$1007+($C$8:$C$1007&lt;&gt;$C354)*100000))+1)</f>
        <v>0</v>
      </c>
      <c r="L354" s="19" t="str">
        <f aca="false">IF($A354="","",IF($J354=0,"Sem registro anterior",IF($K354&lt;21,"Histórico insuficiente",IF($J354&lt;0.8,"Subcarga",IF($J354&lt;=1.3,"Zona ideal",IF($J354&lt;=1.5,"Atenção","Risco elevado"))))))</f>
        <v/>
      </c>
      <c r="M354" s="20"/>
    </row>
    <row r="355" customFormat="false" ht="15" hidden="false" customHeight="false" outlineLevel="0" collapsed="false">
      <c r="A355" s="21"/>
      <c r="B355" s="33" t="n">
        <f aca="false">IF($A355="",0,INT(($A355-Macrociclo!$C$11)/7)+1)</f>
        <v>0</v>
      </c>
      <c r="C355" s="20"/>
      <c r="D355" s="20"/>
      <c r="E355" s="22"/>
      <c r="F355" s="22"/>
      <c r="G355" s="48" t="n">
        <f aca="false">IF(OR($E355="",$F355=""),0,$E355*$F355)</f>
        <v>0</v>
      </c>
      <c r="H355" s="48" t="n">
        <f aca="false">IF($A355="",0,SUMIFS($G$8:$G$1007,$C$8:$C$1007,$C355,$A$8:$A$1007,"&gt;="&amp;$A355-6,$A$8:$A$1007,"&lt;="&amp;$A355))</f>
        <v>0</v>
      </c>
      <c r="I355" s="48" t="n">
        <f aca="false">IF($A355="",0,SUMIFS($G$8:$G$1007,$C$8:$C$1007,$C355,$A$8:$A$1007,"&gt;="&amp;$A355-27,$A$8:$A$1007,"&lt;="&amp;$A355)/4)</f>
        <v>0</v>
      </c>
      <c r="J355" s="67" t="n">
        <f aca="false">IF(OR($A355="",$I355=0),0,$H355/$I355)</f>
        <v>0</v>
      </c>
      <c r="K355" s="33" t="n">
        <f aca="false">IF($A355="",0,$A355-SUMPRODUCT(MIN(($C$8:$C$1007=$C355)*$A$8:$A$1007+($C$8:$C$1007&lt;&gt;$C355)*100000))+1)</f>
        <v>0</v>
      </c>
      <c r="L355" s="19" t="str">
        <f aca="false">IF($A355="","",IF($J355=0,"Sem registro anterior",IF($K355&lt;21,"Histórico insuficiente",IF($J355&lt;0.8,"Subcarga",IF($J355&lt;=1.3,"Zona ideal",IF($J355&lt;=1.5,"Atenção","Risco elevado"))))))</f>
        <v/>
      </c>
      <c r="M355" s="20"/>
    </row>
    <row r="356" customFormat="false" ht="15" hidden="false" customHeight="false" outlineLevel="0" collapsed="false">
      <c r="A356" s="21"/>
      <c r="B356" s="33" t="n">
        <f aca="false">IF($A356="",0,INT(($A356-Macrociclo!$C$11)/7)+1)</f>
        <v>0</v>
      </c>
      <c r="C356" s="20"/>
      <c r="D356" s="20"/>
      <c r="E356" s="22"/>
      <c r="F356" s="22"/>
      <c r="G356" s="48" t="n">
        <f aca="false">IF(OR($E356="",$F356=""),0,$E356*$F356)</f>
        <v>0</v>
      </c>
      <c r="H356" s="48" t="n">
        <f aca="false">IF($A356="",0,SUMIFS($G$8:$G$1007,$C$8:$C$1007,$C356,$A$8:$A$1007,"&gt;="&amp;$A356-6,$A$8:$A$1007,"&lt;="&amp;$A356))</f>
        <v>0</v>
      </c>
      <c r="I356" s="48" t="n">
        <f aca="false">IF($A356="",0,SUMIFS($G$8:$G$1007,$C$8:$C$1007,$C356,$A$8:$A$1007,"&gt;="&amp;$A356-27,$A$8:$A$1007,"&lt;="&amp;$A356)/4)</f>
        <v>0</v>
      </c>
      <c r="J356" s="67" t="n">
        <f aca="false">IF(OR($A356="",$I356=0),0,$H356/$I356)</f>
        <v>0</v>
      </c>
      <c r="K356" s="33" t="n">
        <f aca="false">IF($A356="",0,$A356-SUMPRODUCT(MIN(($C$8:$C$1007=$C356)*$A$8:$A$1007+($C$8:$C$1007&lt;&gt;$C356)*100000))+1)</f>
        <v>0</v>
      </c>
      <c r="L356" s="19" t="str">
        <f aca="false">IF($A356="","",IF($J356=0,"Sem registro anterior",IF($K356&lt;21,"Histórico insuficiente",IF($J356&lt;0.8,"Subcarga",IF($J356&lt;=1.3,"Zona ideal",IF($J356&lt;=1.5,"Atenção","Risco elevado"))))))</f>
        <v/>
      </c>
      <c r="M356" s="20"/>
    </row>
    <row r="357" customFormat="false" ht="15" hidden="false" customHeight="false" outlineLevel="0" collapsed="false">
      <c r="A357" s="21"/>
      <c r="B357" s="33" t="n">
        <f aca="false">IF($A357="",0,INT(($A357-Macrociclo!$C$11)/7)+1)</f>
        <v>0</v>
      </c>
      <c r="C357" s="20"/>
      <c r="D357" s="20"/>
      <c r="E357" s="22"/>
      <c r="F357" s="22"/>
      <c r="G357" s="48" t="n">
        <f aca="false">IF(OR($E357="",$F357=""),0,$E357*$F357)</f>
        <v>0</v>
      </c>
      <c r="H357" s="48" t="n">
        <f aca="false">IF($A357="",0,SUMIFS($G$8:$G$1007,$C$8:$C$1007,$C357,$A$8:$A$1007,"&gt;="&amp;$A357-6,$A$8:$A$1007,"&lt;="&amp;$A357))</f>
        <v>0</v>
      </c>
      <c r="I357" s="48" t="n">
        <f aca="false">IF($A357="",0,SUMIFS($G$8:$G$1007,$C$8:$C$1007,$C357,$A$8:$A$1007,"&gt;="&amp;$A357-27,$A$8:$A$1007,"&lt;="&amp;$A357)/4)</f>
        <v>0</v>
      </c>
      <c r="J357" s="67" t="n">
        <f aca="false">IF(OR($A357="",$I357=0),0,$H357/$I357)</f>
        <v>0</v>
      </c>
      <c r="K357" s="33" t="n">
        <f aca="false">IF($A357="",0,$A357-SUMPRODUCT(MIN(($C$8:$C$1007=$C357)*$A$8:$A$1007+($C$8:$C$1007&lt;&gt;$C357)*100000))+1)</f>
        <v>0</v>
      </c>
      <c r="L357" s="19" t="str">
        <f aca="false">IF($A357="","",IF($J357=0,"Sem registro anterior",IF($K357&lt;21,"Histórico insuficiente",IF($J357&lt;0.8,"Subcarga",IF($J357&lt;=1.3,"Zona ideal",IF($J357&lt;=1.5,"Atenção","Risco elevado"))))))</f>
        <v/>
      </c>
      <c r="M357" s="20"/>
    </row>
    <row r="358" customFormat="false" ht="15" hidden="false" customHeight="false" outlineLevel="0" collapsed="false">
      <c r="A358" s="21"/>
      <c r="B358" s="33" t="n">
        <f aca="false">IF($A358="",0,INT(($A358-Macrociclo!$C$11)/7)+1)</f>
        <v>0</v>
      </c>
      <c r="C358" s="20"/>
      <c r="D358" s="20"/>
      <c r="E358" s="22"/>
      <c r="F358" s="22"/>
      <c r="G358" s="48" t="n">
        <f aca="false">IF(OR($E358="",$F358=""),0,$E358*$F358)</f>
        <v>0</v>
      </c>
      <c r="H358" s="48" t="n">
        <f aca="false">IF($A358="",0,SUMIFS($G$8:$G$1007,$C$8:$C$1007,$C358,$A$8:$A$1007,"&gt;="&amp;$A358-6,$A$8:$A$1007,"&lt;="&amp;$A358))</f>
        <v>0</v>
      </c>
      <c r="I358" s="48" t="n">
        <f aca="false">IF($A358="",0,SUMIFS($G$8:$G$1007,$C$8:$C$1007,$C358,$A$8:$A$1007,"&gt;="&amp;$A358-27,$A$8:$A$1007,"&lt;="&amp;$A358)/4)</f>
        <v>0</v>
      </c>
      <c r="J358" s="67" t="n">
        <f aca="false">IF(OR($A358="",$I358=0),0,$H358/$I358)</f>
        <v>0</v>
      </c>
      <c r="K358" s="33" t="n">
        <f aca="false">IF($A358="",0,$A358-SUMPRODUCT(MIN(($C$8:$C$1007=$C358)*$A$8:$A$1007+($C$8:$C$1007&lt;&gt;$C358)*100000))+1)</f>
        <v>0</v>
      </c>
      <c r="L358" s="19" t="str">
        <f aca="false">IF($A358="","",IF($J358=0,"Sem registro anterior",IF($K358&lt;21,"Histórico insuficiente",IF($J358&lt;0.8,"Subcarga",IF($J358&lt;=1.3,"Zona ideal",IF($J358&lt;=1.5,"Atenção","Risco elevado"))))))</f>
        <v/>
      </c>
      <c r="M358" s="20"/>
    </row>
    <row r="359" customFormat="false" ht="15" hidden="false" customHeight="false" outlineLevel="0" collapsed="false">
      <c r="A359" s="21"/>
      <c r="B359" s="33" t="n">
        <f aca="false">IF($A359="",0,INT(($A359-Macrociclo!$C$11)/7)+1)</f>
        <v>0</v>
      </c>
      <c r="C359" s="20"/>
      <c r="D359" s="20"/>
      <c r="E359" s="22"/>
      <c r="F359" s="22"/>
      <c r="G359" s="48" t="n">
        <f aca="false">IF(OR($E359="",$F359=""),0,$E359*$F359)</f>
        <v>0</v>
      </c>
      <c r="H359" s="48" t="n">
        <f aca="false">IF($A359="",0,SUMIFS($G$8:$G$1007,$C$8:$C$1007,$C359,$A$8:$A$1007,"&gt;="&amp;$A359-6,$A$8:$A$1007,"&lt;="&amp;$A359))</f>
        <v>0</v>
      </c>
      <c r="I359" s="48" t="n">
        <f aca="false">IF($A359="",0,SUMIFS($G$8:$G$1007,$C$8:$C$1007,$C359,$A$8:$A$1007,"&gt;="&amp;$A359-27,$A$8:$A$1007,"&lt;="&amp;$A359)/4)</f>
        <v>0</v>
      </c>
      <c r="J359" s="67" t="n">
        <f aca="false">IF(OR($A359="",$I359=0),0,$H359/$I359)</f>
        <v>0</v>
      </c>
      <c r="K359" s="33" t="n">
        <f aca="false">IF($A359="",0,$A359-SUMPRODUCT(MIN(($C$8:$C$1007=$C359)*$A$8:$A$1007+($C$8:$C$1007&lt;&gt;$C359)*100000))+1)</f>
        <v>0</v>
      </c>
      <c r="L359" s="19" t="str">
        <f aca="false">IF($A359="","",IF($J359=0,"Sem registro anterior",IF($K359&lt;21,"Histórico insuficiente",IF($J359&lt;0.8,"Subcarga",IF($J359&lt;=1.3,"Zona ideal",IF($J359&lt;=1.5,"Atenção","Risco elevado"))))))</f>
        <v/>
      </c>
      <c r="M359" s="20"/>
    </row>
    <row r="360" customFormat="false" ht="15" hidden="false" customHeight="false" outlineLevel="0" collapsed="false">
      <c r="A360" s="21"/>
      <c r="B360" s="33" t="n">
        <f aca="false">IF($A360="",0,INT(($A360-Macrociclo!$C$11)/7)+1)</f>
        <v>0</v>
      </c>
      <c r="C360" s="20"/>
      <c r="D360" s="20"/>
      <c r="E360" s="22"/>
      <c r="F360" s="22"/>
      <c r="G360" s="48" t="n">
        <f aca="false">IF(OR($E360="",$F360=""),0,$E360*$F360)</f>
        <v>0</v>
      </c>
      <c r="H360" s="48" t="n">
        <f aca="false">IF($A360="",0,SUMIFS($G$8:$G$1007,$C$8:$C$1007,$C360,$A$8:$A$1007,"&gt;="&amp;$A360-6,$A$8:$A$1007,"&lt;="&amp;$A360))</f>
        <v>0</v>
      </c>
      <c r="I360" s="48" t="n">
        <f aca="false">IF($A360="",0,SUMIFS($G$8:$G$1007,$C$8:$C$1007,$C360,$A$8:$A$1007,"&gt;="&amp;$A360-27,$A$8:$A$1007,"&lt;="&amp;$A360)/4)</f>
        <v>0</v>
      </c>
      <c r="J360" s="67" t="n">
        <f aca="false">IF(OR($A360="",$I360=0),0,$H360/$I360)</f>
        <v>0</v>
      </c>
      <c r="K360" s="33" t="n">
        <f aca="false">IF($A360="",0,$A360-SUMPRODUCT(MIN(($C$8:$C$1007=$C360)*$A$8:$A$1007+($C$8:$C$1007&lt;&gt;$C360)*100000))+1)</f>
        <v>0</v>
      </c>
      <c r="L360" s="19" t="str">
        <f aca="false">IF($A360="","",IF($J360=0,"Sem registro anterior",IF($K360&lt;21,"Histórico insuficiente",IF($J360&lt;0.8,"Subcarga",IF($J360&lt;=1.3,"Zona ideal",IF($J360&lt;=1.5,"Atenção","Risco elevado"))))))</f>
        <v/>
      </c>
      <c r="M360" s="20"/>
    </row>
    <row r="361" customFormat="false" ht="15" hidden="false" customHeight="false" outlineLevel="0" collapsed="false">
      <c r="A361" s="21"/>
      <c r="B361" s="33" t="n">
        <f aca="false">IF($A361="",0,INT(($A361-Macrociclo!$C$11)/7)+1)</f>
        <v>0</v>
      </c>
      <c r="C361" s="20"/>
      <c r="D361" s="20"/>
      <c r="E361" s="22"/>
      <c r="F361" s="22"/>
      <c r="G361" s="48" t="n">
        <f aca="false">IF(OR($E361="",$F361=""),0,$E361*$F361)</f>
        <v>0</v>
      </c>
      <c r="H361" s="48" t="n">
        <f aca="false">IF($A361="",0,SUMIFS($G$8:$G$1007,$C$8:$C$1007,$C361,$A$8:$A$1007,"&gt;="&amp;$A361-6,$A$8:$A$1007,"&lt;="&amp;$A361))</f>
        <v>0</v>
      </c>
      <c r="I361" s="48" t="n">
        <f aca="false">IF($A361="",0,SUMIFS($G$8:$G$1007,$C$8:$C$1007,$C361,$A$8:$A$1007,"&gt;="&amp;$A361-27,$A$8:$A$1007,"&lt;="&amp;$A361)/4)</f>
        <v>0</v>
      </c>
      <c r="J361" s="67" t="n">
        <f aca="false">IF(OR($A361="",$I361=0),0,$H361/$I361)</f>
        <v>0</v>
      </c>
      <c r="K361" s="33" t="n">
        <f aca="false">IF($A361="",0,$A361-SUMPRODUCT(MIN(($C$8:$C$1007=$C361)*$A$8:$A$1007+($C$8:$C$1007&lt;&gt;$C361)*100000))+1)</f>
        <v>0</v>
      </c>
      <c r="L361" s="19" t="str">
        <f aca="false">IF($A361="","",IF($J361=0,"Sem registro anterior",IF($K361&lt;21,"Histórico insuficiente",IF($J361&lt;0.8,"Subcarga",IF($J361&lt;=1.3,"Zona ideal",IF($J361&lt;=1.5,"Atenção","Risco elevado"))))))</f>
        <v/>
      </c>
      <c r="M361" s="20"/>
    </row>
    <row r="362" customFormat="false" ht="15" hidden="false" customHeight="false" outlineLevel="0" collapsed="false">
      <c r="A362" s="21"/>
      <c r="B362" s="33" t="n">
        <f aca="false">IF($A362="",0,INT(($A362-Macrociclo!$C$11)/7)+1)</f>
        <v>0</v>
      </c>
      <c r="C362" s="20"/>
      <c r="D362" s="20"/>
      <c r="E362" s="22"/>
      <c r="F362" s="22"/>
      <c r="G362" s="48" t="n">
        <f aca="false">IF(OR($E362="",$F362=""),0,$E362*$F362)</f>
        <v>0</v>
      </c>
      <c r="H362" s="48" t="n">
        <f aca="false">IF($A362="",0,SUMIFS($G$8:$G$1007,$C$8:$C$1007,$C362,$A$8:$A$1007,"&gt;="&amp;$A362-6,$A$8:$A$1007,"&lt;="&amp;$A362))</f>
        <v>0</v>
      </c>
      <c r="I362" s="48" t="n">
        <f aca="false">IF($A362="",0,SUMIFS($G$8:$G$1007,$C$8:$C$1007,$C362,$A$8:$A$1007,"&gt;="&amp;$A362-27,$A$8:$A$1007,"&lt;="&amp;$A362)/4)</f>
        <v>0</v>
      </c>
      <c r="J362" s="67" t="n">
        <f aca="false">IF(OR($A362="",$I362=0),0,$H362/$I362)</f>
        <v>0</v>
      </c>
      <c r="K362" s="33" t="n">
        <f aca="false">IF($A362="",0,$A362-SUMPRODUCT(MIN(($C$8:$C$1007=$C362)*$A$8:$A$1007+($C$8:$C$1007&lt;&gt;$C362)*100000))+1)</f>
        <v>0</v>
      </c>
      <c r="L362" s="19" t="str">
        <f aca="false">IF($A362="","",IF($J362=0,"Sem registro anterior",IF($K362&lt;21,"Histórico insuficiente",IF($J362&lt;0.8,"Subcarga",IF($J362&lt;=1.3,"Zona ideal",IF($J362&lt;=1.5,"Atenção","Risco elevado"))))))</f>
        <v/>
      </c>
      <c r="M362" s="20"/>
    </row>
    <row r="363" customFormat="false" ht="15" hidden="false" customHeight="false" outlineLevel="0" collapsed="false">
      <c r="A363" s="21"/>
      <c r="B363" s="33" t="n">
        <f aca="false">IF($A363="",0,INT(($A363-Macrociclo!$C$11)/7)+1)</f>
        <v>0</v>
      </c>
      <c r="C363" s="20"/>
      <c r="D363" s="20"/>
      <c r="E363" s="22"/>
      <c r="F363" s="22"/>
      <c r="G363" s="48" t="n">
        <f aca="false">IF(OR($E363="",$F363=""),0,$E363*$F363)</f>
        <v>0</v>
      </c>
      <c r="H363" s="48" t="n">
        <f aca="false">IF($A363="",0,SUMIFS($G$8:$G$1007,$C$8:$C$1007,$C363,$A$8:$A$1007,"&gt;="&amp;$A363-6,$A$8:$A$1007,"&lt;="&amp;$A363))</f>
        <v>0</v>
      </c>
      <c r="I363" s="48" t="n">
        <f aca="false">IF($A363="",0,SUMIFS($G$8:$G$1007,$C$8:$C$1007,$C363,$A$8:$A$1007,"&gt;="&amp;$A363-27,$A$8:$A$1007,"&lt;="&amp;$A363)/4)</f>
        <v>0</v>
      </c>
      <c r="J363" s="67" t="n">
        <f aca="false">IF(OR($A363="",$I363=0),0,$H363/$I363)</f>
        <v>0</v>
      </c>
      <c r="K363" s="33" t="n">
        <f aca="false">IF($A363="",0,$A363-SUMPRODUCT(MIN(($C$8:$C$1007=$C363)*$A$8:$A$1007+($C$8:$C$1007&lt;&gt;$C363)*100000))+1)</f>
        <v>0</v>
      </c>
      <c r="L363" s="19" t="str">
        <f aca="false">IF($A363="","",IF($J363=0,"Sem registro anterior",IF($K363&lt;21,"Histórico insuficiente",IF($J363&lt;0.8,"Subcarga",IF($J363&lt;=1.3,"Zona ideal",IF($J363&lt;=1.5,"Atenção","Risco elevado"))))))</f>
        <v/>
      </c>
      <c r="M363" s="20"/>
    </row>
    <row r="364" customFormat="false" ht="15" hidden="false" customHeight="false" outlineLevel="0" collapsed="false">
      <c r="A364" s="21"/>
      <c r="B364" s="33" t="n">
        <f aca="false">IF($A364="",0,INT(($A364-Macrociclo!$C$11)/7)+1)</f>
        <v>0</v>
      </c>
      <c r="C364" s="20"/>
      <c r="D364" s="20"/>
      <c r="E364" s="22"/>
      <c r="F364" s="22"/>
      <c r="G364" s="48" t="n">
        <f aca="false">IF(OR($E364="",$F364=""),0,$E364*$F364)</f>
        <v>0</v>
      </c>
      <c r="H364" s="48" t="n">
        <f aca="false">IF($A364="",0,SUMIFS($G$8:$G$1007,$C$8:$C$1007,$C364,$A$8:$A$1007,"&gt;="&amp;$A364-6,$A$8:$A$1007,"&lt;="&amp;$A364))</f>
        <v>0</v>
      </c>
      <c r="I364" s="48" t="n">
        <f aca="false">IF($A364="",0,SUMIFS($G$8:$G$1007,$C$8:$C$1007,$C364,$A$8:$A$1007,"&gt;="&amp;$A364-27,$A$8:$A$1007,"&lt;="&amp;$A364)/4)</f>
        <v>0</v>
      </c>
      <c r="J364" s="67" t="n">
        <f aca="false">IF(OR($A364="",$I364=0),0,$H364/$I364)</f>
        <v>0</v>
      </c>
      <c r="K364" s="33" t="n">
        <f aca="false">IF($A364="",0,$A364-SUMPRODUCT(MIN(($C$8:$C$1007=$C364)*$A$8:$A$1007+($C$8:$C$1007&lt;&gt;$C364)*100000))+1)</f>
        <v>0</v>
      </c>
      <c r="L364" s="19" t="str">
        <f aca="false">IF($A364="","",IF($J364=0,"Sem registro anterior",IF($K364&lt;21,"Histórico insuficiente",IF($J364&lt;0.8,"Subcarga",IF($J364&lt;=1.3,"Zona ideal",IF($J364&lt;=1.5,"Atenção","Risco elevado"))))))</f>
        <v/>
      </c>
      <c r="M364" s="20"/>
    </row>
    <row r="365" customFormat="false" ht="15" hidden="false" customHeight="false" outlineLevel="0" collapsed="false">
      <c r="A365" s="21"/>
      <c r="B365" s="33" t="n">
        <f aca="false">IF($A365="",0,INT(($A365-Macrociclo!$C$11)/7)+1)</f>
        <v>0</v>
      </c>
      <c r="C365" s="20"/>
      <c r="D365" s="20"/>
      <c r="E365" s="22"/>
      <c r="F365" s="22"/>
      <c r="G365" s="48" t="n">
        <f aca="false">IF(OR($E365="",$F365=""),0,$E365*$F365)</f>
        <v>0</v>
      </c>
      <c r="H365" s="48" t="n">
        <f aca="false">IF($A365="",0,SUMIFS($G$8:$G$1007,$C$8:$C$1007,$C365,$A$8:$A$1007,"&gt;="&amp;$A365-6,$A$8:$A$1007,"&lt;="&amp;$A365))</f>
        <v>0</v>
      </c>
      <c r="I365" s="48" t="n">
        <f aca="false">IF($A365="",0,SUMIFS($G$8:$G$1007,$C$8:$C$1007,$C365,$A$8:$A$1007,"&gt;="&amp;$A365-27,$A$8:$A$1007,"&lt;="&amp;$A365)/4)</f>
        <v>0</v>
      </c>
      <c r="J365" s="67" t="n">
        <f aca="false">IF(OR($A365="",$I365=0),0,$H365/$I365)</f>
        <v>0</v>
      </c>
      <c r="K365" s="33" t="n">
        <f aca="false">IF($A365="",0,$A365-SUMPRODUCT(MIN(($C$8:$C$1007=$C365)*$A$8:$A$1007+($C$8:$C$1007&lt;&gt;$C365)*100000))+1)</f>
        <v>0</v>
      </c>
      <c r="L365" s="19" t="str">
        <f aca="false">IF($A365="","",IF($J365=0,"Sem registro anterior",IF($K365&lt;21,"Histórico insuficiente",IF($J365&lt;0.8,"Subcarga",IF($J365&lt;=1.3,"Zona ideal",IF($J365&lt;=1.5,"Atenção","Risco elevado"))))))</f>
        <v/>
      </c>
      <c r="M365" s="20"/>
    </row>
    <row r="366" customFormat="false" ht="15" hidden="false" customHeight="false" outlineLevel="0" collapsed="false">
      <c r="A366" s="21"/>
      <c r="B366" s="33" t="n">
        <f aca="false">IF($A366="",0,INT(($A366-Macrociclo!$C$11)/7)+1)</f>
        <v>0</v>
      </c>
      <c r="C366" s="20"/>
      <c r="D366" s="20"/>
      <c r="E366" s="22"/>
      <c r="F366" s="22"/>
      <c r="G366" s="48" t="n">
        <f aca="false">IF(OR($E366="",$F366=""),0,$E366*$F366)</f>
        <v>0</v>
      </c>
      <c r="H366" s="48" t="n">
        <f aca="false">IF($A366="",0,SUMIFS($G$8:$G$1007,$C$8:$C$1007,$C366,$A$8:$A$1007,"&gt;="&amp;$A366-6,$A$8:$A$1007,"&lt;="&amp;$A366))</f>
        <v>0</v>
      </c>
      <c r="I366" s="48" t="n">
        <f aca="false">IF($A366="",0,SUMIFS($G$8:$G$1007,$C$8:$C$1007,$C366,$A$8:$A$1007,"&gt;="&amp;$A366-27,$A$8:$A$1007,"&lt;="&amp;$A366)/4)</f>
        <v>0</v>
      </c>
      <c r="J366" s="67" t="n">
        <f aca="false">IF(OR($A366="",$I366=0),0,$H366/$I366)</f>
        <v>0</v>
      </c>
      <c r="K366" s="33" t="n">
        <f aca="false">IF($A366="",0,$A366-SUMPRODUCT(MIN(($C$8:$C$1007=$C366)*$A$8:$A$1007+($C$8:$C$1007&lt;&gt;$C366)*100000))+1)</f>
        <v>0</v>
      </c>
      <c r="L366" s="19" t="str">
        <f aca="false">IF($A366="","",IF($J366=0,"Sem registro anterior",IF($K366&lt;21,"Histórico insuficiente",IF($J366&lt;0.8,"Subcarga",IF($J366&lt;=1.3,"Zona ideal",IF($J366&lt;=1.5,"Atenção","Risco elevado"))))))</f>
        <v/>
      </c>
      <c r="M366" s="20"/>
    </row>
    <row r="367" customFormat="false" ht="15" hidden="false" customHeight="false" outlineLevel="0" collapsed="false">
      <c r="A367" s="21"/>
      <c r="B367" s="33" t="n">
        <f aca="false">IF($A367="",0,INT(($A367-Macrociclo!$C$11)/7)+1)</f>
        <v>0</v>
      </c>
      <c r="C367" s="20"/>
      <c r="D367" s="20"/>
      <c r="E367" s="22"/>
      <c r="F367" s="22"/>
      <c r="G367" s="48" t="n">
        <f aca="false">IF(OR($E367="",$F367=""),0,$E367*$F367)</f>
        <v>0</v>
      </c>
      <c r="H367" s="48" t="n">
        <f aca="false">IF($A367="",0,SUMIFS($G$8:$G$1007,$C$8:$C$1007,$C367,$A$8:$A$1007,"&gt;="&amp;$A367-6,$A$8:$A$1007,"&lt;="&amp;$A367))</f>
        <v>0</v>
      </c>
      <c r="I367" s="48" t="n">
        <f aca="false">IF($A367="",0,SUMIFS($G$8:$G$1007,$C$8:$C$1007,$C367,$A$8:$A$1007,"&gt;="&amp;$A367-27,$A$8:$A$1007,"&lt;="&amp;$A367)/4)</f>
        <v>0</v>
      </c>
      <c r="J367" s="67" t="n">
        <f aca="false">IF(OR($A367="",$I367=0),0,$H367/$I367)</f>
        <v>0</v>
      </c>
      <c r="K367" s="33" t="n">
        <f aca="false">IF($A367="",0,$A367-SUMPRODUCT(MIN(($C$8:$C$1007=$C367)*$A$8:$A$1007+($C$8:$C$1007&lt;&gt;$C367)*100000))+1)</f>
        <v>0</v>
      </c>
      <c r="L367" s="19" t="str">
        <f aca="false">IF($A367="","",IF($J367=0,"Sem registro anterior",IF($K367&lt;21,"Histórico insuficiente",IF($J367&lt;0.8,"Subcarga",IF($J367&lt;=1.3,"Zona ideal",IF($J367&lt;=1.5,"Atenção","Risco elevado"))))))</f>
        <v/>
      </c>
      <c r="M367" s="20"/>
    </row>
    <row r="368" customFormat="false" ht="15" hidden="false" customHeight="false" outlineLevel="0" collapsed="false">
      <c r="A368" s="21"/>
      <c r="B368" s="33" t="n">
        <f aca="false">IF($A368="",0,INT(($A368-Macrociclo!$C$11)/7)+1)</f>
        <v>0</v>
      </c>
      <c r="C368" s="20"/>
      <c r="D368" s="20"/>
      <c r="E368" s="22"/>
      <c r="F368" s="22"/>
      <c r="G368" s="48" t="n">
        <f aca="false">IF(OR($E368="",$F368=""),0,$E368*$F368)</f>
        <v>0</v>
      </c>
      <c r="H368" s="48" t="n">
        <f aca="false">IF($A368="",0,SUMIFS($G$8:$G$1007,$C$8:$C$1007,$C368,$A$8:$A$1007,"&gt;="&amp;$A368-6,$A$8:$A$1007,"&lt;="&amp;$A368))</f>
        <v>0</v>
      </c>
      <c r="I368" s="48" t="n">
        <f aca="false">IF($A368="",0,SUMIFS($G$8:$G$1007,$C$8:$C$1007,$C368,$A$8:$A$1007,"&gt;="&amp;$A368-27,$A$8:$A$1007,"&lt;="&amp;$A368)/4)</f>
        <v>0</v>
      </c>
      <c r="J368" s="67" t="n">
        <f aca="false">IF(OR($A368="",$I368=0),0,$H368/$I368)</f>
        <v>0</v>
      </c>
      <c r="K368" s="33" t="n">
        <f aca="false">IF($A368="",0,$A368-SUMPRODUCT(MIN(($C$8:$C$1007=$C368)*$A$8:$A$1007+($C$8:$C$1007&lt;&gt;$C368)*100000))+1)</f>
        <v>0</v>
      </c>
      <c r="L368" s="19" t="str">
        <f aca="false">IF($A368="","",IF($J368=0,"Sem registro anterior",IF($K368&lt;21,"Histórico insuficiente",IF($J368&lt;0.8,"Subcarga",IF($J368&lt;=1.3,"Zona ideal",IF($J368&lt;=1.5,"Atenção","Risco elevado"))))))</f>
        <v/>
      </c>
      <c r="M368" s="20"/>
    </row>
    <row r="369" customFormat="false" ht="15" hidden="false" customHeight="false" outlineLevel="0" collapsed="false">
      <c r="A369" s="21"/>
      <c r="B369" s="33" t="n">
        <f aca="false">IF($A369="",0,INT(($A369-Macrociclo!$C$11)/7)+1)</f>
        <v>0</v>
      </c>
      <c r="C369" s="20"/>
      <c r="D369" s="20"/>
      <c r="E369" s="22"/>
      <c r="F369" s="22"/>
      <c r="G369" s="48" t="n">
        <f aca="false">IF(OR($E369="",$F369=""),0,$E369*$F369)</f>
        <v>0</v>
      </c>
      <c r="H369" s="48" t="n">
        <f aca="false">IF($A369="",0,SUMIFS($G$8:$G$1007,$C$8:$C$1007,$C369,$A$8:$A$1007,"&gt;="&amp;$A369-6,$A$8:$A$1007,"&lt;="&amp;$A369))</f>
        <v>0</v>
      </c>
      <c r="I369" s="48" t="n">
        <f aca="false">IF($A369="",0,SUMIFS($G$8:$G$1007,$C$8:$C$1007,$C369,$A$8:$A$1007,"&gt;="&amp;$A369-27,$A$8:$A$1007,"&lt;="&amp;$A369)/4)</f>
        <v>0</v>
      </c>
      <c r="J369" s="67" t="n">
        <f aca="false">IF(OR($A369="",$I369=0),0,$H369/$I369)</f>
        <v>0</v>
      </c>
      <c r="K369" s="33" t="n">
        <f aca="false">IF($A369="",0,$A369-SUMPRODUCT(MIN(($C$8:$C$1007=$C369)*$A$8:$A$1007+($C$8:$C$1007&lt;&gt;$C369)*100000))+1)</f>
        <v>0</v>
      </c>
      <c r="L369" s="19" t="str">
        <f aca="false">IF($A369="","",IF($J369=0,"Sem registro anterior",IF($K369&lt;21,"Histórico insuficiente",IF($J369&lt;0.8,"Subcarga",IF($J369&lt;=1.3,"Zona ideal",IF($J369&lt;=1.5,"Atenção","Risco elevado"))))))</f>
        <v/>
      </c>
      <c r="M369" s="20"/>
    </row>
    <row r="370" customFormat="false" ht="15" hidden="false" customHeight="false" outlineLevel="0" collapsed="false">
      <c r="A370" s="21"/>
      <c r="B370" s="33" t="n">
        <f aca="false">IF($A370="",0,INT(($A370-Macrociclo!$C$11)/7)+1)</f>
        <v>0</v>
      </c>
      <c r="C370" s="20"/>
      <c r="D370" s="20"/>
      <c r="E370" s="22"/>
      <c r="F370" s="22"/>
      <c r="G370" s="48" t="n">
        <f aca="false">IF(OR($E370="",$F370=""),0,$E370*$F370)</f>
        <v>0</v>
      </c>
      <c r="H370" s="48" t="n">
        <f aca="false">IF($A370="",0,SUMIFS($G$8:$G$1007,$C$8:$C$1007,$C370,$A$8:$A$1007,"&gt;="&amp;$A370-6,$A$8:$A$1007,"&lt;="&amp;$A370))</f>
        <v>0</v>
      </c>
      <c r="I370" s="48" t="n">
        <f aca="false">IF($A370="",0,SUMIFS($G$8:$G$1007,$C$8:$C$1007,$C370,$A$8:$A$1007,"&gt;="&amp;$A370-27,$A$8:$A$1007,"&lt;="&amp;$A370)/4)</f>
        <v>0</v>
      </c>
      <c r="J370" s="67" t="n">
        <f aca="false">IF(OR($A370="",$I370=0),0,$H370/$I370)</f>
        <v>0</v>
      </c>
      <c r="K370" s="33" t="n">
        <f aca="false">IF($A370="",0,$A370-SUMPRODUCT(MIN(($C$8:$C$1007=$C370)*$A$8:$A$1007+($C$8:$C$1007&lt;&gt;$C370)*100000))+1)</f>
        <v>0</v>
      </c>
      <c r="L370" s="19" t="str">
        <f aca="false">IF($A370="","",IF($J370=0,"Sem registro anterior",IF($K370&lt;21,"Histórico insuficiente",IF($J370&lt;0.8,"Subcarga",IF($J370&lt;=1.3,"Zona ideal",IF($J370&lt;=1.5,"Atenção","Risco elevado"))))))</f>
        <v/>
      </c>
      <c r="M370" s="20"/>
    </row>
    <row r="371" customFormat="false" ht="15" hidden="false" customHeight="false" outlineLevel="0" collapsed="false">
      <c r="A371" s="21"/>
      <c r="B371" s="33" t="n">
        <f aca="false">IF($A371="",0,INT(($A371-Macrociclo!$C$11)/7)+1)</f>
        <v>0</v>
      </c>
      <c r="C371" s="20"/>
      <c r="D371" s="20"/>
      <c r="E371" s="22"/>
      <c r="F371" s="22"/>
      <c r="G371" s="48" t="n">
        <f aca="false">IF(OR($E371="",$F371=""),0,$E371*$F371)</f>
        <v>0</v>
      </c>
      <c r="H371" s="48" t="n">
        <f aca="false">IF($A371="",0,SUMIFS($G$8:$G$1007,$C$8:$C$1007,$C371,$A$8:$A$1007,"&gt;="&amp;$A371-6,$A$8:$A$1007,"&lt;="&amp;$A371))</f>
        <v>0</v>
      </c>
      <c r="I371" s="48" t="n">
        <f aca="false">IF($A371="",0,SUMIFS($G$8:$G$1007,$C$8:$C$1007,$C371,$A$8:$A$1007,"&gt;="&amp;$A371-27,$A$8:$A$1007,"&lt;="&amp;$A371)/4)</f>
        <v>0</v>
      </c>
      <c r="J371" s="67" t="n">
        <f aca="false">IF(OR($A371="",$I371=0),0,$H371/$I371)</f>
        <v>0</v>
      </c>
      <c r="K371" s="33" t="n">
        <f aca="false">IF($A371="",0,$A371-SUMPRODUCT(MIN(($C$8:$C$1007=$C371)*$A$8:$A$1007+($C$8:$C$1007&lt;&gt;$C371)*100000))+1)</f>
        <v>0</v>
      </c>
      <c r="L371" s="19" t="str">
        <f aca="false">IF($A371="","",IF($J371=0,"Sem registro anterior",IF($K371&lt;21,"Histórico insuficiente",IF($J371&lt;0.8,"Subcarga",IF($J371&lt;=1.3,"Zona ideal",IF($J371&lt;=1.5,"Atenção","Risco elevado"))))))</f>
        <v/>
      </c>
      <c r="M371" s="20"/>
    </row>
    <row r="372" customFormat="false" ht="15" hidden="false" customHeight="false" outlineLevel="0" collapsed="false">
      <c r="A372" s="21"/>
      <c r="B372" s="33" t="n">
        <f aca="false">IF($A372="",0,INT(($A372-Macrociclo!$C$11)/7)+1)</f>
        <v>0</v>
      </c>
      <c r="C372" s="20"/>
      <c r="D372" s="20"/>
      <c r="E372" s="22"/>
      <c r="F372" s="22"/>
      <c r="G372" s="48" t="n">
        <f aca="false">IF(OR($E372="",$F372=""),0,$E372*$F372)</f>
        <v>0</v>
      </c>
      <c r="H372" s="48" t="n">
        <f aca="false">IF($A372="",0,SUMIFS($G$8:$G$1007,$C$8:$C$1007,$C372,$A$8:$A$1007,"&gt;="&amp;$A372-6,$A$8:$A$1007,"&lt;="&amp;$A372))</f>
        <v>0</v>
      </c>
      <c r="I372" s="48" t="n">
        <f aca="false">IF($A372="",0,SUMIFS($G$8:$G$1007,$C$8:$C$1007,$C372,$A$8:$A$1007,"&gt;="&amp;$A372-27,$A$8:$A$1007,"&lt;="&amp;$A372)/4)</f>
        <v>0</v>
      </c>
      <c r="J372" s="67" t="n">
        <f aca="false">IF(OR($A372="",$I372=0),0,$H372/$I372)</f>
        <v>0</v>
      </c>
      <c r="K372" s="33" t="n">
        <f aca="false">IF($A372="",0,$A372-SUMPRODUCT(MIN(($C$8:$C$1007=$C372)*$A$8:$A$1007+($C$8:$C$1007&lt;&gt;$C372)*100000))+1)</f>
        <v>0</v>
      </c>
      <c r="L372" s="19" t="str">
        <f aca="false">IF($A372="","",IF($J372=0,"Sem registro anterior",IF($K372&lt;21,"Histórico insuficiente",IF($J372&lt;0.8,"Subcarga",IF($J372&lt;=1.3,"Zona ideal",IF($J372&lt;=1.5,"Atenção","Risco elevado"))))))</f>
        <v/>
      </c>
      <c r="M372" s="20"/>
    </row>
    <row r="373" customFormat="false" ht="15" hidden="false" customHeight="false" outlineLevel="0" collapsed="false">
      <c r="A373" s="21"/>
      <c r="B373" s="33" t="n">
        <f aca="false">IF($A373="",0,INT(($A373-Macrociclo!$C$11)/7)+1)</f>
        <v>0</v>
      </c>
      <c r="C373" s="20"/>
      <c r="D373" s="20"/>
      <c r="E373" s="22"/>
      <c r="F373" s="22"/>
      <c r="G373" s="48" t="n">
        <f aca="false">IF(OR($E373="",$F373=""),0,$E373*$F373)</f>
        <v>0</v>
      </c>
      <c r="H373" s="48" t="n">
        <f aca="false">IF($A373="",0,SUMIFS($G$8:$G$1007,$C$8:$C$1007,$C373,$A$8:$A$1007,"&gt;="&amp;$A373-6,$A$8:$A$1007,"&lt;="&amp;$A373))</f>
        <v>0</v>
      </c>
      <c r="I373" s="48" t="n">
        <f aca="false">IF($A373="",0,SUMIFS($G$8:$G$1007,$C$8:$C$1007,$C373,$A$8:$A$1007,"&gt;="&amp;$A373-27,$A$8:$A$1007,"&lt;="&amp;$A373)/4)</f>
        <v>0</v>
      </c>
      <c r="J373" s="67" t="n">
        <f aca="false">IF(OR($A373="",$I373=0),0,$H373/$I373)</f>
        <v>0</v>
      </c>
      <c r="K373" s="33" t="n">
        <f aca="false">IF($A373="",0,$A373-SUMPRODUCT(MIN(($C$8:$C$1007=$C373)*$A$8:$A$1007+($C$8:$C$1007&lt;&gt;$C373)*100000))+1)</f>
        <v>0</v>
      </c>
      <c r="L373" s="19" t="str">
        <f aca="false">IF($A373="","",IF($J373=0,"Sem registro anterior",IF($K373&lt;21,"Histórico insuficiente",IF($J373&lt;0.8,"Subcarga",IF($J373&lt;=1.3,"Zona ideal",IF($J373&lt;=1.5,"Atenção","Risco elevado"))))))</f>
        <v/>
      </c>
      <c r="M373" s="20"/>
    </row>
    <row r="374" customFormat="false" ht="15" hidden="false" customHeight="false" outlineLevel="0" collapsed="false">
      <c r="A374" s="21"/>
      <c r="B374" s="33" t="n">
        <f aca="false">IF($A374="",0,INT(($A374-Macrociclo!$C$11)/7)+1)</f>
        <v>0</v>
      </c>
      <c r="C374" s="20"/>
      <c r="D374" s="20"/>
      <c r="E374" s="22"/>
      <c r="F374" s="22"/>
      <c r="G374" s="48" t="n">
        <f aca="false">IF(OR($E374="",$F374=""),0,$E374*$F374)</f>
        <v>0</v>
      </c>
      <c r="H374" s="48" t="n">
        <f aca="false">IF($A374="",0,SUMIFS($G$8:$G$1007,$C$8:$C$1007,$C374,$A$8:$A$1007,"&gt;="&amp;$A374-6,$A$8:$A$1007,"&lt;="&amp;$A374))</f>
        <v>0</v>
      </c>
      <c r="I374" s="48" t="n">
        <f aca="false">IF($A374="",0,SUMIFS($G$8:$G$1007,$C$8:$C$1007,$C374,$A$8:$A$1007,"&gt;="&amp;$A374-27,$A$8:$A$1007,"&lt;="&amp;$A374)/4)</f>
        <v>0</v>
      </c>
      <c r="J374" s="67" t="n">
        <f aca="false">IF(OR($A374="",$I374=0),0,$H374/$I374)</f>
        <v>0</v>
      </c>
      <c r="K374" s="33" t="n">
        <f aca="false">IF($A374="",0,$A374-SUMPRODUCT(MIN(($C$8:$C$1007=$C374)*$A$8:$A$1007+($C$8:$C$1007&lt;&gt;$C374)*100000))+1)</f>
        <v>0</v>
      </c>
      <c r="L374" s="19" t="str">
        <f aca="false">IF($A374="","",IF($J374=0,"Sem registro anterior",IF($K374&lt;21,"Histórico insuficiente",IF($J374&lt;0.8,"Subcarga",IF($J374&lt;=1.3,"Zona ideal",IF($J374&lt;=1.5,"Atenção","Risco elevado"))))))</f>
        <v/>
      </c>
      <c r="M374" s="20"/>
    </row>
    <row r="375" customFormat="false" ht="15" hidden="false" customHeight="false" outlineLevel="0" collapsed="false">
      <c r="A375" s="21"/>
      <c r="B375" s="33" t="n">
        <f aca="false">IF($A375="",0,INT(($A375-Macrociclo!$C$11)/7)+1)</f>
        <v>0</v>
      </c>
      <c r="C375" s="20"/>
      <c r="D375" s="20"/>
      <c r="E375" s="22"/>
      <c r="F375" s="22"/>
      <c r="G375" s="48" t="n">
        <f aca="false">IF(OR($E375="",$F375=""),0,$E375*$F375)</f>
        <v>0</v>
      </c>
      <c r="H375" s="48" t="n">
        <f aca="false">IF($A375="",0,SUMIFS($G$8:$G$1007,$C$8:$C$1007,$C375,$A$8:$A$1007,"&gt;="&amp;$A375-6,$A$8:$A$1007,"&lt;="&amp;$A375))</f>
        <v>0</v>
      </c>
      <c r="I375" s="48" t="n">
        <f aca="false">IF($A375="",0,SUMIFS($G$8:$G$1007,$C$8:$C$1007,$C375,$A$8:$A$1007,"&gt;="&amp;$A375-27,$A$8:$A$1007,"&lt;="&amp;$A375)/4)</f>
        <v>0</v>
      </c>
      <c r="J375" s="67" t="n">
        <f aca="false">IF(OR($A375="",$I375=0),0,$H375/$I375)</f>
        <v>0</v>
      </c>
      <c r="K375" s="33" t="n">
        <f aca="false">IF($A375="",0,$A375-SUMPRODUCT(MIN(($C$8:$C$1007=$C375)*$A$8:$A$1007+($C$8:$C$1007&lt;&gt;$C375)*100000))+1)</f>
        <v>0</v>
      </c>
      <c r="L375" s="19" t="str">
        <f aca="false">IF($A375="","",IF($J375=0,"Sem registro anterior",IF($K375&lt;21,"Histórico insuficiente",IF($J375&lt;0.8,"Subcarga",IF($J375&lt;=1.3,"Zona ideal",IF($J375&lt;=1.5,"Atenção","Risco elevado"))))))</f>
        <v/>
      </c>
      <c r="M375" s="20"/>
    </row>
    <row r="376" customFormat="false" ht="15" hidden="false" customHeight="false" outlineLevel="0" collapsed="false">
      <c r="A376" s="21"/>
      <c r="B376" s="33" t="n">
        <f aca="false">IF($A376="",0,INT(($A376-Macrociclo!$C$11)/7)+1)</f>
        <v>0</v>
      </c>
      <c r="C376" s="20"/>
      <c r="D376" s="20"/>
      <c r="E376" s="22"/>
      <c r="F376" s="22"/>
      <c r="G376" s="48" t="n">
        <f aca="false">IF(OR($E376="",$F376=""),0,$E376*$F376)</f>
        <v>0</v>
      </c>
      <c r="H376" s="48" t="n">
        <f aca="false">IF($A376="",0,SUMIFS($G$8:$G$1007,$C$8:$C$1007,$C376,$A$8:$A$1007,"&gt;="&amp;$A376-6,$A$8:$A$1007,"&lt;="&amp;$A376))</f>
        <v>0</v>
      </c>
      <c r="I376" s="48" t="n">
        <f aca="false">IF($A376="",0,SUMIFS($G$8:$G$1007,$C$8:$C$1007,$C376,$A$8:$A$1007,"&gt;="&amp;$A376-27,$A$8:$A$1007,"&lt;="&amp;$A376)/4)</f>
        <v>0</v>
      </c>
      <c r="J376" s="67" t="n">
        <f aca="false">IF(OR($A376="",$I376=0),0,$H376/$I376)</f>
        <v>0</v>
      </c>
      <c r="K376" s="33" t="n">
        <f aca="false">IF($A376="",0,$A376-SUMPRODUCT(MIN(($C$8:$C$1007=$C376)*$A$8:$A$1007+($C$8:$C$1007&lt;&gt;$C376)*100000))+1)</f>
        <v>0</v>
      </c>
      <c r="L376" s="19" t="str">
        <f aca="false">IF($A376="","",IF($J376=0,"Sem registro anterior",IF($K376&lt;21,"Histórico insuficiente",IF($J376&lt;0.8,"Subcarga",IF($J376&lt;=1.3,"Zona ideal",IF($J376&lt;=1.5,"Atenção","Risco elevado"))))))</f>
        <v/>
      </c>
      <c r="M376" s="20"/>
    </row>
    <row r="377" customFormat="false" ht="15" hidden="false" customHeight="false" outlineLevel="0" collapsed="false">
      <c r="A377" s="21"/>
      <c r="B377" s="33" t="n">
        <f aca="false">IF($A377="",0,INT(($A377-Macrociclo!$C$11)/7)+1)</f>
        <v>0</v>
      </c>
      <c r="C377" s="20"/>
      <c r="D377" s="20"/>
      <c r="E377" s="22"/>
      <c r="F377" s="22"/>
      <c r="G377" s="48" t="n">
        <f aca="false">IF(OR($E377="",$F377=""),0,$E377*$F377)</f>
        <v>0</v>
      </c>
      <c r="H377" s="48" t="n">
        <f aca="false">IF($A377="",0,SUMIFS($G$8:$G$1007,$C$8:$C$1007,$C377,$A$8:$A$1007,"&gt;="&amp;$A377-6,$A$8:$A$1007,"&lt;="&amp;$A377))</f>
        <v>0</v>
      </c>
      <c r="I377" s="48" t="n">
        <f aca="false">IF($A377="",0,SUMIFS($G$8:$G$1007,$C$8:$C$1007,$C377,$A$8:$A$1007,"&gt;="&amp;$A377-27,$A$8:$A$1007,"&lt;="&amp;$A377)/4)</f>
        <v>0</v>
      </c>
      <c r="J377" s="67" t="n">
        <f aca="false">IF(OR($A377="",$I377=0),0,$H377/$I377)</f>
        <v>0</v>
      </c>
      <c r="K377" s="33" t="n">
        <f aca="false">IF($A377="",0,$A377-SUMPRODUCT(MIN(($C$8:$C$1007=$C377)*$A$8:$A$1007+($C$8:$C$1007&lt;&gt;$C377)*100000))+1)</f>
        <v>0</v>
      </c>
      <c r="L377" s="19" t="str">
        <f aca="false">IF($A377="","",IF($J377=0,"Sem registro anterior",IF($K377&lt;21,"Histórico insuficiente",IF($J377&lt;0.8,"Subcarga",IF($J377&lt;=1.3,"Zona ideal",IF($J377&lt;=1.5,"Atenção","Risco elevado"))))))</f>
        <v/>
      </c>
      <c r="M377" s="20"/>
    </row>
    <row r="378" customFormat="false" ht="15" hidden="false" customHeight="false" outlineLevel="0" collapsed="false">
      <c r="A378" s="21"/>
      <c r="B378" s="33" t="n">
        <f aca="false">IF($A378="",0,INT(($A378-Macrociclo!$C$11)/7)+1)</f>
        <v>0</v>
      </c>
      <c r="C378" s="20"/>
      <c r="D378" s="20"/>
      <c r="E378" s="22"/>
      <c r="F378" s="22"/>
      <c r="G378" s="48" t="n">
        <f aca="false">IF(OR($E378="",$F378=""),0,$E378*$F378)</f>
        <v>0</v>
      </c>
      <c r="H378" s="48" t="n">
        <f aca="false">IF($A378="",0,SUMIFS($G$8:$G$1007,$C$8:$C$1007,$C378,$A$8:$A$1007,"&gt;="&amp;$A378-6,$A$8:$A$1007,"&lt;="&amp;$A378))</f>
        <v>0</v>
      </c>
      <c r="I378" s="48" t="n">
        <f aca="false">IF($A378="",0,SUMIFS($G$8:$G$1007,$C$8:$C$1007,$C378,$A$8:$A$1007,"&gt;="&amp;$A378-27,$A$8:$A$1007,"&lt;="&amp;$A378)/4)</f>
        <v>0</v>
      </c>
      <c r="J378" s="67" t="n">
        <f aca="false">IF(OR($A378="",$I378=0),0,$H378/$I378)</f>
        <v>0</v>
      </c>
      <c r="K378" s="33" t="n">
        <f aca="false">IF($A378="",0,$A378-SUMPRODUCT(MIN(($C$8:$C$1007=$C378)*$A$8:$A$1007+($C$8:$C$1007&lt;&gt;$C378)*100000))+1)</f>
        <v>0</v>
      </c>
      <c r="L378" s="19" t="str">
        <f aca="false">IF($A378="","",IF($J378=0,"Sem registro anterior",IF($K378&lt;21,"Histórico insuficiente",IF($J378&lt;0.8,"Subcarga",IF($J378&lt;=1.3,"Zona ideal",IF($J378&lt;=1.5,"Atenção","Risco elevado"))))))</f>
        <v/>
      </c>
      <c r="M378" s="20"/>
    </row>
    <row r="379" customFormat="false" ht="15" hidden="false" customHeight="false" outlineLevel="0" collapsed="false">
      <c r="A379" s="21"/>
      <c r="B379" s="33" t="n">
        <f aca="false">IF($A379="",0,INT(($A379-Macrociclo!$C$11)/7)+1)</f>
        <v>0</v>
      </c>
      <c r="C379" s="20"/>
      <c r="D379" s="20"/>
      <c r="E379" s="22"/>
      <c r="F379" s="22"/>
      <c r="G379" s="48" t="n">
        <f aca="false">IF(OR($E379="",$F379=""),0,$E379*$F379)</f>
        <v>0</v>
      </c>
      <c r="H379" s="48" t="n">
        <f aca="false">IF($A379="",0,SUMIFS($G$8:$G$1007,$C$8:$C$1007,$C379,$A$8:$A$1007,"&gt;="&amp;$A379-6,$A$8:$A$1007,"&lt;="&amp;$A379))</f>
        <v>0</v>
      </c>
      <c r="I379" s="48" t="n">
        <f aca="false">IF($A379="",0,SUMIFS($G$8:$G$1007,$C$8:$C$1007,$C379,$A$8:$A$1007,"&gt;="&amp;$A379-27,$A$8:$A$1007,"&lt;="&amp;$A379)/4)</f>
        <v>0</v>
      </c>
      <c r="J379" s="67" t="n">
        <f aca="false">IF(OR($A379="",$I379=0),0,$H379/$I379)</f>
        <v>0</v>
      </c>
      <c r="K379" s="33" t="n">
        <f aca="false">IF($A379="",0,$A379-SUMPRODUCT(MIN(($C$8:$C$1007=$C379)*$A$8:$A$1007+($C$8:$C$1007&lt;&gt;$C379)*100000))+1)</f>
        <v>0</v>
      </c>
      <c r="L379" s="19" t="str">
        <f aca="false">IF($A379="","",IF($J379=0,"Sem registro anterior",IF($K379&lt;21,"Histórico insuficiente",IF($J379&lt;0.8,"Subcarga",IF($J379&lt;=1.3,"Zona ideal",IF($J379&lt;=1.5,"Atenção","Risco elevado"))))))</f>
        <v/>
      </c>
      <c r="M379" s="20"/>
    </row>
    <row r="380" customFormat="false" ht="15" hidden="false" customHeight="false" outlineLevel="0" collapsed="false">
      <c r="A380" s="21"/>
      <c r="B380" s="33" t="n">
        <f aca="false">IF($A380="",0,INT(($A380-Macrociclo!$C$11)/7)+1)</f>
        <v>0</v>
      </c>
      <c r="C380" s="20"/>
      <c r="D380" s="20"/>
      <c r="E380" s="22"/>
      <c r="F380" s="22"/>
      <c r="G380" s="48" t="n">
        <f aca="false">IF(OR($E380="",$F380=""),0,$E380*$F380)</f>
        <v>0</v>
      </c>
      <c r="H380" s="48" t="n">
        <f aca="false">IF($A380="",0,SUMIFS($G$8:$G$1007,$C$8:$C$1007,$C380,$A$8:$A$1007,"&gt;="&amp;$A380-6,$A$8:$A$1007,"&lt;="&amp;$A380))</f>
        <v>0</v>
      </c>
      <c r="I380" s="48" t="n">
        <f aca="false">IF($A380="",0,SUMIFS($G$8:$G$1007,$C$8:$C$1007,$C380,$A$8:$A$1007,"&gt;="&amp;$A380-27,$A$8:$A$1007,"&lt;="&amp;$A380)/4)</f>
        <v>0</v>
      </c>
      <c r="J380" s="67" t="n">
        <f aca="false">IF(OR($A380="",$I380=0),0,$H380/$I380)</f>
        <v>0</v>
      </c>
      <c r="K380" s="33" t="n">
        <f aca="false">IF($A380="",0,$A380-SUMPRODUCT(MIN(($C$8:$C$1007=$C380)*$A$8:$A$1007+($C$8:$C$1007&lt;&gt;$C380)*100000))+1)</f>
        <v>0</v>
      </c>
      <c r="L380" s="19" t="str">
        <f aca="false">IF($A380="","",IF($J380=0,"Sem registro anterior",IF($K380&lt;21,"Histórico insuficiente",IF($J380&lt;0.8,"Subcarga",IF($J380&lt;=1.3,"Zona ideal",IF($J380&lt;=1.5,"Atenção","Risco elevado"))))))</f>
        <v/>
      </c>
      <c r="M380" s="20"/>
    </row>
    <row r="381" customFormat="false" ht="15" hidden="false" customHeight="false" outlineLevel="0" collapsed="false">
      <c r="A381" s="21"/>
      <c r="B381" s="33" t="n">
        <f aca="false">IF($A381="",0,INT(($A381-Macrociclo!$C$11)/7)+1)</f>
        <v>0</v>
      </c>
      <c r="C381" s="20"/>
      <c r="D381" s="20"/>
      <c r="E381" s="22"/>
      <c r="F381" s="22"/>
      <c r="G381" s="48" t="n">
        <f aca="false">IF(OR($E381="",$F381=""),0,$E381*$F381)</f>
        <v>0</v>
      </c>
      <c r="H381" s="48" t="n">
        <f aca="false">IF($A381="",0,SUMIFS($G$8:$G$1007,$C$8:$C$1007,$C381,$A$8:$A$1007,"&gt;="&amp;$A381-6,$A$8:$A$1007,"&lt;="&amp;$A381))</f>
        <v>0</v>
      </c>
      <c r="I381" s="48" t="n">
        <f aca="false">IF($A381="",0,SUMIFS($G$8:$G$1007,$C$8:$C$1007,$C381,$A$8:$A$1007,"&gt;="&amp;$A381-27,$A$8:$A$1007,"&lt;="&amp;$A381)/4)</f>
        <v>0</v>
      </c>
      <c r="J381" s="67" t="n">
        <f aca="false">IF(OR($A381="",$I381=0),0,$H381/$I381)</f>
        <v>0</v>
      </c>
      <c r="K381" s="33" t="n">
        <f aca="false">IF($A381="",0,$A381-SUMPRODUCT(MIN(($C$8:$C$1007=$C381)*$A$8:$A$1007+($C$8:$C$1007&lt;&gt;$C381)*100000))+1)</f>
        <v>0</v>
      </c>
      <c r="L381" s="19" t="str">
        <f aca="false">IF($A381="","",IF($J381=0,"Sem registro anterior",IF($K381&lt;21,"Histórico insuficiente",IF($J381&lt;0.8,"Subcarga",IF($J381&lt;=1.3,"Zona ideal",IF($J381&lt;=1.5,"Atenção","Risco elevado"))))))</f>
        <v/>
      </c>
      <c r="M381" s="20"/>
    </row>
    <row r="382" customFormat="false" ht="15" hidden="false" customHeight="false" outlineLevel="0" collapsed="false">
      <c r="A382" s="21"/>
      <c r="B382" s="33" t="n">
        <f aca="false">IF($A382="",0,INT(($A382-Macrociclo!$C$11)/7)+1)</f>
        <v>0</v>
      </c>
      <c r="C382" s="20"/>
      <c r="D382" s="20"/>
      <c r="E382" s="22"/>
      <c r="F382" s="22"/>
      <c r="G382" s="48" t="n">
        <f aca="false">IF(OR($E382="",$F382=""),0,$E382*$F382)</f>
        <v>0</v>
      </c>
      <c r="H382" s="48" t="n">
        <f aca="false">IF($A382="",0,SUMIFS($G$8:$G$1007,$C$8:$C$1007,$C382,$A$8:$A$1007,"&gt;="&amp;$A382-6,$A$8:$A$1007,"&lt;="&amp;$A382))</f>
        <v>0</v>
      </c>
      <c r="I382" s="48" t="n">
        <f aca="false">IF($A382="",0,SUMIFS($G$8:$G$1007,$C$8:$C$1007,$C382,$A$8:$A$1007,"&gt;="&amp;$A382-27,$A$8:$A$1007,"&lt;="&amp;$A382)/4)</f>
        <v>0</v>
      </c>
      <c r="J382" s="67" t="n">
        <f aca="false">IF(OR($A382="",$I382=0),0,$H382/$I382)</f>
        <v>0</v>
      </c>
      <c r="K382" s="33" t="n">
        <f aca="false">IF($A382="",0,$A382-SUMPRODUCT(MIN(($C$8:$C$1007=$C382)*$A$8:$A$1007+($C$8:$C$1007&lt;&gt;$C382)*100000))+1)</f>
        <v>0</v>
      </c>
      <c r="L382" s="19" t="str">
        <f aca="false">IF($A382="","",IF($J382=0,"Sem registro anterior",IF($K382&lt;21,"Histórico insuficiente",IF($J382&lt;0.8,"Subcarga",IF($J382&lt;=1.3,"Zona ideal",IF($J382&lt;=1.5,"Atenção","Risco elevado"))))))</f>
        <v/>
      </c>
      <c r="M382" s="20"/>
    </row>
    <row r="383" customFormat="false" ht="15" hidden="false" customHeight="false" outlineLevel="0" collapsed="false">
      <c r="A383" s="21"/>
      <c r="B383" s="33" t="n">
        <f aca="false">IF($A383="",0,INT(($A383-Macrociclo!$C$11)/7)+1)</f>
        <v>0</v>
      </c>
      <c r="C383" s="20"/>
      <c r="D383" s="20"/>
      <c r="E383" s="22"/>
      <c r="F383" s="22"/>
      <c r="G383" s="48" t="n">
        <f aca="false">IF(OR($E383="",$F383=""),0,$E383*$F383)</f>
        <v>0</v>
      </c>
      <c r="H383" s="48" t="n">
        <f aca="false">IF($A383="",0,SUMIFS($G$8:$G$1007,$C$8:$C$1007,$C383,$A$8:$A$1007,"&gt;="&amp;$A383-6,$A$8:$A$1007,"&lt;="&amp;$A383))</f>
        <v>0</v>
      </c>
      <c r="I383" s="48" t="n">
        <f aca="false">IF($A383="",0,SUMIFS($G$8:$G$1007,$C$8:$C$1007,$C383,$A$8:$A$1007,"&gt;="&amp;$A383-27,$A$8:$A$1007,"&lt;="&amp;$A383)/4)</f>
        <v>0</v>
      </c>
      <c r="J383" s="67" t="n">
        <f aca="false">IF(OR($A383="",$I383=0),0,$H383/$I383)</f>
        <v>0</v>
      </c>
      <c r="K383" s="33" t="n">
        <f aca="false">IF($A383="",0,$A383-SUMPRODUCT(MIN(($C$8:$C$1007=$C383)*$A$8:$A$1007+($C$8:$C$1007&lt;&gt;$C383)*100000))+1)</f>
        <v>0</v>
      </c>
      <c r="L383" s="19" t="str">
        <f aca="false">IF($A383="","",IF($J383=0,"Sem registro anterior",IF($K383&lt;21,"Histórico insuficiente",IF($J383&lt;0.8,"Subcarga",IF($J383&lt;=1.3,"Zona ideal",IF($J383&lt;=1.5,"Atenção","Risco elevado"))))))</f>
        <v/>
      </c>
      <c r="M383" s="20"/>
    </row>
    <row r="384" customFormat="false" ht="15" hidden="false" customHeight="false" outlineLevel="0" collapsed="false">
      <c r="A384" s="21"/>
      <c r="B384" s="33" t="n">
        <f aca="false">IF($A384="",0,INT(($A384-Macrociclo!$C$11)/7)+1)</f>
        <v>0</v>
      </c>
      <c r="C384" s="20"/>
      <c r="D384" s="20"/>
      <c r="E384" s="22"/>
      <c r="F384" s="22"/>
      <c r="G384" s="48" t="n">
        <f aca="false">IF(OR($E384="",$F384=""),0,$E384*$F384)</f>
        <v>0</v>
      </c>
      <c r="H384" s="48" t="n">
        <f aca="false">IF($A384="",0,SUMIFS($G$8:$G$1007,$C$8:$C$1007,$C384,$A$8:$A$1007,"&gt;="&amp;$A384-6,$A$8:$A$1007,"&lt;="&amp;$A384))</f>
        <v>0</v>
      </c>
      <c r="I384" s="48" t="n">
        <f aca="false">IF($A384="",0,SUMIFS($G$8:$G$1007,$C$8:$C$1007,$C384,$A$8:$A$1007,"&gt;="&amp;$A384-27,$A$8:$A$1007,"&lt;="&amp;$A384)/4)</f>
        <v>0</v>
      </c>
      <c r="J384" s="67" t="n">
        <f aca="false">IF(OR($A384="",$I384=0),0,$H384/$I384)</f>
        <v>0</v>
      </c>
      <c r="K384" s="33" t="n">
        <f aca="false">IF($A384="",0,$A384-SUMPRODUCT(MIN(($C$8:$C$1007=$C384)*$A$8:$A$1007+($C$8:$C$1007&lt;&gt;$C384)*100000))+1)</f>
        <v>0</v>
      </c>
      <c r="L384" s="19" t="str">
        <f aca="false">IF($A384="","",IF($J384=0,"Sem registro anterior",IF($K384&lt;21,"Histórico insuficiente",IF($J384&lt;0.8,"Subcarga",IF($J384&lt;=1.3,"Zona ideal",IF($J384&lt;=1.5,"Atenção","Risco elevado"))))))</f>
        <v/>
      </c>
      <c r="M384" s="20"/>
    </row>
    <row r="385" customFormat="false" ht="15" hidden="false" customHeight="false" outlineLevel="0" collapsed="false">
      <c r="A385" s="21"/>
      <c r="B385" s="33" t="n">
        <f aca="false">IF($A385="",0,INT(($A385-Macrociclo!$C$11)/7)+1)</f>
        <v>0</v>
      </c>
      <c r="C385" s="20"/>
      <c r="D385" s="20"/>
      <c r="E385" s="22"/>
      <c r="F385" s="22"/>
      <c r="G385" s="48" t="n">
        <f aca="false">IF(OR($E385="",$F385=""),0,$E385*$F385)</f>
        <v>0</v>
      </c>
      <c r="H385" s="48" t="n">
        <f aca="false">IF($A385="",0,SUMIFS($G$8:$G$1007,$C$8:$C$1007,$C385,$A$8:$A$1007,"&gt;="&amp;$A385-6,$A$8:$A$1007,"&lt;="&amp;$A385))</f>
        <v>0</v>
      </c>
      <c r="I385" s="48" t="n">
        <f aca="false">IF($A385="",0,SUMIFS($G$8:$G$1007,$C$8:$C$1007,$C385,$A$8:$A$1007,"&gt;="&amp;$A385-27,$A$8:$A$1007,"&lt;="&amp;$A385)/4)</f>
        <v>0</v>
      </c>
      <c r="J385" s="67" t="n">
        <f aca="false">IF(OR($A385="",$I385=0),0,$H385/$I385)</f>
        <v>0</v>
      </c>
      <c r="K385" s="33" t="n">
        <f aca="false">IF($A385="",0,$A385-SUMPRODUCT(MIN(($C$8:$C$1007=$C385)*$A$8:$A$1007+($C$8:$C$1007&lt;&gt;$C385)*100000))+1)</f>
        <v>0</v>
      </c>
      <c r="L385" s="19" t="str">
        <f aca="false">IF($A385="","",IF($J385=0,"Sem registro anterior",IF($K385&lt;21,"Histórico insuficiente",IF($J385&lt;0.8,"Subcarga",IF($J385&lt;=1.3,"Zona ideal",IF($J385&lt;=1.5,"Atenção","Risco elevado"))))))</f>
        <v/>
      </c>
      <c r="M385" s="20"/>
    </row>
    <row r="386" customFormat="false" ht="15" hidden="false" customHeight="false" outlineLevel="0" collapsed="false">
      <c r="A386" s="21"/>
      <c r="B386" s="33" t="n">
        <f aca="false">IF($A386="",0,INT(($A386-Macrociclo!$C$11)/7)+1)</f>
        <v>0</v>
      </c>
      <c r="C386" s="20"/>
      <c r="D386" s="20"/>
      <c r="E386" s="22"/>
      <c r="F386" s="22"/>
      <c r="G386" s="48" t="n">
        <f aca="false">IF(OR($E386="",$F386=""),0,$E386*$F386)</f>
        <v>0</v>
      </c>
      <c r="H386" s="48" t="n">
        <f aca="false">IF($A386="",0,SUMIFS($G$8:$G$1007,$C$8:$C$1007,$C386,$A$8:$A$1007,"&gt;="&amp;$A386-6,$A$8:$A$1007,"&lt;="&amp;$A386))</f>
        <v>0</v>
      </c>
      <c r="I386" s="48" t="n">
        <f aca="false">IF($A386="",0,SUMIFS($G$8:$G$1007,$C$8:$C$1007,$C386,$A$8:$A$1007,"&gt;="&amp;$A386-27,$A$8:$A$1007,"&lt;="&amp;$A386)/4)</f>
        <v>0</v>
      </c>
      <c r="J386" s="67" t="n">
        <f aca="false">IF(OR($A386="",$I386=0),0,$H386/$I386)</f>
        <v>0</v>
      </c>
      <c r="K386" s="33" t="n">
        <f aca="false">IF($A386="",0,$A386-SUMPRODUCT(MIN(($C$8:$C$1007=$C386)*$A$8:$A$1007+($C$8:$C$1007&lt;&gt;$C386)*100000))+1)</f>
        <v>0</v>
      </c>
      <c r="L386" s="19" t="str">
        <f aca="false">IF($A386="","",IF($J386=0,"Sem registro anterior",IF($K386&lt;21,"Histórico insuficiente",IF($J386&lt;0.8,"Subcarga",IF($J386&lt;=1.3,"Zona ideal",IF($J386&lt;=1.5,"Atenção","Risco elevado"))))))</f>
        <v/>
      </c>
      <c r="M386" s="20"/>
    </row>
    <row r="387" customFormat="false" ht="15" hidden="false" customHeight="false" outlineLevel="0" collapsed="false">
      <c r="A387" s="21"/>
      <c r="B387" s="33" t="n">
        <f aca="false">IF($A387="",0,INT(($A387-Macrociclo!$C$11)/7)+1)</f>
        <v>0</v>
      </c>
      <c r="C387" s="20"/>
      <c r="D387" s="20"/>
      <c r="E387" s="22"/>
      <c r="F387" s="22"/>
      <c r="G387" s="48" t="n">
        <f aca="false">IF(OR($E387="",$F387=""),0,$E387*$F387)</f>
        <v>0</v>
      </c>
      <c r="H387" s="48" t="n">
        <f aca="false">IF($A387="",0,SUMIFS($G$8:$G$1007,$C$8:$C$1007,$C387,$A$8:$A$1007,"&gt;="&amp;$A387-6,$A$8:$A$1007,"&lt;="&amp;$A387))</f>
        <v>0</v>
      </c>
      <c r="I387" s="48" t="n">
        <f aca="false">IF($A387="",0,SUMIFS($G$8:$G$1007,$C$8:$C$1007,$C387,$A$8:$A$1007,"&gt;="&amp;$A387-27,$A$8:$A$1007,"&lt;="&amp;$A387)/4)</f>
        <v>0</v>
      </c>
      <c r="J387" s="67" t="n">
        <f aca="false">IF(OR($A387="",$I387=0),0,$H387/$I387)</f>
        <v>0</v>
      </c>
      <c r="K387" s="33" t="n">
        <f aca="false">IF($A387="",0,$A387-SUMPRODUCT(MIN(($C$8:$C$1007=$C387)*$A$8:$A$1007+($C$8:$C$1007&lt;&gt;$C387)*100000))+1)</f>
        <v>0</v>
      </c>
      <c r="L387" s="19" t="str">
        <f aca="false">IF($A387="","",IF($J387=0,"Sem registro anterior",IF($K387&lt;21,"Histórico insuficiente",IF($J387&lt;0.8,"Subcarga",IF($J387&lt;=1.3,"Zona ideal",IF($J387&lt;=1.5,"Atenção","Risco elevado"))))))</f>
        <v/>
      </c>
      <c r="M387" s="20"/>
    </row>
    <row r="388" customFormat="false" ht="15" hidden="false" customHeight="false" outlineLevel="0" collapsed="false">
      <c r="A388" s="21"/>
      <c r="B388" s="33" t="n">
        <f aca="false">IF($A388="",0,INT(($A388-Macrociclo!$C$11)/7)+1)</f>
        <v>0</v>
      </c>
      <c r="C388" s="20"/>
      <c r="D388" s="20"/>
      <c r="E388" s="22"/>
      <c r="F388" s="22"/>
      <c r="G388" s="48" t="n">
        <f aca="false">IF(OR($E388="",$F388=""),0,$E388*$F388)</f>
        <v>0</v>
      </c>
      <c r="H388" s="48" t="n">
        <f aca="false">IF($A388="",0,SUMIFS($G$8:$G$1007,$C$8:$C$1007,$C388,$A$8:$A$1007,"&gt;="&amp;$A388-6,$A$8:$A$1007,"&lt;="&amp;$A388))</f>
        <v>0</v>
      </c>
      <c r="I388" s="48" t="n">
        <f aca="false">IF($A388="",0,SUMIFS($G$8:$G$1007,$C$8:$C$1007,$C388,$A$8:$A$1007,"&gt;="&amp;$A388-27,$A$8:$A$1007,"&lt;="&amp;$A388)/4)</f>
        <v>0</v>
      </c>
      <c r="J388" s="67" t="n">
        <f aca="false">IF(OR($A388="",$I388=0),0,$H388/$I388)</f>
        <v>0</v>
      </c>
      <c r="K388" s="33" t="n">
        <f aca="false">IF($A388="",0,$A388-SUMPRODUCT(MIN(($C$8:$C$1007=$C388)*$A$8:$A$1007+($C$8:$C$1007&lt;&gt;$C388)*100000))+1)</f>
        <v>0</v>
      </c>
      <c r="L388" s="19" t="str">
        <f aca="false">IF($A388="","",IF($J388=0,"Sem registro anterior",IF($K388&lt;21,"Histórico insuficiente",IF($J388&lt;0.8,"Subcarga",IF($J388&lt;=1.3,"Zona ideal",IF($J388&lt;=1.5,"Atenção","Risco elevado"))))))</f>
        <v/>
      </c>
      <c r="M388" s="20"/>
    </row>
    <row r="389" customFormat="false" ht="15" hidden="false" customHeight="false" outlineLevel="0" collapsed="false">
      <c r="A389" s="21"/>
      <c r="B389" s="33" t="n">
        <f aca="false">IF($A389="",0,INT(($A389-Macrociclo!$C$11)/7)+1)</f>
        <v>0</v>
      </c>
      <c r="C389" s="20"/>
      <c r="D389" s="20"/>
      <c r="E389" s="22"/>
      <c r="F389" s="22"/>
      <c r="G389" s="48" t="n">
        <f aca="false">IF(OR($E389="",$F389=""),0,$E389*$F389)</f>
        <v>0</v>
      </c>
      <c r="H389" s="48" t="n">
        <f aca="false">IF($A389="",0,SUMIFS($G$8:$G$1007,$C$8:$C$1007,$C389,$A$8:$A$1007,"&gt;="&amp;$A389-6,$A$8:$A$1007,"&lt;="&amp;$A389))</f>
        <v>0</v>
      </c>
      <c r="I389" s="48" t="n">
        <f aca="false">IF($A389="",0,SUMIFS($G$8:$G$1007,$C$8:$C$1007,$C389,$A$8:$A$1007,"&gt;="&amp;$A389-27,$A$8:$A$1007,"&lt;="&amp;$A389)/4)</f>
        <v>0</v>
      </c>
      <c r="J389" s="67" t="n">
        <f aca="false">IF(OR($A389="",$I389=0),0,$H389/$I389)</f>
        <v>0</v>
      </c>
      <c r="K389" s="33" t="n">
        <f aca="false">IF($A389="",0,$A389-SUMPRODUCT(MIN(($C$8:$C$1007=$C389)*$A$8:$A$1007+($C$8:$C$1007&lt;&gt;$C389)*100000))+1)</f>
        <v>0</v>
      </c>
      <c r="L389" s="19" t="str">
        <f aca="false">IF($A389="","",IF($J389=0,"Sem registro anterior",IF($K389&lt;21,"Histórico insuficiente",IF($J389&lt;0.8,"Subcarga",IF($J389&lt;=1.3,"Zona ideal",IF($J389&lt;=1.5,"Atenção","Risco elevado"))))))</f>
        <v/>
      </c>
      <c r="M389" s="20"/>
    </row>
    <row r="390" customFormat="false" ht="15" hidden="false" customHeight="false" outlineLevel="0" collapsed="false">
      <c r="A390" s="21"/>
      <c r="B390" s="33" t="n">
        <f aca="false">IF($A390="",0,INT(($A390-Macrociclo!$C$11)/7)+1)</f>
        <v>0</v>
      </c>
      <c r="C390" s="20"/>
      <c r="D390" s="20"/>
      <c r="E390" s="22"/>
      <c r="F390" s="22"/>
      <c r="G390" s="48" t="n">
        <f aca="false">IF(OR($E390="",$F390=""),0,$E390*$F390)</f>
        <v>0</v>
      </c>
      <c r="H390" s="48" t="n">
        <f aca="false">IF($A390="",0,SUMIFS($G$8:$G$1007,$C$8:$C$1007,$C390,$A$8:$A$1007,"&gt;="&amp;$A390-6,$A$8:$A$1007,"&lt;="&amp;$A390))</f>
        <v>0</v>
      </c>
      <c r="I390" s="48" t="n">
        <f aca="false">IF($A390="",0,SUMIFS($G$8:$G$1007,$C$8:$C$1007,$C390,$A$8:$A$1007,"&gt;="&amp;$A390-27,$A$8:$A$1007,"&lt;="&amp;$A390)/4)</f>
        <v>0</v>
      </c>
      <c r="J390" s="67" t="n">
        <f aca="false">IF(OR($A390="",$I390=0),0,$H390/$I390)</f>
        <v>0</v>
      </c>
      <c r="K390" s="33" t="n">
        <f aca="false">IF($A390="",0,$A390-SUMPRODUCT(MIN(($C$8:$C$1007=$C390)*$A$8:$A$1007+($C$8:$C$1007&lt;&gt;$C390)*100000))+1)</f>
        <v>0</v>
      </c>
      <c r="L390" s="19" t="str">
        <f aca="false">IF($A390="","",IF($J390=0,"Sem registro anterior",IF($K390&lt;21,"Histórico insuficiente",IF($J390&lt;0.8,"Subcarga",IF($J390&lt;=1.3,"Zona ideal",IF($J390&lt;=1.5,"Atenção","Risco elevado"))))))</f>
        <v/>
      </c>
      <c r="M390" s="20"/>
    </row>
    <row r="391" customFormat="false" ht="15" hidden="false" customHeight="false" outlineLevel="0" collapsed="false">
      <c r="A391" s="21"/>
      <c r="B391" s="33" t="n">
        <f aca="false">IF($A391="",0,INT(($A391-Macrociclo!$C$11)/7)+1)</f>
        <v>0</v>
      </c>
      <c r="C391" s="20"/>
      <c r="D391" s="20"/>
      <c r="E391" s="22"/>
      <c r="F391" s="22"/>
      <c r="G391" s="48" t="n">
        <f aca="false">IF(OR($E391="",$F391=""),0,$E391*$F391)</f>
        <v>0</v>
      </c>
      <c r="H391" s="48" t="n">
        <f aca="false">IF($A391="",0,SUMIFS($G$8:$G$1007,$C$8:$C$1007,$C391,$A$8:$A$1007,"&gt;="&amp;$A391-6,$A$8:$A$1007,"&lt;="&amp;$A391))</f>
        <v>0</v>
      </c>
      <c r="I391" s="48" t="n">
        <f aca="false">IF($A391="",0,SUMIFS($G$8:$G$1007,$C$8:$C$1007,$C391,$A$8:$A$1007,"&gt;="&amp;$A391-27,$A$8:$A$1007,"&lt;="&amp;$A391)/4)</f>
        <v>0</v>
      </c>
      <c r="J391" s="67" t="n">
        <f aca="false">IF(OR($A391="",$I391=0),0,$H391/$I391)</f>
        <v>0</v>
      </c>
      <c r="K391" s="33" t="n">
        <f aca="false">IF($A391="",0,$A391-SUMPRODUCT(MIN(($C$8:$C$1007=$C391)*$A$8:$A$1007+($C$8:$C$1007&lt;&gt;$C391)*100000))+1)</f>
        <v>0</v>
      </c>
      <c r="L391" s="19" t="str">
        <f aca="false">IF($A391="","",IF($J391=0,"Sem registro anterior",IF($K391&lt;21,"Histórico insuficiente",IF($J391&lt;0.8,"Subcarga",IF($J391&lt;=1.3,"Zona ideal",IF($J391&lt;=1.5,"Atenção","Risco elevado"))))))</f>
        <v/>
      </c>
      <c r="M391" s="20"/>
    </row>
    <row r="392" customFormat="false" ht="15" hidden="false" customHeight="false" outlineLevel="0" collapsed="false">
      <c r="A392" s="21"/>
      <c r="B392" s="33" t="n">
        <f aca="false">IF($A392="",0,INT(($A392-Macrociclo!$C$11)/7)+1)</f>
        <v>0</v>
      </c>
      <c r="C392" s="20"/>
      <c r="D392" s="20"/>
      <c r="E392" s="22"/>
      <c r="F392" s="22"/>
      <c r="G392" s="48" t="n">
        <f aca="false">IF(OR($E392="",$F392=""),0,$E392*$F392)</f>
        <v>0</v>
      </c>
      <c r="H392" s="48" t="n">
        <f aca="false">IF($A392="",0,SUMIFS($G$8:$G$1007,$C$8:$C$1007,$C392,$A$8:$A$1007,"&gt;="&amp;$A392-6,$A$8:$A$1007,"&lt;="&amp;$A392))</f>
        <v>0</v>
      </c>
      <c r="I392" s="48" t="n">
        <f aca="false">IF($A392="",0,SUMIFS($G$8:$G$1007,$C$8:$C$1007,$C392,$A$8:$A$1007,"&gt;="&amp;$A392-27,$A$8:$A$1007,"&lt;="&amp;$A392)/4)</f>
        <v>0</v>
      </c>
      <c r="J392" s="67" t="n">
        <f aca="false">IF(OR($A392="",$I392=0),0,$H392/$I392)</f>
        <v>0</v>
      </c>
      <c r="K392" s="33" t="n">
        <f aca="false">IF($A392="",0,$A392-SUMPRODUCT(MIN(($C$8:$C$1007=$C392)*$A$8:$A$1007+($C$8:$C$1007&lt;&gt;$C392)*100000))+1)</f>
        <v>0</v>
      </c>
      <c r="L392" s="19" t="str">
        <f aca="false">IF($A392="","",IF($J392=0,"Sem registro anterior",IF($K392&lt;21,"Histórico insuficiente",IF($J392&lt;0.8,"Subcarga",IF($J392&lt;=1.3,"Zona ideal",IF($J392&lt;=1.5,"Atenção","Risco elevado"))))))</f>
        <v/>
      </c>
      <c r="M392" s="20"/>
    </row>
    <row r="393" customFormat="false" ht="15" hidden="false" customHeight="false" outlineLevel="0" collapsed="false">
      <c r="A393" s="21"/>
      <c r="B393" s="33" t="n">
        <f aca="false">IF($A393="",0,INT(($A393-Macrociclo!$C$11)/7)+1)</f>
        <v>0</v>
      </c>
      <c r="C393" s="20"/>
      <c r="D393" s="20"/>
      <c r="E393" s="22"/>
      <c r="F393" s="22"/>
      <c r="G393" s="48" t="n">
        <f aca="false">IF(OR($E393="",$F393=""),0,$E393*$F393)</f>
        <v>0</v>
      </c>
      <c r="H393" s="48" t="n">
        <f aca="false">IF($A393="",0,SUMIFS($G$8:$G$1007,$C$8:$C$1007,$C393,$A$8:$A$1007,"&gt;="&amp;$A393-6,$A$8:$A$1007,"&lt;="&amp;$A393))</f>
        <v>0</v>
      </c>
      <c r="I393" s="48" t="n">
        <f aca="false">IF($A393="",0,SUMIFS($G$8:$G$1007,$C$8:$C$1007,$C393,$A$8:$A$1007,"&gt;="&amp;$A393-27,$A$8:$A$1007,"&lt;="&amp;$A393)/4)</f>
        <v>0</v>
      </c>
      <c r="J393" s="67" t="n">
        <f aca="false">IF(OR($A393="",$I393=0),0,$H393/$I393)</f>
        <v>0</v>
      </c>
      <c r="K393" s="33" t="n">
        <f aca="false">IF($A393="",0,$A393-SUMPRODUCT(MIN(($C$8:$C$1007=$C393)*$A$8:$A$1007+($C$8:$C$1007&lt;&gt;$C393)*100000))+1)</f>
        <v>0</v>
      </c>
      <c r="L393" s="19" t="str">
        <f aca="false">IF($A393="","",IF($J393=0,"Sem registro anterior",IF($K393&lt;21,"Histórico insuficiente",IF($J393&lt;0.8,"Subcarga",IF($J393&lt;=1.3,"Zona ideal",IF($J393&lt;=1.5,"Atenção","Risco elevado"))))))</f>
        <v/>
      </c>
      <c r="M393" s="20"/>
    </row>
    <row r="394" customFormat="false" ht="15" hidden="false" customHeight="false" outlineLevel="0" collapsed="false">
      <c r="A394" s="21"/>
      <c r="B394" s="33" t="n">
        <f aca="false">IF($A394="",0,INT(($A394-Macrociclo!$C$11)/7)+1)</f>
        <v>0</v>
      </c>
      <c r="C394" s="20"/>
      <c r="D394" s="20"/>
      <c r="E394" s="22"/>
      <c r="F394" s="22"/>
      <c r="G394" s="48" t="n">
        <f aca="false">IF(OR($E394="",$F394=""),0,$E394*$F394)</f>
        <v>0</v>
      </c>
      <c r="H394" s="48" t="n">
        <f aca="false">IF($A394="",0,SUMIFS($G$8:$G$1007,$C$8:$C$1007,$C394,$A$8:$A$1007,"&gt;="&amp;$A394-6,$A$8:$A$1007,"&lt;="&amp;$A394))</f>
        <v>0</v>
      </c>
      <c r="I394" s="48" t="n">
        <f aca="false">IF($A394="",0,SUMIFS($G$8:$G$1007,$C$8:$C$1007,$C394,$A$8:$A$1007,"&gt;="&amp;$A394-27,$A$8:$A$1007,"&lt;="&amp;$A394)/4)</f>
        <v>0</v>
      </c>
      <c r="J394" s="67" t="n">
        <f aca="false">IF(OR($A394="",$I394=0),0,$H394/$I394)</f>
        <v>0</v>
      </c>
      <c r="K394" s="33" t="n">
        <f aca="false">IF($A394="",0,$A394-SUMPRODUCT(MIN(($C$8:$C$1007=$C394)*$A$8:$A$1007+($C$8:$C$1007&lt;&gt;$C394)*100000))+1)</f>
        <v>0</v>
      </c>
      <c r="L394" s="19" t="str">
        <f aca="false">IF($A394="","",IF($J394=0,"Sem registro anterior",IF($K394&lt;21,"Histórico insuficiente",IF($J394&lt;0.8,"Subcarga",IF($J394&lt;=1.3,"Zona ideal",IF($J394&lt;=1.5,"Atenção","Risco elevado"))))))</f>
        <v/>
      </c>
      <c r="M394" s="20"/>
    </row>
    <row r="395" customFormat="false" ht="15" hidden="false" customHeight="false" outlineLevel="0" collapsed="false">
      <c r="A395" s="21"/>
      <c r="B395" s="33" t="n">
        <f aca="false">IF($A395="",0,INT(($A395-Macrociclo!$C$11)/7)+1)</f>
        <v>0</v>
      </c>
      <c r="C395" s="20"/>
      <c r="D395" s="20"/>
      <c r="E395" s="22"/>
      <c r="F395" s="22"/>
      <c r="G395" s="48" t="n">
        <f aca="false">IF(OR($E395="",$F395=""),0,$E395*$F395)</f>
        <v>0</v>
      </c>
      <c r="H395" s="48" t="n">
        <f aca="false">IF($A395="",0,SUMIFS($G$8:$G$1007,$C$8:$C$1007,$C395,$A$8:$A$1007,"&gt;="&amp;$A395-6,$A$8:$A$1007,"&lt;="&amp;$A395))</f>
        <v>0</v>
      </c>
      <c r="I395" s="48" t="n">
        <f aca="false">IF($A395="",0,SUMIFS($G$8:$G$1007,$C$8:$C$1007,$C395,$A$8:$A$1007,"&gt;="&amp;$A395-27,$A$8:$A$1007,"&lt;="&amp;$A395)/4)</f>
        <v>0</v>
      </c>
      <c r="J395" s="67" t="n">
        <f aca="false">IF(OR($A395="",$I395=0),0,$H395/$I395)</f>
        <v>0</v>
      </c>
      <c r="K395" s="33" t="n">
        <f aca="false">IF($A395="",0,$A395-SUMPRODUCT(MIN(($C$8:$C$1007=$C395)*$A$8:$A$1007+($C$8:$C$1007&lt;&gt;$C395)*100000))+1)</f>
        <v>0</v>
      </c>
      <c r="L395" s="19" t="str">
        <f aca="false">IF($A395="","",IF($J395=0,"Sem registro anterior",IF($K395&lt;21,"Histórico insuficiente",IF($J395&lt;0.8,"Subcarga",IF($J395&lt;=1.3,"Zona ideal",IF($J395&lt;=1.5,"Atenção","Risco elevado"))))))</f>
        <v/>
      </c>
      <c r="M395" s="20"/>
    </row>
    <row r="396" customFormat="false" ht="15" hidden="false" customHeight="false" outlineLevel="0" collapsed="false">
      <c r="A396" s="21"/>
      <c r="B396" s="33" t="n">
        <f aca="false">IF($A396="",0,INT(($A396-Macrociclo!$C$11)/7)+1)</f>
        <v>0</v>
      </c>
      <c r="C396" s="20"/>
      <c r="D396" s="20"/>
      <c r="E396" s="22"/>
      <c r="F396" s="22"/>
      <c r="G396" s="48" t="n">
        <f aca="false">IF(OR($E396="",$F396=""),0,$E396*$F396)</f>
        <v>0</v>
      </c>
      <c r="H396" s="48" t="n">
        <f aca="false">IF($A396="",0,SUMIFS($G$8:$G$1007,$C$8:$C$1007,$C396,$A$8:$A$1007,"&gt;="&amp;$A396-6,$A$8:$A$1007,"&lt;="&amp;$A396))</f>
        <v>0</v>
      </c>
      <c r="I396" s="48" t="n">
        <f aca="false">IF($A396="",0,SUMIFS($G$8:$G$1007,$C$8:$C$1007,$C396,$A$8:$A$1007,"&gt;="&amp;$A396-27,$A$8:$A$1007,"&lt;="&amp;$A396)/4)</f>
        <v>0</v>
      </c>
      <c r="J396" s="67" t="n">
        <f aca="false">IF(OR($A396="",$I396=0),0,$H396/$I396)</f>
        <v>0</v>
      </c>
      <c r="K396" s="33" t="n">
        <f aca="false">IF($A396="",0,$A396-SUMPRODUCT(MIN(($C$8:$C$1007=$C396)*$A$8:$A$1007+($C$8:$C$1007&lt;&gt;$C396)*100000))+1)</f>
        <v>0</v>
      </c>
      <c r="L396" s="19" t="str">
        <f aca="false">IF($A396="","",IF($J396=0,"Sem registro anterior",IF($K396&lt;21,"Histórico insuficiente",IF($J396&lt;0.8,"Subcarga",IF($J396&lt;=1.3,"Zona ideal",IF($J396&lt;=1.5,"Atenção","Risco elevado"))))))</f>
        <v/>
      </c>
      <c r="M396" s="20"/>
    </row>
    <row r="397" customFormat="false" ht="15" hidden="false" customHeight="false" outlineLevel="0" collapsed="false">
      <c r="A397" s="21"/>
      <c r="B397" s="33" t="n">
        <f aca="false">IF($A397="",0,INT(($A397-Macrociclo!$C$11)/7)+1)</f>
        <v>0</v>
      </c>
      <c r="C397" s="20"/>
      <c r="D397" s="20"/>
      <c r="E397" s="22"/>
      <c r="F397" s="22"/>
      <c r="G397" s="48" t="n">
        <f aca="false">IF(OR($E397="",$F397=""),0,$E397*$F397)</f>
        <v>0</v>
      </c>
      <c r="H397" s="48" t="n">
        <f aca="false">IF($A397="",0,SUMIFS($G$8:$G$1007,$C$8:$C$1007,$C397,$A$8:$A$1007,"&gt;="&amp;$A397-6,$A$8:$A$1007,"&lt;="&amp;$A397))</f>
        <v>0</v>
      </c>
      <c r="I397" s="48" t="n">
        <f aca="false">IF($A397="",0,SUMIFS($G$8:$G$1007,$C$8:$C$1007,$C397,$A$8:$A$1007,"&gt;="&amp;$A397-27,$A$8:$A$1007,"&lt;="&amp;$A397)/4)</f>
        <v>0</v>
      </c>
      <c r="J397" s="67" t="n">
        <f aca="false">IF(OR($A397="",$I397=0),0,$H397/$I397)</f>
        <v>0</v>
      </c>
      <c r="K397" s="33" t="n">
        <f aca="false">IF($A397="",0,$A397-SUMPRODUCT(MIN(($C$8:$C$1007=$C397)*$A$8:$A$1007+($C$8:$C$1007&lt;&gt;$C397)*100000))+1)</f>
        <v>0</v>
      </c>
      <c r="L397" s="19" t="str">
        <f aca="false">IF($A397="","",IF($J397=0,"Sem registro anterior",IF($K397&lt;21,"Histórico insuficiente",IF($J397&lt;0.8,"Subcarga",IF($J397&lt;=1.3,"Zona ideal",IF($J397&lt;=1.5,"Atenção","Risco elevado"))))))</f>
        <v/>
      </c>
      <c r="M397" s="20"/>
    </row>
    <row r="398" customFormat="false" ht="15" hidden="false" customHeight="false" outlineLevel="0" collapsed="false">
      <c r="A398" s="21"/>
      <c r="B398" s="33" t="n">
        <f aca="false">IF($A398="",0,INT(($A398-Macrociclo!$C$11)/7)+1)</f>
        <v>0</v>
      </c>
      <c r="C398" s="20"/>
      <c r="D398" s="20"/>
      <c r="E398" s="22"/>
      <c r="F398" s="22"/>
      <c r="G398" s="48" t="n">
        <f aca="false">IF(OR($E398="",$F398=""),0,$E398*$F398)</f>
        <v>0</v>
      </c>
      <c r="H398" s="48" t="n">
        <f aca="false">IF($A398="",0,SUMIFS($G$8:$G$1007,$C$8:$C$1007,$C398,$A$8:$A$1007,"&gt;="&amp;$A398-6,$A$8:$A$1007,"&lt;="&amp;$A398))</f>
        <v>0</v>
      </c>
      <c r="I398" s="48" t="n">
        <f aca="false">IF($A398="",0,SUMIFS($G$8:$G$1007,$C$8:$C$1007,$C398,$A$8:$A$1007,"&gt;="&amp;$A398-27,$A$8:$A$1007,"&lt;="&amp;$A398)/4)</f>
        <v>0</v>
      </c>
      <c r="J398" s="67" t="n">
        <f aca="false">IF(OR($A398="",$I398=0),0,$H398/$I398)</f>
        <v>0</v>
      </c>
      <c r="K398" s="33" t="n">
        <f aca="false">IF($A398="",0,$A398-SUMPRODUCT(MIN(($C$8:$C$1007=$C398)*$A$8:$A$1007+($C$8:$C$1007&lt;&gt;$C398)*100000))+1)</f>
        <v>0</v>
      </c>
      <c r="L398" s="19" t="str">
        <f aca="false">IF($A398="","",IF($J398=0,"Sem registro anterior",IF($K398&lt;21,"Histórico insuficiente",IF($J398&lt;0.8,"Subcarga",IF($J398&lt;=1.3,"Zona ideal",IF($J398&lt;=1.5,"Atenção","Risco elevado"))))))</f>
        <v/>
      </c>
      <c r="M398" s="20"/>
    </row>
    <row r="399" customFormat="false" ht="15" hidden="false" customHeight="false" outlineLevel="0" collapsed="false">
      <c r="A399" s="21"/>
      <c r="B399" s="33" t="n">
        <f aca="false">IF($A399="",0,INT(($A399-Macrociclo!$C$11)/7)+1)</f>
        <v>0</v>
      </c>
      <c r="C399" s="20"/>
      <c r="D399" s="20"/>
      <c r="E399" s="22"/>
      <c r="F399" s="22"/>
      <c r="G399" s="48" t="n">
        <f aca="false">IF(OR($E399="",$F399=""),0,$E399*$F399)</f>
        <v>0</v>
      </c>
      <c r="H399" s="48" t="n">
        <f aca="false">IF($A399="",0,SUMIFS($G$8:$G$1007,$C$8:$C$1007,$C399,$A$8:$A$1007,"&gt;="&amp;$A399-6,$A$8:$A$1007,"&lt;="&amp;$A399))</f>
        <v>0</v>
      </c>
      <c r="I399" s="48" t="n">
        <f aca="false">IF($A399="",0,SUMIFS($G$8:$G$1007,$C$8:$C$1007,$C399,$A$8:$A$1007,"&gt;="&amp;$A399-27,$A$8:$A$1007,"&lt;="&amp;$A399)/4)</f>
        <v>0</v>
      </c>
      <c r="J399" s="67" t="n">
        <f aca="false">IF(OR($A399="",$I399=0),0,$H399/$I399)</f>
        <v>0</v>
      </c>
      <c r="K399" s="33" t="n">
        <f aca="false">IF($A399="",0,$A399-SUMPRODUCT(MIN(($C$8:$C$1007=$C399)*$A$8:$A$1007+($C$8:$C$1007&lt;&gt;$C399)*100000))+1)</f>
        <v>0</v>
      </c>
      <c r="L399" s="19" t="str">
        <f aca="false">IF($A399="","",IF($J399=0,"Sem registro anterior",IF($K399&lt;21,"Histórico insuficiente",IF($J399&lt;0.8,"Subcarga",IF($J399&lt;=1.3,"Zona ideal",IF($J399&lt;=1.5,"Atenção","Risco elevado"))))))</f>
        <v/>
      </c>
      <c r="M399" s="20"/>
    </row>
    <row r="400" customFormat="false" ht="15" hidden="false" customHeight="false" outlineLevel="0" collapsed="false">
      <c r="A400" s="21"/>
      <c r="B400" s="33" t="n">
        <f aca="false">IF($A400="",0,INT(($A400-Macrociclo!$C$11)/7)+1)</f>
        <v>0</v>
      </c>
      <c r="C400" s="20"/>
      <c r="D400" s="20"/>
      <c r="E400" s="22"/>
      <c r="F400" s="22"/>
      <c r="G400" s="48" t="n">
        <f aca="false">IF(OR($E400="",$F400=""),0,$E400*$F400)</f>
        <v>0</v>
      </c>
      <c r="H400" s="48" t="n">
        <f aca="false">IF($A400="",0,SUMIFS($G$8:$G$1007,$C$8:$C$1007,$C400,$A$8:$A$1007,"&gt;="&amp;$A400-6,$A$8:$A$1007,"&lt;="&amp;$A400))</f>
        <v>0</v>
      </c>
      <c r="I400" s="48" t="n">
        <f aca="false">IF($A400="",0,SUMIFS($G$8:$G$1007,$C$8:$C$1007,$C400,$A$8:$A$1007,"&gt;="&amp;$A400-27,$A$8:$A$1007,"&lt;="&amp;$A400)/4)</f>
        <v>0</v>
      </c>
      <c r="J400" s="67" t="n">
        <f aca="false">IF(OR($A400="",$I400=0),0,$H400/$I400)</f>
        <v>0</v>
      </c>
      <c r="K400" s="33" t="n">
        <f aca="false">IF($A400="",0,$A400-SUMPRODUCT(MIN(($C$8:$C$1007=$C400)*$A$8:$A$1007+($C$8:$C$1007&lt;&gt;$C400)*100000))+1)</f>
        <v>0</v>
      </c>
      <c r="L400" s="19" t="str">
        <f aca="false">IF($A400="","",IF($J400=0,"Sem registro anterior",IF($K400&lt;21,"Histórico insuficiente",IF($J400&lt;0.8,"Subcarga",IF($J400&lt;=1.3,"Zona ideal",IF($J400&lt;=1.5,"Atenção","Risco elevado"))))))</f>
        <v/>
      </c>
      <c r="M400" s="20"/>
    </row>
    <row r="401" customFormat="false" ht="15" hidden="false" customHeight="false" outlineLevel="0" collapsed="false">
      <c r="A401" s="21"/>
      <c r="B401" s="33" t="n">
        <f aca="false">IF($A401="",0,INT(($A401-Macrociclo!$C$11)/7)+1)</f>
        <v>0</v>
      </c>
      <c r="C401" s="20"/>
      <c r="D401" s="20"/>
      <c r="E401" s="22"/>
      <c r="F401" s="22"/>
      <c r="G401" s="48" t="n">
        <f aca="false">IF(OR($E401="",$F401=""),0,$E401*$F401)</f>
        <v>0</v>
      </c>
      <c r="H401" s="48" t="n">
        <f aca="false">IF($A401="",0,SUMIFS($G$8:$G$1007,$C$8:$C$1007,$C401,$A$8:$A$1007,"&gt;="&amp;$A401-6,$A$8:$A$1007,"&lt;="&amp;$A401))</f>
        <v>0</v>
      </c>
      <c r="I401" s="48" t="n">
        <f aca="false">IF($A401="",0,SUMIFS($G$8:$G$1007,$C$8:$C$1007,$C401,$A$8:$A$1007,"&gt;="&amp;$A401-27,$A$8:$A$1007,"&lt;="&amp;$A401)/4)</f>
        <v>0</v>
      </c>
      <c r="J401" s="67" t="n">
        <f aca="false">IF(OR($A401="",$I401=0),0,$H401/$I401)</f>
        <v>0</v>
      </c>
      <c r="K401" s="33" t="n">
        <f aca="false">IF($A401="",0,$A401-SUMPRODUCT(MIN(($C$8:$C$1007=$C401)*$A$8:$A$1007+($C$8:$C$1007&lt;&gt;$C401)*100000))+1)</f>
        <v>0</v>
      </c>
      <c r="L401" s="19" t="str">
        <f aca="false">IF($A401="","",IF($J401=0,"Sem registro anterior",IF($K401&lt;21,"Histórico insuficiente",IF($J401&lt;0.8,"Subcarga",IF($J401&lt;=1.3,"Zona ideal",IF($J401&lt;=1.5,"Atenção","Risco elevado"))))))</f>
        <v/>
      </c>
      <c r="M401" s="20"/>
    </row>
    <row r="402" customFormat="false" ht="15" hidden="false" customHeight="false" outlineLevel="0" collapsed="false">
      <c r="A402" s="21"/>
      <c r="B402" s="33" t="n">
        <f aca="false">IF($A402="",0,INT(($A402-Macrociclo!$C$11)/7)+1)</f>
        <v>0</v>
      </c>
      <c r="C402" s="20"/>
      <c r="D402" s="20"/>
      <c r="E402" s="22"/>
      <c r="F402" s="22"/>
      <c r="G402" s="48" t="n">
        <f aca="false">IF(OR($E402="",$F402=""),0,$E402*$F402)</f>
        <v>0</v>
      </c>
      <c r="H402" s="48" t="n">
        <f aca="false">IF($A402="",0,SUMIFS($G$8:$G$1007,$C$8:$C$1007,$C402,$A$8:$A$1007,"&gt;="&amp;$A402-6,$A$8:$A$1007,"&lt;="&amp;$A402))</f>
        <v>0</v>
      </c>
      <c r="I402" s="48" t="n">
        <f aca="false">IF($A402="",0,SUMIFS($G$8:$G$1007,$C$8:$C$1007,$C402,$A$8:$A$1007,"&gt;="&amp;$A402-27,$A$8:$A$1007,"&lt;="&amp;$A402)/4)</f>
        <v>0</v>
      </c>
      <c r="J402" s="67" t="n">
        <f aca="false">IF(OR($A402="",$I402=0),0,$H402/$I402)</f>
        <v>0</v>
      </c>
      <c r="K402" s="33" t="n">
        <f aca="false">IF($A402="",0,$A402-SUMPRODUCT(MIN(($C$8:$C$1007=$C402)*$A$8:$A$1007+($C$8:$C$1007&lt;&gt;$C402)*100000))+1)</f>
        <v>0</v>
      </c>
      <c r="L402" s="19" t="str">
        <f aca="false">IF($A402="","",IF($J402=0,"Sem registro anterior",IF($K402&lt;21,"Histórico insuficiente",IF($J402&lt;0.8,"Subcarga",IF($J402&lt;=1.3,"Zona ideal",IF($J402&lt;=1.5,"Atenção","Risco elevado"))))))</f>
        <v/>
      </c>
      <c r="M402" s="20"/>
    </row>
    <row r="403" customFormat="false" ht="15" hidden="false" customHeight="false" outlineLevel="0" collapsed="false">
      <c r="A403" s="21"/>
      <c r="B403" s="33" t="n">
        <f aca="false">IF($A403="",0,INT(($A403-Macrociclo!$C$11)/7)+1)</f>
        <v>0</v>
      </c>
      <c r="C403" s="20"/>
      <c r="D403" s="20"/>
      <c r="E403" s="22"/>
      <c r="F403" s="22"/>
      <c r="G403" s="48" t="n">
        <f aca="false">IF(OR($E403="",$F403=""),0,$E403*$F403)</f>
        <v>0</v>
      </c>
      <c r="H403" s="48" t="n">
        <f aca="false">IF($A403="",0,SUMIFS($G$8:$G$1007,$C$8:$C$1007,$C403,$A$8:$A$1007,"&gt;="&amp;$A403-6,$A$8:$A$1007,"&lt;="&amp;$A403))</f>
        <v>0</v>
      </c>
      <c r="I403" s="48" t="n">
        <f aca="false">IF($A403="",0,SUMIFS($G$8:$G$1007,$C$8:$C$1007,$C403,$A$8:$A$1007,"&gt;="&amp;$A403-27,$A$8:$A$1007,"&lt;="&amp;$A403)/4)</f>
        <v>0</v>
      </c>
      <c r="J403" s="67" t="n">
        <f aca="false">IF(OR($A403="",$I403=0),0,$H403/$I403)</f>
        <v>0</v>
      </c>
      <c r="K403" s="33" t="n">
        <f aca="false">IF($A403="",0,$A403-SUMPRODUCT(MIN(($C$8:$C$1007=$C403)*$A$8:$A$1007+($C$8:$C$1007&lt;&gt;$C403)*100000))+1)</f>
        <v>0</v>
      </c>
      <c r="L403" s="19" t="str">
        <f aca="false">IF($A403="","",IF($J403=0,"Sem registro anterior",IF($K403&lt;21,"Histórico insuficiente",IF($J403&lt;0.8,"Subcarga",IF($J403&lt;=1.3,"Zona ideal",IF($J403&lt;=1.5,"Atenção","Risco elevado"))))))</f>
        <v/>
      </c>
      <c r="M403" s="20"/>
    </row>
    <row r="404" customFormat="false" ht="15" hidden="false" customHeight="false" outlineLevel="0" collapsed="false">
      <c r="A404" s="21"/>
      <c r="B404" s="33" t="n">
        <f aca="false">IF($A404="",0,INT(($A404-Macrociclo!$C$11)/7)+1)</f>
        <v>0</v>
      </c>
      <c r="C404" s="20"/>
      <c r="D404" s="20"/>
      <c r="E404" s="22"/>
      <c r="F404" s="22"/>
      <c r="G404" s="48" t="n">
        <f aca="false">IF(OR($E404="",$F404=""),0,$E404*$F404)</f>
        <v>0</v>
      </c>
      <c r="H404" s="48" t="n">
        <f aca="false">IF($A404="",0,SUMIFS($G$8:$G$1007,$C$8:$C$1007,$C404,$A$8:$A$1007,"&gt;="&amp;$A404-6,$A$8:$A$1007,"&lt;="&amp;$A404))</f>
        <v>0</v>
      </c>
      <c r="I404" s="48" t="n">
        <f aca="false">IF($A404="",0,SUMIFS($G$8:$G$1007,$C$8:$C$1007,$C404,$A$8:$A$1007,"&gt;="&amp;$A404-27,$A$8:$A$1007,"&lt;="&amp;$A404)/4)</f>
        <v>0</v>
      </c>
      <c r="J404" s="67" t="n">
        <f aca="false">IF(OR($A404="",$I404=0),0,$H404/$I404)</f>
        <v>0</v>
      </c>
      <c r="K404" s="33" t="n">
        <f aca="false">IF($A404="",0,$A404-SUMPRODUCT(MIN(($C$8:$C$1007=$C404)*$A$8:$A$1007+($C$8:$C$1007&lt;&gt;$C404)*100000))+1)</f>
        <v>0</v>
      </c>
      <c r="L404" s="19" t="str">
        <f aca="false">IF($A404="","",IF($J404=0,"Sem registro anterior",IF($K404&lt;21,"Histórico insuficiente",IF($J404&lt;0.8,"Subcarga",IF($J404&lt;=1.3,"Zona ideal",IF($J404&lt;=1.5,"Atenção","Risco elevado"))))))</f>
        <v/>
      </c>
      <c r="M404" s="20"/>
    </row>
    <row r="405" customFormat="false" ht="15" hidden="false" customHeight="false" outlineLevel="0" collapsed="false">
      <c r="A405" s="21"/>
      <c r="B405" s="33" t="n">
        <f aca="false">IF($A405="",0,INT(($A405-Macrociclo!$C$11)/7)+1)</f>
        <v>0</v>
      </c>
      <c r="C405" s="20"/>
      <c r="D405" s="20"/>
      <c r="E405" s="22"/>
      <c r="F405" s="22"/>
      <c r="G405" s="48" t="n">
        <f aca="false">IF(OR($E405="",$F405=""),0,$E405*$F405)</f>
        <v>0</v>
      </c>
      <c r="H405" s="48" t="n">
        <f aca="false">IF($A405="",0,SUMIFS($G$8:$G$1007,$C$8:$C$1007,$C405,$A$8:$A$1007,"&gt;="&amp;$A405-6,$A$8:$A$1007,"&lt;="&amp;$A405))</f>
        <v>0</v>
      </c>
      <c r="I405" s="48" t="n">
        <f aca="false">IF($A405="",0,SUMIFS($G$8:$G$1007,$C$8:$C$1007,$C405,$A$8:$A$1007,"&gt;="&amp;$A405-27,$A$8:$A$1007,"&lt;="&amp;$A405)/4)</f>
        <v>0</v>
      </c>
      <c r="J405" s="67" t="n">
        <f aca="false">IF(OR($A405="",$I405=0),0,$H405/$I405)</f>
        <v>0</v>
      </c>
      <c r="K405" s="33" t="n">
        <f aca="false">IF($A405="",0,$A405-SUMPRODUCT(MIN(($C$8:$C$1007=$C405)*$A$8:$A$1007+($C$8:$C$1007&lt;&gt;$C405)*100000))+1)</f>
        <v>0</v>
      </c>
      <c r="L405" s="19" t="str">
        <f aca="false">IF($A405="","",IF($J405=0,"Sem registro anterior",IF($K405&lt;21,"Histórico insuficiente",IF($J405&lt;0.8,"Subcarga",IF($J405&lt;=1.3,"Zona ideal",IF($J405&lt;=1.5,"Atenção","Risco elevado"))))))</f>
        <v/>
      </c>
      <c r="M405" s="20"/>
    </row>
    <row r="406" customFormat="false" ht="15" hidden="false" customHeight="false" outlineLevel="0" collapsed="false">
      <c r="A406" s="21"/>
      <c r="B406" s="33" t="n">
        <f aca="false">IF($A406="",0,INT(($A406-Macrociclo!$C$11)/7)+1)</f>
        <v>0</v>
      </c>
      <c r="C406" s="20"/>
      <c r="D406" s="20"/>
      <c r="E406" s="22"/>
      <c r="F406" s="22"/>
      <c r="G406" s="48" t="n">
        <f aca="false">IF(OR($E406="",$F406=""),0,$E406*$F406)</f>
        <v>0</v>
      </c>
      <c r="H406" s="48" t="n">
        <f aca="false">IF($A406="",0,SUMIFS($G$8:$G$1007,$C$8:$C$1007,$C406,$A$8:$A$1007,"&gt;="&amp;$A406-6,$A$8:$A$1007,"&lt;="&amp;$A406))</f>
        <v>0</v>
      </c>
      <c r="I406" s="48" t="n">
        <f aca="false">IF($A406="",0,SUMIFS($G$8:$G$1007,$C$8:$C$1007,$C406,$A$8:$A$1007,"&gt;="&amp;$A406-27,$A$8:$A$1007,"&lt;="&amp;$A406)/4)</f>
        <v>0</v>
      </c>
      <c r="J406" s="67" t="n">
        <f aca="false">IF(OR($A406="",$I406=0),0,$H406/$I406)</f>
        <v>0</v>
      </c>
      <c r="K406" s="33" t="n">
        <f aca="false">IF($A406="",0,$A406-SUMPRODUCT(MIN(($C$8:$C$1007=$C406)*$A$8:$A$1007+($C$8:$C$1007&lt;&gt;$C406)*100000))+1)</f>
        <v>0</v>
      </c>
      <c r="L406" s="19" t="str">
        <f aca="false">IF($A406="","",IF($J406=0,"Sem registro anterior",IF($K406&lt;21,"Histórico insuficiente",IF($J406&lt;0.8,"Subcarga",IF($J406&lt;=1.3,"Zona ideal",IF($J406&lt;=1.5,"Atenção","Risco elevado"))))))</f>
        <v/>
      </c>
      <c r="M406" s="20"/>
    </row>
    <row r="407" customFormat="false" ht="15" hidden="false" customHeight="false" outlineLevel="0" collapsed="false">
      <c r="A407" s="21"/>
      <c r="B407" s="33" t="n">
        <f aca="false">IF($A407="",0,INT(($A407-Macrociclo!$C$11)/7)+1)</f>
        <v>0</v>
      </c>
      <c r="C407" s="20"/>
      <c r="D407" s="20"/>
      <c r="E407" s="22"/>
      <c r="F407" s="22"/>
      <c r="G407" s="48" t="n">
        <f aca="false">IF(OR($E407="",$F407=""),0,$E407*$F407)</f>
        <v>0</v>
      </c>
      <c r="H407" s="48" t="n">
        <f aca="false">IF($A407="",0,SUMIFS($G$8:$G$1007,$C$8:$C$1007,$C407,$A$8:$A$1007,"&gt;="&amp;$A407-6,$A$8:$A$1007,"&lt;="&amp;$A407))</f>
        <v>0</v>
      </c>
      <c r="I407" s="48" t="n">
        <f aca="false">IF($A407="",0,SUMIFS($G$8:$G$1007,$C$8:$C$1007,$C407,$A$8:$A$1007,"&gt;="&amp;$A407-27,$A$8:$A$1007,"&lt;="&amp;$A407)/4)</f>
        <v>0</v>
      </c>
      <c r="J407" s="67" t="n">
        <f aca="false">IF(OR($A407="",$I407=0),0,$H407/$I407)</f>
        <v>0</v>
      </c>
      <c r="K407" s="33" t="n">
        <f aca="false">IF($A407="",0,$A407-SUMPRODUCT(MIN(($C$8:$C$1007=$C407)*$A$8:$A$1007+($C$8:$C$1007&lt;&gt;$C407)*100000))+1)</f>
        <v>0</v>
      </c>
      <c r="L407" s="19" t="str">
        <f aca="false">IF($A407="","",IF($J407=0,"Sem registro anterior",IF($K407&lt;21,"Histórico insuficiente",IF($J407&lt;0.8,"Subcarga",IF($J407&lt;=1.3,"Zona ideal",IF($J407&lt;=1.5,"Atenção","Risco elevado"))))))</f>
        <v/>
      </c>
      <c r="M407" s="20"/>
    </row>
    <row r="408" customFormat="false" ht="15" hidden="false" customHeight="false" outlineLevel="0" collapsed="false">
      <c r="A408" s="21"/>
      <c r="B408" s="33" t="n">
        <f aca="false">IF($A408="",0,INT(($A408-Macrociclo!$C$11)/7)+1)</f>
        <v>0</v>
      </c>
      <c r="C408" s="20"/>
      <c r="D408" s="20"/>
      <c r="E408" s="22"/>
      <c r="F408" s="22"/>
      <c r="G408" s="48" t="n">
        <f aca="false">IF(OR($E408="",$F408=""),0,$E408*$F408)</f>
        <v>0</v>
      </c>
      <c r="H408" s="48" t="n">
        <f aca="false">IF($A408="",0,SUMIFS($G$8:$G$1007,$C$8:$C$1007,$C408,$A$8:$A$1007,"&gt;="&amp;$A408-6,$A$8:$A$1007,"&lt;="&amp;$A408))</f>
        <v>0</v>
      </c>
      <c r="I408" s="48" t="n">
        <f aca="false">IF($A408="",0,SUMIFS($G$8:$G$1007,$C$8:$C$1007,$C408,$A$8:$A$1007,"&gt;="&amp;$A408-27,$A$8:$A$1007,"&lt;="&amp;$A408)/4)</f>
        <v>0</v>
      </c>
      <c r="J408" s="67" t="n">
        <f aca="false">IF(OR($A408="",$I408=0),0,$H408/$I408)</f>
        <v>0</v>
      </c>
      <c r="K408" s="33" t="n">
        <f aca="false">IF($A408="",0,$A408-SUMPRODUCT(MIN(($C$8:$C$1007=$C408)*$A$8:$A$1007+($C$8:$C$1007&lt;&gt;$C408)*100000))+1)</f>
        <v>0</v>
      </c>
      <c r="L408" s="19" t="str">
        <f aca="false">IF($A408="","",IF($J408=0,"Sem registro anterior",IF($K408&lt;21,"Histórico insuficiente",IF($J408&lt;0.8,"Subcarga",IF($J408&lt;=1.3,"Zona ideal",IF($J408&lt;=1.5,"Atenção","Risco elevado"))))))</f>
        <v/>
      </c>
      <c r="M408" s="20"/>
    </row>
    <row r="409" customFormat="false" ht="15" hidden="false" customHeight="false" outlineLevel="0" collapsed="false">
      <c r="A409" s="21"/>
      <c r="B409" s="33" t="n">
        <f aca="false">IF($A409="",0,INT(($A409-Macrociclo!$C$11)/7)+1)</f>
        <v>0</v>
      </c>
      <c r="C409" s="20"/>
      <c r="D409" s="20"/>
      <c r="E409" s="22"/>
      <c r="F409" s="22"/>
      <c r="G409" s="48" t="n">
        <f aca="false">IF(OR($E409="",$F409=""),0,$E409*$F409)</f>
        <v>0</v>
      </c>
      <c r="H409" s="48" t="n">
        <f aca="false">IF($A409="",0,SUMIFS($G$8:$G$1007,$C$8:$C$1007,$C409,$A$8:$A$1007,"&gt;="&amp;$A409-6,$A$8:$A$1007,"&lt;="&amp;$A409))</f>
        <v>0</v>
      </c>
      <c r="I409" s="48" t="n">
        <f aca="false">IF($A409="",0,SUMIFS($G$8:$G$1007,$C$8:$C$1007,$C409,$A$8:$A$1007,"&gt;="&amp;$A409-27,$A$8:$A$1007,"&lt;="&amp;$A409)/4)</f>
        <v>0</v>
      </c>
      <c r="J409" s="67" t="n">
        <f aca="false">IF(OR($A409="",$I409=0),0,$H409/$I409)</f>
        <v>0</v>
      </c>
      <c r="K409" s="33" t="n">
        <f aca="false">IF($A409="",0,$A409-SUMPRODUCT(MIN(($C$8:$C$1007=$C409)*$A$8:$A$1007+($C$8:$C$1007&lt;&gt;$C409)*100000))+1)</f>
        <v>0</v>
      </c>
      <c r="L409" s="19" t="str">
        <f aca="false">IF($A409="","",IF($J409=0,"Sem registro anterior",IF($K409&lt;21,"Histórico insuficiente",IF($J409&lt;0.8,"Subcarga",IF($J409&lt;=1.3,"Zona ideal",IF($J409&lt;=1.5,"Atenção","Risco elevado"))))))</f>
        <v/>
      </c>
      <c r="M409" s="20"/>
    </row>
    <row r="410" customFormat="false" ht="15" hidden="false" customHeight="false" outlineLevel="0" collapsed="false">
      <c r="A410" s="21"/>
      <c r="B410" s="33" t="n">
        <f aca="false">IF($A410="",0,INT(($A410-Macrociclo!$C$11)/7)+1)</f>
        <v>0</v>
      </c>
      <c r="C410" s="20"/>
      <c r="D410" s="20"/>
      <c r="E410" s="22"/>
      <c r="F410" s="22"/>
      <c r="G410" s="48" t="n">
        <f aca="false">IF(OR($E410="",$F410=""),0,$E410*$F410)</f>
        <v>0</v>
      </c>
      <c r="H410" s="48" t="n">
        <f aca="false">IF($A410="",0,SUMIFS($G$8:$G$1007,$C$8:$C$1007,$C410,$A$8:$A$1007,"&gt;="&amp;$A410-6,$A$8:$A$1007,"&lt;="&amp;$A410))</f>
        <v>0</v>
      </c>
      <c r="I410" s="48" t="n">
        <f aca="false">IF($A410="",0,SUMIFS($G$8:$G$1007,$C$8:$C$1007,$C410,$A$8:$A$1007,"&gt;="&amp;$A410-27,$A$8:$A$1007,"&lt;="&amp;$A410)/4)</f>
        <v>0</v>
      </c>
      <c r="J410" s="67" t="n">
        <f aca="false">IF(OR($A410="",$I410=0),0,$H410/$I410)</f>
        <v>0</v>
      </c>
      <c r="K410" s="33" t="n">
        <f aca="false">IF($A410="",0,$A410-SUMPRODUCT(MIN(($C$8:$C$1007=$C410)*$A$8:$A$1007+($C$8:$C$1007&lt;&gt;$C410)*100000))+1)</f>
        <v>0</v>
      </c>
      <c r="L410" s="19" t="str">
        <f aca="false">IF($A410="","",IF($J410=0,"Sem registro anterior",IF($K410&lt;21,"Histórico insuficiente",IF($J410&lt;0.8,"Subcarga",IF($J410&lt;=1.3,"Zona ideal",IF($J410&lt;=1.5,"Atenção","Risco elevado"))))))</f>
        <v/>
      </c>
      <c r="M410" s="20"/>
    </row>
    <row r="411" customFormat="false" ht="15" hidden="false" customHeight="false" outlineLevel="0" collapsed="false">
      <c r="A411" s="21"/>
      <c r="B411" s="33" t="n">
        <f aca="false">IF($A411="",0,INT(($A411-Macrociclo!$C$11)/7)+1)</f>
        <v>0</v>
      </c>
      <c r="C411" s="20"/>
      <c r="D411" s="20"/>
      <c r="E411" s="22"/>
      <c r="F411" s="22"/>
      <c r="G411" s="48" t="n">
        <f aca="false">IF(OR($E411="",$F411=""),0,$E411*$F411)</f>
        <v>0</v>
      </c>
      <c r="H411" s="48" t="n">
        <f aca="false">IF($A411="",0,SUMIFS($G$8:$G$1007,$C$8:$C$1007,$C411,$A$8:$A$1007,"&gt;="&amp;$A411-6,$A$8:$A$1007,"&lt;="&amp;$A411))</f>
        <v>0</v>
      </c>
      <c r="I411" s="48" t="n">
        <f aca="false">IF($A411="",0,SUMIFS($G$8:$G$1007,$C$8:$C$1007,$C411,$A$8:$A$1007,"&gt;="&amp;$A411-27,$A$8:$A$1007,"&lt;="&amp;$A411)/4)</f>
        <v>0</v>
      </c>
      <c r="J411" s="67" t="n">
        <f aca="false">IF(OR($A411="",$I411=0),0,$H411/$I411)</f>
        <v>0</v>
      </c>
      <c r="K411" s="33" t="n">
        <f aca="false">IF($A411="",0,$A411-SUMPRODUCT(MIN(($C$8:$C$1007=$C411)*$A$8:$A$1007+($C$8:$C$1007&lt;&gt;$C411)*100000))+1)</f>
        <v>0</v>
      </c>
      <c r="L411" s="19" t="str">
        <f aca="false">IF($A411="","",IF($J411=0,"Sem registro anterior",IF($K411&lt;21,"Histórico insuficiente",IF($J411&lt;0.8,"Subcarga",IF($J411&lt;=1.3,"Zona ideal",IF($J411&lt;=1.5,"Atenção","Risco elevado"))))))</f>
        <v/>
      </c>
      <c r="M411" s="20"/>
    </row>
    <row r="412" customFormat="false" ht="15" hidden="false" customHeight="false" outlineLevel="0" collapsed="false">
      <c r="A412" s="21"/>
      <c r="B412" s="33" t="n">
        <f aca="false">IF($A412="",0,INT(($A412-Macrociclo!$C$11)/7)+1)</f>
        <v>0</v>
      </c>
      <c r="C412" s="20"/>
      <c r="D412" s="20"/>
      <c r="E412" s="22"/>
      <c r="F412" s="22"/>
      <c r="G412" s="48" t="n">
        <f aca="false">IF(OR($E412="",$F412=""),0,$E412*$F412)</f>
        <v>0</v>
      </c>
      <c r="H412" s="48" t="n">
        <f aca="false">IF($A412="",0,SUMIFS($G$8:$G$1007,$C$8:$C$1007,$C412,$A$8:$A$1007,"&gt;="&amp;$A412-6,$A$8:$A$1007,"&lt;="&amp;$A412))</f>
        <v>0</v>
      </c>
      <c r="I412" s="48" t="n">
        <f aca="false">IF($A412="",0,SUMIFS($G$8:$G$1007,$C$8:$C$1007,$C412,$A$8:$A$1007,"&gt;="&amp;$A412-27,$A$8:$A$1007,"&lt;="&amp;$A412)/4)</f>
        <v>0</v>
      </c>
      <c r="J412" s="67" t="n">
        <f aca="false">IF(OR($A412="",$I412=0),0,$H412/$I412)</f>
        <v>0</v>
      </c>
      <c r="K412" s="33" t="n">
        <f aca="false">IF($A412="",0,$A412-SUMPRODUCT(MIN(($C$8:$C$1007=$C412)*$A$8:$A$1007+($C$8:$C$1007&lt;&gt;$C412)*100000))+1)</f>
        <v>0</v>
      </c>
      <c r="L412" s="19" t="str">
        <f aca="false">IF($A412="","",IF($J412=0,"Sem registro anterior",IF($K412&lt;21,"Histórico insuficiente",IF($J412&lt;0.8,"Subcarga",IF($J412&lt;=1.3,"Zona ideal",IF($J412&lt;=1.5,"Atenção","Risco elevado"))))))</f>
        <v/>
      </c>
      <c r="M412" s="20"/>
    </row>
    <row r="413" customFormat="false" ht="15" hidden="false" customHeight="false" outlineLevel="0" collapsed="false">
      <c r="A413" s="21"/>
      <c r="B413" s="33" t="n">
        <f aca="false">IF($A413="",0,INT(($A413-Macrociclo!$C$11)/7)+1)</f>
        <v>0</v>
      </c>
      <c r="C413" s="20"/>
      <c r="D413" s="20"/>
      <c r="E413" s="22"/>
      <c r="F413" s="22"/>
      <c r="G413" s="48" t="n">
        <f aca="false">IF(OR($E413="",$F413=""),0,$E413*$F413)</f>
        <v>0</v>
      </c>
      <c r="H413" s="48" t="n">
        <f aca="false">IF($A413="",0,SUMIFS($G$8:$G$1007,$C$8:$C$1007,$C413,$A$8:$A$1007,"&gt;="&amp;$A413-6,$A$8:$A$1007,"&lt;="&amp;$A413))</f>
        <v>0</v>
      </c>
      <c r="I413" s="48" t="n">
        <f aca="false">IF($A413="",0,SUMIFS($G$8:$G$1007,$C$8:$C$1007,$C413,$A$8:$A$1007,"&gt;="&amp;$A413-27,$A$8:$A$1007,"&lt;="&amp;$A413)/4)</f>
        <v>0</v>
      </c>
      <c r="J413" s="67" t="n">
        <f aca="false">IF(OR($A413="",$I413=0),0,$H413/$I413)</f>
        <v>0</v>
      </c>
      <c r="K413" s="33" t="n">
        <f aca="false">IF($A413="",0,$A413-SUMPRODUCT(MIN(($C$8:$C$1007=$C413)*$A$8:$A$1007+($C$8:$C$1007&lt;&gt;$C413)*100000))+1)</f>
        <v>0</v>
      </c>
      <c r="L413" s="19" t="str">
        <f aca="false">IF($A413="","",IF($J413=0,"Sem registro anterior",IF($K413&lt;21,"Histórico insuficiente",IF($J413&lt;0.8,"Subcarga",IF($J413&lt;=1.3,"Zona ideal",IF($J413&lt;=1.5,"Atenção","Risco elevado"))))))</f>
        <v/>
      </c>
      <c r="M413" s="20"/>
    </row>
    <row r="414" customFormat="false" ht="15" hidden="false" customHeight="false" outlineLevel="0" collapsed="false">
      <c r="A414" s="21"/>
      <c r="B414" s="33" t="n">
        <f aca="false">IF($A414="",0,INT(($A414-Macrociclo!$C$11)/7)+1)</f>
        <v>0</v>
      </c>
      <c r="C414" s="20"/>
      <c r="D414" s="20"/>
      <c r="E414" s="22"/>
      <c r="F414" s="22"/>
      <c r="G414" s="48" t="n">
        <f aca="false">IF(OR($E414="",$F414=""),0,$E414*$F414)</f>
        <v>0</v>
      </c>
      <c r="H414" s="48" t="n">
        <f aca="false">IF($A414="",0,SUMIFS($G$8:$G$1007,$C$8:$C$1007,$C414,$A$8:$A$1007,"&gt;="&amp;$A414-6,$A$8:$A$1007,"&lt;="&amp;$A414))</f>
        <v>0</v>
      </c>
      <c r="I414" s="48" t="n">
        <f aca="false">IF($A414="",0,SUMIFS($G$8:$G$1007,$C$8:$C$1007,$C414,$A$8:$A$1007,"&gt;="&amp;$A414-27,$A$8:$A$1007,"&lt;="&amp;$A414)/4)</f>
        <v>0</v>
      </c>
      <c r="J414" s="67" t="n">
        <f aca="false">IF(OR($A414="",$I414=0),0,$H414/$I414)</f>
        <v>0</v>
      </c>
      <c r="K414" s="33" t="n">
        <f aca="false">IF($A414="",0,$A414-SUMPRODUCT(MIN(($C$8:$C$1007=$C414)*$A$8:$A$1007+($C$8:$C$1007&lt;&gt;$C414)*100000))+1)</f>
        <v>0</v>
      </c>
      <c r="L414" s="19" t="str">
        <f aca="false">IF($A414="","",IF($J414=0,"Sem registro anterior",IF($K414&lt;21,"Histórico insuficiente",IF($J414&lt;0.8,"Subcarga",IF($J414&lt;=1.3,"Zona ideal",IF($J414&lt;=1.5,"Atenção","Risco elevado"))))))</f>
        <v/>
      </c>
      <c r="M414" s="20"/>
    </row>
    <row r="415" customFormat="false" ht="15" hidden="false" customHeight="false" outlineLevel="0" collapsed="false">
      <c r="A415" s="21"/>
      <c r="B415" s="33" t="n">
        <f aca="false">IF($A415="",0,INT(($A415-Macrociclo!$C$11)/7)+1)</f>
        <v>0</v>
      </c>
      <c r="C415" s="20"/>
      <c r="D415" s="20"/>
      <c r="E415" s="22"/>
      <c r="F415" s="22"/>
      <c r="G415" s="48" t="n">
        <f aca="false">IF(OR($E415="",$F415=""),0,$E415*$F415)</f>
        <v>0</v>
      </c>
      <c r="H415" s="48" t="n">
        <f aca="false">IF($A415="",0,SUMIFS($G$8:$G$1007,$C$8:$C$1007,$C415,$A$8:$A$1007,"&gt;="&amp;$A415-6,$A$8:$A$1007,"&lt;="&amp;$A415))</f>
        <v>0</v>
      </c>
      <c r="I415" s="48" t="n">
        <f aca="false">IF($A415="",0,SUMIFS($G$8:$G$1007,$C$8:$C$1007,$C415,$A$8:$A$1007,"&gt;="&amp;$A415-27,$A$8:$A$1007,"&lt;="&amp;$A415)/4)</f>
        <v>0</v>
      </c>
      <c r="J415" s="67" t="n">
        <f aca="false">IF(OR($A415="",$I415=0),0,$H415/$I415)</f>
        <v>0</v>
      </c>
      <c r="K415" s="33" t="n">
        <f aca="false">IF($A415="",0,$A415-SUMPRODUCT(MIN(($C$8:$C$1007=$C415)*$A$8:$A$1007+($C$8:$C$1007&lt;&gt;$C415)*100000))+1)</f>
        <v>0</v>
      </c>
      <c r="L415" s="19" t="str">
        <f aca="false">IF($A415="","",IF($J415=0,"Sem registro anterior",IF($K415&lt;21,"Histórico insuficiente",IF($J415&lt;0.8,"Subcarga",IF($J415&lt;=1.3,"Zona ideal",IF($J415&lt;=1.5,"Atenção","Risco elevado"))))))</f>
        <v/>
      </c>
      <c r="M415" s="20"/>
    </row>
    <row r="416" customFormat="false" ht="15" hidden="false" customHeight="false" outlineLevel="0" collapsed="false">
      <c r="A416" s="21"/>
      <c r="B416" s="33" t="n">
        <f aca="false">IF($A416="",0,INT(($A416-Macrociclo!$C$11)/7)+1)</f>
        <v>0</v>
      </c>
      <c r="C416" s="20"/>
      <c r="D416" s="20"/>
      <c r="E416" s="22"/>
      <c r="F416" s="22"/>
      <c r="G416" s="48" t="n">
        <f aca="false">IF(OR($E416="",$F416=""),0,$E416*$F416)</f>
        <v>0</v>
      </c>
      <c r="H416" s="48" t="n">
        <f aca="false">IF($A416="",0,SUMIFS($G$8:$G$1007,$C$8:$C$1007,$C416,$A$8:$A$1007,"&gt;="&amp;$A416-6,$A$8:$A$1007,"&lt;="&amp;$A416))</f>
        <v>0</v>
      </c>
      <c r="I416" s="48" t="n">
        <f aca="false">IF($A416="",0,SUMIFS($G$8:$G$1007,$C$8:$C$1007,$C416,$A$8:$A$1007,"&gt;="&amp;$A416-27,$A$8:$A$1007,"&lt;="&amp;$A416)/4)</f>
        <v>0</v>
      </c>
      <c r="J416" s="67" t="n">
        <f aca="false">IF(OR($A416="",$I416=0),0,$H416/$I416)</f>
        <v>0</v>
      </c>
      <c r="K416" s="33" t="n">
        <f aca="false">IF($A416="",0,$A416-SUMPRODUCT(MIN(($C$8:$C$1007=$C416)*$A$8:$A$1007+($C$8:$C$1007&lt;&gt;$C416)*100000))+1)</f>
        <v>0</v>
      </c>
      <c r="L416" s="19" t="str">
        <f aca="false">IF($A416="","",IF($J416=0,"Sem registro anterior",IF($K416&lt;21,"Histórico insuficiente",IF($J416&lt;0.8,"Subcarga",IF($J416&lt;=1.3,"Zona ideal",IF($J416&lt;=1.5,"Atenção","Risco elevado"))))))</f>
        <v/>
      </c>
      <c r="M416" s="20"/>
    </row>
    <row r="417" customFormat="false" ht="15" hidden="false" customHeight="false" outlineLevel="0" collapsed="false">
      <c r="A417" s="21"/>
      <c r="B417" s="33" t="n">
        <f aca="false">IF($A417="",0,INT(($A417-Macrociclo!$C$11)/7)+1)</f>
        <v>0</v>
      </c>
      <c r="C417" s="20"/>
      <c r="D417" s="20"/>
      <c r="E417" s="22"/>
      <c r="F417" s="22"/>
      <c r="G417" s="48" t="n">
        <f aca="false">IF(OR($E417="",$F417=""),0,$E417*$F417)</f>
        <v>0</v>
      </c>
      <c r="H417" s="48" t="n">
        <f aca="false">IF($A417="",0,SUMIFS($G$8:$G$1007,$C$8:$C$1007,$C417,$A$8:$A$1007,"&gt;="&amp;$A417-6,$A$8:$A$1007,"&lt;="&amp;$A417))</f>
        <v>0</v>
      </c>
      <c r="I417" s="48" t="n">
        <f aca="false">IF($A417="",0,SUMIFS($G$8:$G$1007,$C$8:$C$1007,$C417,$A$8:$A$1007,"&gt;="&amp;$A417-27,$A$8:$A$1007,"&lt;="&amp;$A417)/4)</f>
        <v>0</v>
      </c>
      <c r="J417" s="67" t="n">
        <f aca="false">IF(OR($A417="",$I417=0),0,$H417/$I417)</f>
        <v>0</v>
      </c>
      <c r="K417" s="33" t="n">
        <f aca="false">IF($A417="",0,$A417-SUMPRODUCT(MIN(($C$8:$C$1007=$C417)*$A$8:$A$1007+($C$8:$C$1007&lt;&gt;$C417)*100000))+1)</f>
        <v>0</v>
      </c>
      <c r="L417" s="19" t="str">
        <f aca="false">IF($A417="","",IF($J417=0,"Sem registro anterior",IF($K417&lt;21,"Histórico insuficiente",IF($J417&lt;0.8,"Subcarga",IF($J417&lt;=1.3,"Zona ideal",IF($J417&lt;=1.5,"Atenção","Risco elevado"))))))</f>
        <v/>
      </c>
      <c r="M417" s="20"/>
    </row>
    <row r="418" customFormat="false" ht="15" hidden="false" customHeight="false" outlineLevel="0" collapsed="false">
      <c r="A418" s="21"/>
      <c r="B418" s="33" t="n">
        <f aca="false">IF($A418="",0,INT(($A418-Macrociclo!$C$11)/7)+1)</f>
        <v>0</v>
      </c>
      <c r="C418" s="20"/>
      <c r="D418" s="20"/>
      <c r="E418" s="22"/>
      <c r="F418" s="22"/>
      <c r="G418" s="48" t="n">
        <f aca="false">IF(OR($E418="",$F418=""),0,$E418*$F418)</f>
        <v>0</v>
      </c>
      <c r="H418" s="48" t="n">
        <f aca="false">IF($A418="",0,SUMIFS($G$8:$G$1007,$C$8:$C$1007,$C418,$A$8:$A$1007,"&gt;="&amp;$A418-6,$A$8:$A$1007,"&lt;="&amp;$A418))</f>
        <v>0</v>
      </c>
      <c r="I418" s="48" t="n">
        <f aca="false">IF($A418="",0,SUMIFS($G$8:$G$1007,$C$8:$C$1007,$C418,$A$8:$A$1007,"&gt;="&amp;$A418-27,$A$8:$A$1007,"&lt;="&amp;$A418)/4)</f>
        <v>0</v>
      </c>
      <c r="J418" s="67" t="n">
        <f aca="false">IF(OR($A418="",$I418=0),0,$H418/$I418)</f>
        <v>0</v>
      </c>
      <c r="K418" s="33" t="n">
        <f aca="false">IF($A418="",0,$A418-SUMPRODUCT(MIN(($C$8:$C$1007=$C418)*$A$8:$A$1007+($C$8:$C$1007&lt;&gt;$C418)*100000))+1)</f>
        <v>0</v>
      </c>
      <c r="L418" s="19" t="str">
        <f aca="false">IF($A418="","",IF($J418=0,"Sem registro anterior",IF($K418&lt;21,"Histórico insuficiente",IF($J418&lt;0.8,"Subcarga",IF($J418&lt;=1.3,"Zona ideal",IF($J418&lt;=1.5,"Atenção","Risco elevado"))))))</f>
        <v/>
      </c>
      <c r="M418" s="20"/>
    </row>
    <row r="419" customFormat="false" ht="15" hidden="false" customHeight="false" outlineLevel="0" collapsed="false">
      <c r="A419" s="21"/>
      <c r="B419" s="33" t="n">
        <f aca="false">IF($A419="",0,INT(($A419-Macrociclo!$C$11)/7)+1)</f>
        <v>0</v>
      </c>
      <c r="C419" s="20"/>
      <c r="D419" s="20"/>
      <c r="E419" s="22"/>
      <c r="F419" s="22"/>
      <c r="G419" s="48" t="n">
        <f aca="false">IF(OR($E419="",$F419=""),0,$E419*$F419)</f>
        <v>0</v>
      </c>
      <c r="H419" s="48" t="n">
        <f aca="false">IF($A419="",0,SUMIFS($G$8:$G$1007,$C$8:$C$1007,$C419,$A$8:$A$1007,"&gt;="&amp;$A419-6,$A$8:$A$1007,"&lt;="&amp;$A419))</f>
        <v>0</v>
      </c>
      <c r="I419" s="48" t="n">
        <f aca="false">IF($A419="",0,SUMIFS($G$8:$G$1007,$C$8:$C$1007,$C419,$A$8:$A$1007,"&gt;="&amp;$A419-27,$A$8:$A$1007,"&lt;="&amp;$A419)/4)</f>
        <v>0</v>
      </c>
      <c r="J419" s="67" t="n">
        <f aca="false">IF(OR($A419="",$I419=0),0,$H419/$I419)</f>
        <v>0</v>
      </c>
      <c r="K419" s="33" t="n">
        <f aca="false">IF($A419="",0,$A419-SUMPRODUCT(MIN(($C$8:$C$1007=$C419)*$A$8:$A$1007+($C$8:$C$1007&lt;&gt;$C419)*100000))+1)</f>
        <v>0</v>
      </c>
      <c r="L419" s="19" t="str">
        <f aca="false">IF($A419="","",IF($J419=0,"Sem registro anterior",IF($K419&lt;21,"Histórico insuficiente",IF($J419&lt;0.8,"Subcarga",IF($J419&lt;=1.3,"Zona ideal",IF($J419&lt;=1.5,"Atenção","Risco elevado"))))))</f>
        <v/>
      </c>
      <c r="M419" s="20"/>
    </row>
    <row r="420" customFormat="false" ht="15" hidden="false" customHeight="false" outlineLevel="0" collapsed="false">
      <c r="A420" s="21"/>
      <c r="B420" s="33" t="n">
        <f aca="false">IF($A420="",0,INT(($A420-Macrociclo!$C$11)/7)+1)</f>
        <v>0</v>
      </c>
      <c r="C420" s="20"/>
      <c r="D420" s="20"/>
      <c r="E420" s="22"/>
      <c r="F420" s="22"/>
      <c r="G420" s="48" t="n">
        <f aca="false">IF(OR($E420="",$F420=""),0,$E420*$F420)</f>
        <v>0</v>
      </c>
      <c r="H420" s="48" t="n">
        <f aca="false">IF($A420="",0,SUMIFS($G$8:$G$1007,$C$8:$C$1007,$C420,$A$8:$A$1007,"&gt;="&amp;$A420-6,$A$8:$A$1007,"&lt;="&amp;$A420))</f>
        <v>0</v>
      </c>
      <c r="I420" s="48" t="n">
        <f aca="false">IF($A420="",0,SUMIFS($G$8:$G$1007,$C$8:$C$1007,$C420,$A$8:$A$1007,"&gt;="&amp;$A420-27,$A$8:$A$1007,"&lt;="&amp;$A420)/4)</f>
        <v>0</v>
      </c>
      <c r="J420" s="67" t="n">
        <f aca="false">IF(OR($A420="",$I420=0),0,$H420/$I420)</f>
        <v>0</v>
      </c>
      <c r="K420" s="33" t="n">
        <f aca="false">IF($A420="",0,$A420-SUMPRODUCT(MIN(($C$8:$C$1007=$C420)*$A$8:$A$1007+($C$8:$C$1007&lt;&gt;$C420)*100000))+1)</f>
        <v>0</v>
      </c>
      <c r="L420" s="19" t="str">
        <f aca="false">IF($A420="","",IF($J420=0,"Sem registro anterior",IF($K420&lt;21,"Histórico insuficiente",IF($J420&lt;0.8,"Subcarga",IF($J420&lt;=1.3,"Zona ideal",IF($J420&lt;=1.5,"Atenção","Risco elevado"))))))</f>
        <v/>
      </c>
      <c r="M420" s="20"/>
    </row>
    <row r="421" customFormat="false" ht="15" hidden="false" customHeight="false" outlineLevel="0" collapsed="false">
      <c r="A421" s="21"/>
      <c r="B421" s="33" t="n">
        <f aca="false">IF($A421="",0,INT(($A421-Macrociclo!$C$11)/7)+1)</f>
        <v>0</v>
      </c>
      <c r="C421" s="20"/>
      <c r="D421" s="20"/>
      <c r="E421" s="22"/>
      <c r="F421" s="22"/>
      <c r="G421" s="48" t="n">
        <f aca="false">IF(OR($E421="",$F421=""),0,$E421*$F421)</f>
        <v>0</v>
      </c>
      <c r="H421" s="48" t="n">
        <f aca="false">IF($A421="",0,SUMIFS($G$8:$G$1007,$C$8:$C$1007,$C421,$A$8:$A$1007,"&gt;="&amp;$A421-6,$A$8:$A$1007,"&lt;="&amp;$A421))</f>
        <v>0</v>
      </c>
      <c r="I421" s="48" t="n">
        <f aca="false">IF($A421="",0,SUMIFS($G$8:$G$1007,$C$8:$C$1007,$C421,$A$8:$A$1007,"&gt;="&amp;$A421-27,$A$8:$A$1007,"&lt;="&amp;$A421)/4)</f>
        <v>0</v>
      </c>
      <c r="J421" s="67" t="n">
        <f aca="false">IF(OR($A421="",$I421=0),0,$H421/$I421)</f>
        <v>0</v>
      </c>
      <c r="K421" s="33" t="n">
        <f aca="false">IF($A421="",0,$A421-SUMPRODUCT(MIN(($C$8:$C$1007=$C421)*$A$8:$A$1007+($C$8:$C$1007&lt;&gt;$C421)*100000))+1)</f>
        <v>0</v>
      </c>
      <c r="L421" s="19" t="str">
        <f aca="false">IF($A421="","",IF($J421=0,"Sem registro anterior",IF($K421&lt;21,"Histórico insuficiente",IF($J421&lt;0.8,"Subcarga",IF($J421&lt;=1.3,"Zona ideal",IF($J421&lt;=1.5,"Atenção","Risco elevado"))))))</f>
        <v/>
      </c>
      <c r="M421" s="20"/>
    </row>
    <row r="422" customFormat="false" ht="15" hidden="false" customHeight="false" outlineLevel="0" collapsed="false">
      <c r="A422" s="21"/>
      <c r="B422" s="33" t="n">
        <f aca="false">IF($A422="",0,INT(($A422-Macrociclo!$C$11)/7)+1)</f>
        <v>0</v>
      </c>
      <c r="C422" s="20"/>
      <c r="D422" s="20"/>
      <c r="E422" s="22"/>
      <c r="F422" s="22"/>
      <c r="G422" s="48" t="n">
        <f aca="false">IF(OR($E422="",$F422=""),0,$E422*$F422)</f>
        <v>0</v>
      </c>
      <c r="H422" s="48" t="n">
        <f aca="false">IF($A422="",0,SUMIFS($G$8:$G$1007,$C$8:$C$1007,$C422,$A$8:$A$1007,"&gt;="&amp;$A422-6,$A$8:$A$1007,"&lt;="&amp;$A422))</f>
        <v>0</v>
      </c>
      <c r="I422" s="48" t="n">
        <f aca="false">IF($A422="",0,SUMIFS($G$8:$G$1007,$C$8:$C$1007,$C422,$A$8:$A$1007,"&gt;="&amp;$A422-27,$A$8:$A$1007,"&lt;="&amp;$A422)/4)</f>
        <v>0</v>
      </c>
      <c r="J422" s="67" t="n">
        <f aca="false">IF(OR($A422="",$I422=0),0,$H422/$I422)</f>
        <v>0</v>
      </c>
      <c r="K422" s="33" t="n">
        <f aca="false">IF($A422="",0,$A422-SUMPRODUCT(MIN(($C$8:$C$1007=$C422)*$A$8:$A$1007+($C$8:$C$1007&lt;&gt;$C422)*100000))+1)</f>
        <v>0</v>
      </c>
      <c r="L422" s="19" t="str">
        <f aca="false">IF($A422="","",IF($J422=0,"Sem registro anterior",IF($K422&lt;21,"Histórico insuficiente",IF($J422&lt;0.8,"Subcarga",IF($J422&lt;=1.3,"Zona ideal",IF($J422&lt;=1.5,"Atenção","Risco elevado"))))))</f>
        <v/>
      </c>
      <c r="M422" s="20"/>
    </row>
    <row r="423" customFormat="false" ht="15" hidden="false" customHeight="false" outlineLevel="0" collapsed="false">
      <c r="A423" s="21"/>
      <c r="B423" s="33" t="n">
        <f aca="false">IF($A423="",0,INT(($A423-Macrociclo!$C$11)/7)+1)</f>
        <v>0</v>
      </c>
      <c r="C423" s="20"/>
      <c r="D423" s="20"/>
      <c r="E423" s="22"/>
      <c r="F423" s="22"/>
      <c r="G423" s="48" t="n">
        <f aca="false">IF(OR($E423="",$F423=""),0,$E423*$F423)</f>
        <v>0</v>
      </c>
      <c r="H423" s="48" t="n">
        <f aca="false">IF($A423="",0,SUMIFS($G$8:$G$1007,$C$8:$C$1007,$C423,$A$8:$A$1007,"&gt;="&amp;$A423-6,$A$8:$A$1007,"&lt;="&amp;$A423))</f>
        <v>0</v>
      </c>
      <c r="I423" s="48" t="n">
        <f aca="false">IF($A423="",0,SUMIFS($G$8:$G$1007,$C$8:$C$1007,$C423,$A$8:$A$1007,"&gt;="&amp;$A423-27,$A$8:$A$1007,"&lt;="&amp;$A423)/4)</f>
        <v>0</v>
      </c>
      <c r="J423" s="67" t="n">
        <f aca="false">IF(OR($A423="",$I423=0),0,$H423/$I423)</f>
        <v>0</v>
      </c>
      <c r="K423" s="33" t="n">
        <f aca="false">IF($A423="",0,$A423-SUMPRODUCT(MIN(($C$8:$C$1007=$C423)*$A$8:$A$1007+($C$8:$C$1007&lt;&gt;$C423)*100000))+1)</f>
        <v>0</v>
      </c>
      <c r="L423" s="19" t="str">
        <f aca="false">IF($A423="","",IF($J423=0,"Sem registro anterior",IF($K423&lt;21,"Histórico insuficiente",IF($J423&lt;0.8,"Subcarga",IF($J423&lt;=1.3,"Zona ideal",IF($J423&lt;=1.5,"Atenção","Risco elevado"))))))</f>
        <v/>
      </c>
      <c r="M423" s="20"/>
    </row>
    <row r="424" customFormat="false" ht="15" hidden="false" customHeight="false" outlineLevel="0" collapsed="false">
      <c r="A424" s="21"/>
      <c r="B424" s="33" t="n">
        <f aca="false">IF($A424="",0,INT(($A424-Macrociclo!$C$11)/7)+1)</f>
        <v>0</v>
      </c>
      <c r="C424" s="20"/>
      <c r="D424" s="20"/>
      <c r="E424" s="22"/>
      <c r="F424" s="22"/>
      <c r="G424" s="48" t="n">
        <f aca="false">IF(OR($E424="",$F424=""),0,$E424*$F424)</f>
        <v>0</v>
      </c>
      <c r="H424" s="48" t="n">
        <f aca="false">IF($A424="",0,SUMIFS($G$8:$G$1007,$C$8:$C$1007,$C424,$A$8:$A$1007,"&gt;="&amp;$A424-6,$A$8:$A$1007,"&lt;="&amp;$A424))</f>
        <v>0</v>
      </c>
      <c r="I424" s="48" t="n">
        <f aca="false">IF($A424="",0,SUMIFS($G$8:$G$1007,$C$8:$C$1007,$C424,$A$8:$A$1007,"&gt;="&amp;$A424-27,$A$8:$A$1007,"&lt;="&amp;$A424)/4)</f>
        <v>0</v>
      </c>
      <c r="J424" s="67" t="n">
        <f aca="false">IF(OR($A424="",$I424=0),0,$H424/$I424)</f>
        <v>0</v>
      </c>
      <c r="K424" s="33" t="n">
        <f aca="false">IF($A424="",0,$A424-SUMPRODUCT(MIN(($C$8:$C$1007=$C424)*$A$8:$A$1007+($C$8:$C$1007&lt;&gt;$C424)*100000))+1)</f>
        <v>0</v>
      </c>
      <c r="L424" s="19" t="str">
        <f aca="false">IF($A424="","",IF($J424=0,"Sem registro anterior",IF($K424&lt;21,"Histórico insuficiente",IF($J424&lt;0.8,"Subcarga",IF($J424&lt;=1.3,"Zona ideal",IF($J424&lt;=1.5,"Atenção","Risco elevado"))))))</f>
        <v/>
      </c>
      <c r="M424" s="20"/>
    </row>
    <row r="425" customFormat="false" ht="15" hidden="false" customHeight="false" outlineLevel="0" collapsed="false">
      <c r="A425" s="21"/>
      <c r="B425" s="33" t="n">
        <f aca="false">IF($A425="",0,INT(($A425-Macrociclo!$C$11)/7)+1)</f>
        <v>0</v>
      </c>
      <c r="C425" s="20"/>
      <c r="D425" s="20"/>
      <c r="E425" s="22"/>
      <c r="F425" s="22"/>
      <c r="G425" s="48" t="n">
        <f aca="false">IF(OR($E425="",$F425=""),0,$E425*$F425)</f>
        <v>0</v>
      </c>
      <c r="H425" s="48" t="n">
        <f aca="false">IF($A425="",0,SUMIFS($G$8:$G$1007,$C$8:$C$1007,$C425,$A$8:$A$1007,"&gt;="&amp;$A425-6,$A$8:$A$1007,"&lt;="&amp;$A425))</f>
        <v>0</v>
      </c>
      <c r="I425" s="48" t="n">
        <f aca="false">IF($A425="",0,SUMIFS($G$8:$G$1007,$C$8:$C$1007,$C425,$A$8:$A$1007,"&gt;="&amp;$A425-27,$A$8:$A$1007,"&lt;="&amp;$A425)/4)</f>
        <v>0</v>
      </c>
      <c r="J425" s="67" t="n">
        <f aca="false">IF(OR($A425="",$I425=0),0,$H425/$I425)</f>
        <v>0</v>
      </c>
      <c r="K425" s="33" t="n">
        <f aca="false">IF($A425="",0,$A425-SUMPRODUCT(MIN(($C$8:$C$1007=$C425)*$A$8:$A$1007+($C$8:$C$1007&lt;&gt;$C425)*100000))+1)</f>
        <v>0</v>
      </c>
      <c r="L425" s="19" t="str">
        <f aca="false">IF($A425="","",IF($J425=0,"Sem registro anterior",IF($K425&lt;21,"Histórico insuficiente",IF($J425&lt;0.8,"Subcarga",IF($J425&lt;=1.3,"Zona ideal",IF($J425&lt;=1.5,"Atenção","Risco elevado"))))))</f>
        <v/>
      </c>
      <c r="M425" s="20"/>
    </row>
    <row r="426" customFormat="false" ht="15" hidden="false" customHeight="false" outlineLevel="0" collapsed="false">
      <c r="A426" s="21"/>
      <c r="B426" s="33" t="n">
        <f aca="false">IF($A426="",0,INT(($A426-Macrociclo!$C$11)/7)+1)</f>
        <v>0</v>
      </c>
      <c r="C426" s="20"/>
      <c r="D426" s="20"/>
      <c r="E426" s="22"/>
      <c r="F426" s="22"/>
      <c r="G426" s="48" t="n">
        <f aca="false">IF(OR($E426="",$F426=""),0,$E426*$F426)</f>
        <v>0</v>
      </c>
      <c r="H426" s="48" t="n">
        <f aca="false">IF($A426="",0,SUMIFS($G$8:$G$1007,$C$8:$C$1007,$C426,$A$8:$A$1007,"&gt;="&amp;$A426-6,$A$8:$A$1007,"&lt;="&amp;$A426))</f>
        <v>0</v>
      </c>
      <c r="I426" s="48" t="n">
        <f aca="false">IF($A426="",0,SUMIFS($G$8:$G$1007,$C$8:$C$1007,$C426,$A$8:$A$1007,"&gt;="&amp;$A426-27,$A$8:$A$1007,"&lt;="&amp;$A426)/4)</f>
        <v>0</v>
      </c>
      <c r="J426" s="67" t="n">
        <f aca="false">IF(OR($A426="",$I426=0),0,$H426/$I426)</f>
        <v>0</v>
      </c>
      <c r="K426" s="33" t="n">
        <f aca="false">IF($A426="",0,$A426-SUMPRODUCT(MIN(($C$8:$C$1007=$C426)*$A$8:$A$1007+($C$8:$C$1007&lt;&gt;$C426)*100000))+1)</f>
        <v>0</v>
      </c>
      <c r="L426" s="19" t="str">
        <f aca="false">IF($A426="","",IF($J426=0,"Sem registro anterior",IF($K426&lt;21,"Histórico insuficiente",IF($J426&lt;0.8,"Subcarga",IF($J426&lt;=1.3,"Zona ideal",IF($J426&lt;=1.5,"Atenção","Risco elevado"))))))</f>
        <v/>
      </c>
      <c r="M426" s="20"/>
    </row>
    <row r="427" customFormat="false" ht="15" hidden="false" customHeight="false" outlineLevel="0" collapsed="false">
      <c r="A427" s="21"/>
      <c r="B427" s="33" t="n">
        <f aca="false">IF($A427="",0,INT(($A427-Macrociclo!$C$11)/7)+1)</f>
        <v>0</v>
      </c>
      <c r="C427" s="20"/>
      <c r="D427" s="20"/>
      <c r="E427" s="22"/>
      <c r="F427" s="22"/>
      <c r="G427" s="48" t="n">
        <f aca="false">IF(OR($E427="",$F427=""),0,$E427*$F427)</f>
        <v>0</v>
      </c>
      <c r="H427" s="48" t="n">
        <f aca="false">IF($A427="",0,SUMIFS($G$8:$G$1007,$C$8:$C$1007,$C427,$A$8:$A$1007,"&gt;="&amp;$A427-6,$A$8:$A$1007,"&lt;="&amp;$A427))</f>
        <v>0</v>
      </c>
      <c r="I427" s="48" t="n">
        <f aca="false">IF($A427="",0,SUMIFS($G$8:$G$1007,$C$8:$C$1007,$C427,$A$8:$A$1007,"&gt;="&amp;$A427-27,$A$8:$A$1007,"&lt;="&amp;$A427)/4)</f>
        <v>0</v>
      </c>
      <c r="J427" s="67" t="n">
        <f aca="false">IF(OR($A427="",$I427=0),0,$H427/$I427)</f>
        <v>0</v>
      </c>
      <c r="K427" s="33" t="n">
        <f aca="false">IF($A427="",0,$A427-SUMPRODUCT(MIN(($C$8:$C$1007=$C427)*$A$8:$A$1007+($C$8:$C$1007&lt;&gt;$C427)*100000))+1)</f>
        <v>0</v>
      </c>
      <c r="L427" s="19" t="str">
        <f aca="false">IF($A427="","",IF($J427=0,"Sem registro anterior",IF($K427&lt;21,"Histórico insuficiente",IF($J427&lt;0.8,"Subcarga",IF($J427&lt;=1.3,"Zona ideal",IF($J427&lt;=1.5,"Atenção","Risco elevado"))))))</f>
        <v/>
      </c>
      <c r="M427" s="20"/>
    </row>
    <row r="428" customFormat="false" ht="15" hidden="false" customHeight="false" outlineLevel="0" collapsed="false">
      <c r="A428" s="21"/>
      <c r="B428" s="33" t="n">
        <f aca="false">IF($A428="",0,INT(($A428-Macrociclo!$C$11)/7)+1)</f>
        <v>0</v>
      </c>
      <c r="C428" s="20"/>
      <c r="D428" s="20"/>
      <c r="E428" s="22"/>
      <c r="F428" s="22"/>
      <c r="G428" s="48" t="n">
        <f aca="false">IF(OR($E428="",$F428=""),0,$E428*$F428)</f>
        <v>0</v>
      </c>
      <c r="H428" s="48" t="n">
        <f aca="false">IF($A428="",0,SUMIFS($G$8:$G$1007,$C$8:$C$1007,$C428,$A$8:$A$1007,"&gt;="&amp;$A428-6,$A$8:$A$1007,"&lt;="&amp;$A428))</f>
        <v>0</v>
      </c>
      <c r="I428" s="48" t="n">
        <f aca="false">IF($A428="",0,SUMIFS($G$8:$G$1007,$C$8:$C$1007,$C428,$A$8:$A$1007,"&gt;="&amp;$A428-27,$A$8:$A$1007,"&lt;="&amp;$A428)/4)</f>
        <v>0</v>
      </c>
      <c r="J428" s="67" t="n">
        <f aca="false">IF(OR($A428="",$I428=0),0,$H428/$I428)</f>
        <v>0</v>
      </c>
      <c r="K428" s="33" t="n">
        <f aca="false">IF($A428="",0,$A428-SUMPRODUCT(MIN(($C$8:$C$1007=$C428)*$A$8:$A$1007+($C$8:$C$1007&lt;&gt;$C428)*100000))+1)</f>
        <v>0</v>
      </c>
      <c r="L428" s="19" t="str">
        <f aca="false">IF($A428="","",IF($J428=0,"Sem registro anterior",IF($K428&lt;21,"Histórico insuficiente",IF($J428&lt;0.8,"Subcarga",IF($J428&lt;=1.3,"Zona ideal",IF($J428&lt;=1.5,"Atenção","Risco elevado"))))))</f>
        <v/>
      </c>
      <c r="M428" s="20"/>
    </row>
    <row r="429" customFormat="false" ht="15" hidden="false" customHeight="false" outlineLevel="0" collapsed="false">
      <c r="A429" s="21"/>
      <c r="B429" s="33" t="n">
        <f aca="false">IF($A429="",0,INT(($A429-Macrociclo!$C$11)/7)+1)</f>
        <v>0</v>
      </c>
      <c r="C429" s="20"/>
      <c r="D429" s="20"/>
      <c r="E429" s="22"/>
      <c r="F429" s="22"/>
      <c r="G429" s="48" t="n">
        <f aca="false">IF(OR($E429="",$F429=""),0,$E429*$F429)</f>
        <v>0</v>
      </c>
      <c r="H429" s="48" t="n">
        <f aca="false">IF($A429="",0,SUMIFS($G$8:$G$1007,$C$8:$C$1007,$C429,$A$8:$A$1007,"&gt;="&amp;$A429-6,$A$8:$A$1007,"&lt;="&amp;$A429))</f>
        <v>0</v>
      </c>
      <c r="I429" s="48" t="n">
        <f aca="false">IF($A429="",0,SUMIFS($G$8:$G$1007,$C$8:$C$1007,$C429,$A$8:$A$1007,"&gt;="&amp;$A429-27,$A$8:$A$1007,"&lt;="&amp;$A429)/4)</f>
        <v>0</v>
      </c>
      <c r="J429" s="67" t="n">
        <f aca="false">IF(OR($A429="",$I429=0),0,$H429/$I429)</f>
        <v>0</v>
      </c>
      <c r="K429" s="33" t="n">
        <f aca="false">IF($A429="",0,$A429-SUMPRODUCT(MIN(($C$8:$C$1007=$C429)*$A$8:$A$1007+($C$8:$C$1007&lt;&gt;$C429)*100000))+1)</f>
        <v>0</v>
      </c>
      <c r="L429" s="19" t="str">
        <f aca="false">IF($A429="","",IF($J429=0,"Sem registro anterior",IF($K429&lt;21,"Histórico insuficiente",IF($J429&lt;0.8,"Subcarga",IF($J429&lt;=1.3,"Zona ideal",IF($J429&lt;=1.5,"Atenção","Risco elevado"))))))</f>
        <v/>
      </c>
      <c r="M429" s="20"/>
    </row>
    <row r="430" customFormat="false" ht="15" hidden="false" customHeight="false" outlineLevel="0" collapsed="false">
      <c r="A430" s="21"/>
      <c r="B430" s="33" t="n">
        <f aca="false">IF($A430="",0,INT(($A430-Macrociclo!$C$11)/7)+1)</f>
        <v>0</v>
      </c>
      <c r="C430" s="20"/>
      <c r="D430" s="20"/>
      <c r="E430" s="22"/>
      <c r="F430" s="22"/>
      <c r="G430" s="48" t="n">
        <f aca="false">IF(OR($E430="",$F430=""),0,$E430*$F430)</f>
        <v>0</v>
      </c>
      <c r="H430" s="48" t="n">
        <f aca="false">IF($A430="",0,SUMIFS($G$8:$G$1007,$C$8:$C$1007,$C430,$A$8:$A$1007,"&gt;="&amp;$A430-6,$A$8:$A$1007,"&lt;="&amp;$A430))</f>
        <v>0</v>
      </c>
      <c r="I430" s="48" t="n">
        <f aca="false">IF($A430="",0,SUMIFS($G$8:$G$1007,$C$8:$C$1007,$C430,$A$8:$A$1007,"&gt;="&amp;$A430-27,$A$8:$A$1007,"&lt;="&amp;$A430)/4)</f>
        <v>0</v>
      </c>
      <c r="J430" s="67" t="n">
        <f aca="false">IF(OR($A430="",$I430=0),0,$H430/$I430)</f>
        <v>0</v>
      </c>
      <c r="K430" s="33" t="n">
        <f aca="false">IF($A430="",0,$A430-SUMPRODUCT(MIN(($C$8:$C$1007=$C430)*$A$8:$A$1007+($C$8:$C$1007&lt;&gt;$C430)*100000))+1)</f>
        <v>0</v>
      </c>
      <c r="L430" s="19" t="str">
        <f aca="false">IF($A430="","",IF($J430=0,"Sem registro anterior",IF($K430&lt;21,"Histórico insuficiente",IF($J430&lt;0.8,"Subcarga",IF($J430&lt;=1.3,"Zona ideal",IF($J430&lt;=1.5,"Atenção","Risco elevado"))))))</f>
        <v/>
      </c>
      <c r="M430" s="20"/>
    </row>
    <row r="431" customFormat="false" ht="15" hidden="false" customHeight="false" outlineLevel="0" collapsed="false">
      <c r="A431" s="21"/>
      <c r="B431" s="33" t="n">
        <f aca="false">IF($A431="",0,INT(($A431-Macrociclo!$C$11)/7)+1)</f>
        <v>0</v>
      </c>
      <c r="C431" s="20"/>
      <c r="D431" s="20"/>
      <c r="E431" s="22"/>
      <c r="F431" s="22"/>
      <c r="G431" s="48" t="n">
        <f aca="false">IF(OR($E431="",$F431=""),0,$E431*$F431)</f>
        <v>0</v>
      </c>
      <c r="H431" s="48" t="n">
        <f aca="false">IF($A431="",0,SUMIFS($G$8:$G$1007,$C$8:$C$1007,$C431,$A$8:$A$1007,"&gt;="&amp;$A431-6,$A$8:$A$1007,"&lt;="&amp;$A431))</f>
        <v>0</v>
      </c>
      <c r="I431" s="48" t="n">
        <f aca="false">IF($A431="",0,SUMIFS($G$8:$G$1007,$C$8:$C$1007,$C431,$A$8:$A$1007,"&gt;="&amp;$A431-27,$A$8:$A$1007,"&lt;="&amp;$A431)/4)</f>
        <v>0</v>
      </c>
      <c r="J431" s="67" t="n">
        <f aca="false">IF(OR($A431="",$I431=0),0,$H431/$I431)</f>
        <v>0</v>
      </c>
      <c r="K431" s="33" t="n">
        <f aca="false">IF($A431="",0,$A431-SUMPRODUCT(MIN(($C$8:$C$1007=$C431)*$A$8:$A$1007+($C$8:$C$1007&lt;&gt;$C431)*100000))+1)</f>
        <v>0</v>
      </c>
      <c r="L431" s="19" t="str">
        <f aca="false">IF($A431="","",IF($J431=0,"Sem registro anterior",IF($K431&lt;21,"Histórico insuficiente",IF($J431&lt;0.8,"Subcarga",IF($J431&lt;=1.3,"Zona ideal",IF($J431&lt;=1.5,"Atenção","Risco elevado"))))))</f>
        <v/>
      </c>
      <c r="M431" s="20"/>
    </row>
    <row r="432" customFormat="false" ht="15" hidden="false" customHeight="false" outlineLevel="0" collapsed="false">
      <c r="A432" s="21"/>
      <c r="B432" s="33" t="n">
        <f aca="false">IF($A432="",0,INT(($A432-Macrociclo!$C$11)/7)+1)</f>
        <v>0</v>
      </c>
      <c r="C432" s="20"/>
      <c r="D432" s="20"/>
      <c r="E432" s="22"/>
      <c r="F432" s="22"/>
      <c r="G432" s="48" t="n">
        <f aca="false">IF(OR($E432="",$F432=""),0,$E432*$F432)</f>
        <v>0</v>
      </c>
      <c r="H432" s="48" t="n">
        <f aca="false">IF($A432="",0,SUMIFS($G$8:$G$1007,$C$8:$C$1007,$C432,$A$8:$A$1007,"&gt;="&amp;$A432-6,$A$8:$A$1007,"&lt;="&amp;$A432))</f>
        <v>0</v>
      </c>
      <c r="I432" s="48" t="n">
        <f aca="false">IF($A432="",0,SUMIFS($G$8:$G$1007,$C$8:$C$1007,$C432,$A$8:$A$1007,"&gt;="&amp;$A432-27,$A$8:$A$1007,"&lt;="&amp;$A432)/4)</f>
        <v>0</v>
      </c>
      <c r="J432" s="67" t="n">
        <f aca="false">IF(OR($A432="",$I432=0),0,$H432/$I432)</f>
        <v>0</v>
      </c>
      <c r="K432" s="33" t="n">
        <f aca="false">IF($A432="",0,$A432-SUMPRODUCT(MIN(($C$8:$C$1007=$C432)*$A$8:$A$1007+($C$8:$C$1007&lt;&gt;$C432)*100000))+1)</f>
        <v>0</v>
      </c>
      <c r="L432" s="19" t="str">
        <f aca="false">IF($A432="","",IF($J432=0,"Sem registro anterior",IF($K432&lt;21,"Histórico insuficiente",IF($J432&lt;0.8,"Subcarga",IF($J432&lt;=1.3,"Zona ideal",IF($J432&lt;=1.5,"Atenção","Risco elevado"))))))</f>
        <v/>
      </c>
      <c r="M432" s="20"/>
    </row>
    <row r="433" customFormat="false" ht="15" hidden="false" customHeight="false" outlineLevel="0" collapsed="false">
      <c r="A433" s="21"/>
      <c r="B433" s="33" t="n">
        <f aca="false">IF($A433="",0,INT(($A433-Macrociclo!$C$11)/7)+1)</f>
        <v>0</v>
      </c>
      <c r="C433" s="20"/>
      <c r="D433" s="20"/>
      <c r="E433" s="22"/>
      <c r="F433" s="22"/>
      <c r="G433" s="48" t="n">
        <f aca="false">IF(OR($E433="",$F433=""),0,$E433*$F433)</f>
        <v>0</v>
      </c>
      <c r="H433" s="48" t="n">
        <f aca="false">IF($A433="",0,SUMIFS($G$8:$G$1007,$C$8:$C$1007,$C433,$A$8:$A$1007,"&gt;="&amp;$A433-6,$A$8:$A$1007,"&lt;="&amp;$A433))</f>
        <v>0</v>
      </c>
      <c r="I433" s="48" t="n">
        <f aca="false">IF($A433="",0,SUMIFS($G$8:$G$1007,$C$8:$C$1007,$C433,$A$8:$A$1007,"&gt;="&amp;$A433-27,$A$8:$A$1007,"&lt;="&amp;$A433)/4)</f>
        <v>0</v>
      </c>
      <c r="J433" s="67" t="n">
        <f aca="false">IF(OR($A433="",$I433=0),0,$H433/$I433)</f>
        <v>0</v>
      </c>
      <c r="K433" s="33" t="n">
        <f aca="false">IF($A433="",0,$A433-SUMPRODUCT(MIN(($C$8:$C$1007=$C433)*$A$8:$A$1007+($C$8:$C$1007&lt;&gt;$C433)*100000))+1)</f>
        <v>0</v>
      </c>
      <c r="L433" s="19" t="str">
        <f aca="false">IF($A433="","",IF($J433=0,"Sem registro anterior",IF($K433&lt;21,"Histórico insuficiente",IF($J433&lt;0.8,"Subcarga",IF($J433&lt;=1.3,"Zona ideal",IF($J433&lt;=1.5,"Atenção","Risco elevado"))))))</f>
        <v/>
      </c>
      <c r="M433" s="20"/>
    </row>
    <row r="434" customFormat="false" ht="15" hidden="false" customHeight="false" outlineLevel="0" collapsed="false">
      <c r="A434" s="21"/>
      <c r="B434" s="33" t="n">
        <f aca="false">IF($A434="",0,INT(($A434-Macrociclo!$C$11)/7)+1)</f>
        <v>0</v>
      </c>
      <c r="C434" s="20"/>
      <c r="D434" s="20"/>
      <c r="E434" s="22"/>
      <c r="F434" s="22"/>
      <c r="G434" s="48" t="n">
        <f aca="false">IF(OR($E434="",$F434=""),0,$E434*$F434)</f>
        <v>0</v>
      </c>
      <c r="H434" s="48" t="n">
        <f aca="false">IF($A434="",0,SUMIFS($G$8:$G$1007,$C$8:$C$1007,$C434,$A$8:$A$1007,"&gt;="&amp;$A434-6,$A$8:$A$1007,"&lt;="&amp;$A434))</f>
        <v>0</v>
      </c>
      <c r="I434" s="48" t="n">
        <f aca="false">IF($A434="",0,SUMIFS($G$8:$G$1007,$C$8:$C$1007,$C434,$A$8:$A$1007,"&gt;="&amp;$A434-27,$A$8:$A$1007,"&lt;="&amp;$A434)/4)</f>
        <v>0</v>
      </c>
      <c r="J434" s="67" t="n">
        <f aca="false">IF(OR($A434="",$I434=0),0,$H434/$I434)</f>
        <v>0</v>
      </c>
      <c r="K434" s="33" t="n">
        <f aca="false">IF($A434="",0,$A434-SUMPRODUCT(MIN(($C$8:$C$1007=$C434)*$A$8:$A$1007+($C$8:$C$1007&lt;&gt;$C434)*100000))+1)</f>
        <v>0</v>
      </c>
      <c r="L434" s="19" t="str">
        <f aca="false">IF($A434="","",IF($J434=0,"Sem registro anterior",IF($K434&lt;21,"Histórico insuficiente",IF($J434&lt;0.8,"Subcarga",IF($J434&lt;=1.3,"Zona ideal",IF($J434&lt;=1.5,"Atenção","Risco elevado"))))))</f>
        <v/>
      </c>
      <c r="M434" s="20"/>
    </row>
    <row r="435" customFormat="false" ht="15" hidden="false" customHeight="false" outlineLevel="0" collapsed="false">
      <c r="A435" s="21"/>
      <c r="B435" s="33" t="n">
        <f aca="false">IF($A435="",0,INT(($A435-Macrociclo!$C$11)/7)+1)</f>
        <v>0</v>
      </c>
      <c r="C435" s="20"/>
      <c r="D435" s="20"/>
      <c r="E435" s="22"/>
      <c r="F435" s="22"/>
      <c r="G435" s="48" t="n">
        <f aca="false">IF(OR($E435="",$F435=""),0,$E435*$F435)</f>
        <v>0</v>
      </c>
      <c r="H435" s="48" t="n">
        <f aca="false">IF($A435="",0,SUMIFS($G$8:$G$1007,$C$8:$C$1007,$C435,$A$8:$A$1007,"&gt;="&amp;$A435-6,$A$8:$A$1007,"&lt;="&amp;$A435))</f>
        <v>0</v>
      </c>
      <c r="I435" s="48" t="n">
        <f aca="false">IF($A435="",0,SUMIFS($G$8:$G$1007,$C$8:$C$1007,$C435,$A$8:$A$1007,"&gt;="&amp;$A435-27,$A$8:$A$1007,"&lt;="&amp;$A435)/4)</f>
        <v>0</v>
      </c>
      <c r="J435" s="67" t="n">
        <f aca="false">IF(OR($A435="",$I435=0),0,$H435/$I435)</f>
        <v>0</v>
      </c>
      <c r="K435" s="33" t="n">
        <f aca="false">IF($A435="",0,$A435-SUMPRODUCT(MIN(($C$8:$C$1007=$C435)*$A$8:$A$1007+($C$8:$C$1007&lt;&gt;$C435)*100000))+1)</f>
        <v>0</v>
      </c>
      <c r="L435" s="19" t="str">
        <f aca="false">IF($A435="","",IF($J435=0,"Sem registro anterior",IF($K435&lt;21,"Histórico insuficiente",IF($J435&lt;0.8,"Subcarga",IF($J435&lt;=1.3,"Zona ideal",IF($J435&lt;=1.5,"Atenção","Risco elevado"))))))</f>
        <v/>
      </c>
      <c r="M435" s="20"/>
    </row>
    <row r="436" customFormat="false" ht="15" hidden="false" customHeight="false" outlineLevel="0" collapsed="false">
      <c r="A436" s="21"/>
      <c r="B436" s="33" t="n">
        <f aca="false">IF($A436="",0,INT(($A436-Macrociclo!$C$11)/7)+1)</f>
        <v>0</v>
      </c>
      <c r="C436" s="20"/>
      <c r="D436" s="20"/>
      <c r="E436" s="22"/>
      <c r="F436" s="22"/>
      <c r="G436" s="48" t="n">
        <f aca="false">IF(OR($E436="",$F436=""),0,$E436*$F436)</f>
        <v>0</v>
      </c>
      <c r="H436" s="48" t="n">
        <f aca="false">IF($A436="",0,SUMIFS($G$8:$G$1007,$C$8:$C$1007,$C436,$A$8:$A$1007,"&gt;="&amp;$A436-6,$A$8:$A$1007,"&lt;="&amp;$A436))</f>
        <v>0</v>
      </c>
      <c r="I436" s="48" t="n">
        <f aca="false">IF($A436="",0,SUMIFS($G$8:$G$1007,$C$8:$C$1007,$C436,$A$8:$A$1007,"&gt;="&amp;$A436-27,$A$8:$A$1007,"&lt;="&amp;$A436)/4)</f>
        <v>0</v>
      </c>
      <c r="J436" s="67" t="n">
        <f aca="false">IF(OR($A436="",$I436=0),0,$H436/$I436)</f>
        <v>0</v>
      </c>
      <c r="K436" s="33" t="n">
        <f aca="false">IF($A436="",0,$A436-SUMPRODUCT(MIN(($C$8:$C$1007=$C436)*$A$8:$A$1007+($C$8:$C$1007&lt;&gt;$C436)*100000))+1)</f>
        <v>0</v>
      </c>
      <c r="L436" s="19" t="str">
        <f aca="false">IF($A436="","",IF($J436=0,"Sem registro anterior",IF($K436&lt;21,"Histórico insuficiente",IF($J436&lt;0.8,"Subcarga",IF($J436&lt;=1.3,"Zona ideal",IF($J436&lt;=1.5,"Atenção","Risco elevado"))))))</f>
        <v/>
      </c>
      <c r="M436" s="20"/>
    </row>
    <row r="437" customFormat="false" ht="15" hidden="false" customHeight="false" outlineLevel="0" collapsed="false">
      <c r="A437" s="21"/>
      <c r="B437" s="33" t="n">
        <f aca="false">IF($A437="",0,INT(($A437-Macrociclo!$C$11)/7)+1)</f>
        <v>0</v>
      </c>
      <c r="C437" s="20"/>
      <c r="D437" s="20"/>
      <c r="E437" s="22"/>
      <c r="F437" s="22"/>
      <c r="G437" s="48" t="n">
        <f aca="false">IF(OR($E437="",$F437=""),0,$E437*$F437)</f>
        <v>0</v>
      </c>
      <c r="H437" s="48" t="n">
        <f aca="false">IF($A437="",0,SUMIFS($G$8:$G$1007,$C$8:$C$1007,$C437,$A$8:$A$1007,"&gt;="&amp;$A437-6,$A$8:$A$1007,"&lt;="&amp;$A437))</f>
        <v>0</v>
      </c>
      <c r="I437" s="48" t="n">
        <f aca="false">IF($A437="",0,SUMIFS($G$8:$G$1007,$C$8:$C$1007,$C437,$A$8:$A$1007,"&gt;="&amp;$A437-27,$A$8:$A$1007,"&lt;="&amp;$A437)/4)</f>
        <v>0</v>
      </c>
      <c r="J437" s="67" t="n">
        <f aca="false">IF(OR($A437="",$I437=0),0,$H437/$I437)</f>
        <v>0</v>
      </c>
      <c r="K437" s="33" t="n">
        <f aca="false">IF($A437="",0,$A437-SUMPRODUCT(MIN(($C$8:$C$1007=$C437)*$A$8:$A$1007+($C$8:$C$1007&lt;&gt;$C437)*100000))+1)</f>
        <v>0</v>
      </c>
      <c r="L437" s="19" t="str">
        <f aca="false">IF($A437="","",IF($J437=0,"Sem registro anterior",IF($K437&lt;21,"Histórico insuficiente",IF($J437&lt;0.8,"Subcarga",IF($J437&lt;=1.3,"Zona ideal",IF($J437&lt;=1.5,"Atenção","Risco elevado"))))))</f>
        <v/>
      </c>
      <c r="M437" s="20"/>
    </row>
    <row r="438" customFormat="false" ht="15" hidden="false" customHeight="false" outlineLevel="0" collapsed="false">
      <c r="A438" s="21"/>
      <c r="B438" s="33" t="n">
        <f aca="false">IF($A438="",0,INT(($A438-Macrociclo!$C$11)/7)+1)</f>
        <v>0</v>
      </c>
      <c r="C438" s="20"/>
      <c r="D438" s="20"/>
      <c r="E438" s="22"/>
      <c r="F438" s="22"/>
      <c r="G438" s="48" t="n">
        <f aca="false">IF(OR($E438="",$F438=""),0,$E438*$F438)</f>
        <v>0</v>
      </c>
      <c r="H438" s="48" t="n">
        <f aca="false">IF($A438="",0,SUMIFS($G$8:$G$1007,$C$8:$C$1007,$C438,$A$8:$A$1007,"&gt;="&amp;$A438-6,$A$8:$A$1007,"&lt;="&amp;$A438))</f>
        <v>0</v>
      </c>
      <c r="I438" s="48" t="n">
        <f aca="false">IF($A438="",0,SUMIFS($G$8:$G$1007,$C$8:$C$1007,$C438,$A$8:$A$1007,"&gt;="&amp;$A438-27,$A$8:$A$1007,"&lt;="&amp;$A438)/4)</f>
        <v>0</v>
      </c>
      <c r="J438" s="67" t="n">
        <f aca="false">IF(OR($A438="",$I438=0),0,$H438/$I438)</f>
        <v>0</v>
      </c>
      <c r="K438" s="33" t="n">
        <f aca="false">IF($A438="",0,$A438-SUMPRODUCT(MIN(($C$8:$C$1007=$C438)*$A$8:$A$1007+($C$8:$C$1007&lt;&gt;$C438)*100000))+1)</f>
        <v>0</v>
      </c>
      <c r="L438" s="19" t="str">
        <f aca="false">IF($A438="","",IF($J438=0,"Sem registro anterior",IF($K438&lt;21,"Histórico insuficiente",IF($J438&lt;0.8,"Subcarga",IF($J438&lt;=1.3,"Zona ideal",IF($J438&lt;=1.5,"Atenção","Risco elevado"))))))</f>
        <v/>
      </c>
      <c r="M438" s="20"/>
    </row>
    <row r="439" customFormat="false" ht="15" hidden="false" customHeight="false" outlineLevel="0" collapsed="false">
      <c r="A439" s="21"/>
      <c r="B439" s="33" t="n">
        <f aca="false">IF($A439="",0,INT(($A439-Macrociclo!$C$11)/7)+1)</f>
        <v>0</v>
      </c>
      <c r="C439" s="20"/>
      <c r="D439" s="20"/>
      <c r="E439" s="22"/>
      <c r="F439" s="22"/>
      <c r="G439" s="48" t="n">
        <f aca="false">IF(OR($E439="",$F439=""),0,$E439*$F439)</f>
        <v>0</v>
      </c>
      <c r="H439" s="48" t="n">
        <f aca="false">IF($A439="",0,SUMIFS($G$8:$G$1007,$C$8:$C$1007,$C439,$A$8:$A$1007,"&gt;="&amp;$A439-6,$A$8:$A$1007,"&lt;="&amp;$A439))</f>
        <v>0</v>
      </c>
      <c r="I439" s="48" t="n">
        <f aca="false">IF($A439="",0,SUMIFS($G$8:$G$1007,$C$8:$C$1007,$C439,$A$8:$A$1007,"&gt;="&amp;$A439-27,$A$8:$A$1007,"&lt;="&amp;$A439)/4)</f>
        <v>0</v>
      </c>
      <c r="J439" s="67" t="n">
        <f aca="false">IF(OR($A439="",$I439=0),0,$H439/$I439)</f>
        <v>0</v>
      </c>
      <c r="K439" s="33" t="n">
        <f aca="false">IF($A439="",0,$A439-SUMPRODUCT(MIN(($C$8:$C$1007=$C439)*$A$8:$A$1007+($C$8:$C$1007&lt;&gt;$C439)*100000))+1)</f>
        <v>0</v>
      </c>
      <c r="L439" s="19" t="str">
        <f aca="false">IF($A439="","",IF($J439=0,"Sem registro anterior",IF($K439&lt;21,"Histórico insuficiente",IF($J439&lt;0.8,"Subcarga",IF($J439&lt;=1.3,"Zona ideal",IF($J439&lt;=1.5,"Atenção","Risco elevado"))))))</f>
        <v/>
      </c>
      <c r="M439" s="20"/>
    </row>
    <row r="440" customFormat="false" ht="15" hidden="false" customHeight="false" outlineLevel="0" collapsed="false">
      <c r="A440" s="21"/>
      <c r="B440" s="33" t="n">
        <f aca="false">IF($A440="",0,INT(($A440-Macrociclo!$C$11)/7)+1)</f>
        <v>0</v>
      </c>
      <c r="C440" s="20"/>
      <c r="D440" s="20"/>
      <c r="E440" s="22"/>
      <c r="F440" s="22"/>
      <c r="G440" s="48" t="n">
        <f aca="false">IF(OR($E440="",$F440=""),0,$E440*$F440)</f>
        <v>0</v>
      </c>
      <c r="H440" s="48" t="n">
        <f aca="false">IF($A440="",0,SUMIFS($G$8:$G$1007,$C$8:$C$1007,$C440,$A$8:$A$1007,"&gt;="&amp;$A440-6,$A$8:$A$1007,"&lt;="&amp;$A440))</f>
        <v>0</v>
      </c>
      <c r="I440" s="48" t="n">
        <f aca="false">IF($A440="",0,SUMIFS($G$8:$G$1007,$C$8:$C$1007,$C440,$A$8:$A$1007,"&gt;="&amp;$A440-27,$A$8:$A$1007,"&lt;="&amp;$A440)/4)</f>
        <v>0</v>
      </c>
      <c r="J440" s="67" t="n">
        <f aca="false">IF(OR($A440="",$I440=0),0,$H440/$I440)</f>
        <v>0</v>
      </c>
      <c r="K440" s="33" t="n">
        <f aca="false">IF($A440="",0,$A440-SUMPRODUCT(MIN(($C$8:$C$1007=$C440)*$A$8:$A$1007+($C$8:$C$1007&lt;&gt;$C440)*100000))+1)</f>
        <v>0</v>
      </c>
      <c r="L440" s="19" t="str">
        <f aca="false">IF($A440="","",IF($J440=0,"Sem registro anterior",IF($K440&lt;21,"Histórico insuficiente",IF($J440&lt;0.8,"Subcarga",IF($J440&lt;=1.3,"Zona ideal",IF($J440&lt;=1.5,"Atenção","Risco elevado"))))))</f>
        <v/>
      </c>
      <c r="M440" s="20"/>
    </row>
    <row r="441" customFormat="false" ht="15" hidden="false" customHeight="false" outlineLevel="0" collapsed="false">
      <c r="A441" s="21"/>
      <c r="B441" s="33" t="n">
        <f aca="false">IF($A441="",0,INT(($A441-Macrociclo!$C$11)/7)+1)</f>
        <v>0</v>
      </c>
      <c r="C441" s="20"/>
      <c r="D441" s="20"/>
      <c r="E441" s="22"/>
      <c r="F441" s="22"/>
      <c r="G441" s="48" t="n">
        <f aca="false">IF(OR($E441="",$F441=""),0,$E441*$F441)</f>
        <v>0</v>
      </c>
      <c r="H441" s="48" t="n">
        <f aca="false">IF($A441="",0,SUMIFS($G$8:$G$1007,$C$8:$C$1007,$C441,$A$8:$A$1007,"&gt;="&amp;$A441-6,$A$8:$A$1007,"&lt;="&amp;$A441))</f>
        <v>0</v>
      </c>
      <c r="I441" s="48" t="n">
        <f aca="false">IF($A441="",0,SUMIFS($G$8:$G$1007,$C$8:$C$1007,$C441,$A$8:$A$1007,"&gt;="&amp;$A441-27,$A$8:$A$1007,"&lt;="&amp;$A441)/4)</f>
        <v>0</v>
      </c>
      <c r="J441" s="67" t="n">
        <f aca="false">IF(OR($A441="",$I441=0),0,$H441/$I441)</f>
        <v>0</v>
      </c>
      <c r="K441" s="33" t="n">
        <f aca="false">IF($A441="",0,$A441-SUMPRODUCT(MIN(($C$8:$C$1007=$C441)*$A$8:$A$1007+($C$8:$C$1007&lt;&gt;$C441)*100000))+1)</f>
        <v>0</v>
      </c>
      <c r="L441" s="19" t="str">
        <f aca="false">IF($A441="","",IF($J441=0,"Sem registro anterior",IF($K441&lt;21,"Histórico insuficiente",IF($J441&lt;0.8,"Subcarga",IF($J441&lt;=1.3,"Zona ideal",IF($J441&lt;=1.5,"Atenção","Risco elevado"))))))</f>
        <v/>
      </c>
      <c r="M441" s="20"/>
    </row>
    <row r="442" customFormat="false" ht="15" hidden="false" customHeight="false" outlineLevel="0" collapsed="false">
      <c r="A442" s="21"/>
      <c r="B442" s="33" t="n">
        <f aca="false">IF($A442="",0,INT(($A442-Macrociclo!$C$11)/7)+1)</f>
        <v>0</v>
      </c>
      <c r="C442" s="20"/>
      <c r="D442" s="20"/>
      <c r="E442" s="22"/>
      <c r="F442" s="22"/>
      <c r="G442" s="48" t="n">
        <f aca="false">IF(OR($E442="",$F442=""),0,$E442*$F442)</f>
        <v>0</v>
      </c>
      <c r="H442" s="48" t="n">
        <f aca="false">IF($A442="",0,SUMIFS($G$8:$G$1007,$C$8:$C$1007,$C442,$A$8:$A$1007,"&gt;="&amp;$A442-6,$A$8:$A$1007,"&lt;="&amp;$A442))</f>
        <v>0</v>
      </c>
      <c r="I442" s="48" t="n">
        <f aca="false">IF($A442="",0,SUMIFS($G$8:$G$1007,$C$8:$C$1007,$C442,$A$8:$A$1007,"&gt;="&amp;$A442-27,$A$8:$A$1007,"&lt;="&amp;$A442)/4)</f>
        <v>0</v>
      </c>
      <c r="J442" s="67" t="n">
        <f aca="false">IF(OR($A442="",$I442=0),0,$H442/$I442)</f>
        <v>0</v>
      </c>
      <c r="K442" s="33" t="n">
        <f aca="false">IF($A442="",0,$A442-SUMPRODUCT(MIN(($C$8:$C$1007=$C442)*$A$8:$A$1007+($C$8:$C$1007&lt;&gt;$C442)*100000))+1)</f>
        <v>0</v>
      </c>
      <c r="L442" s="19" t="str">
        <f aca="false">IF($A442="","",IF($J442=0,"Sem registro anterior",IF($K442&lt;21,"Histórico insuficiente",IF($J442&lt;0.8,"Subcarga",IF($J442&lt;=1.3,"Zona ideal",IF($J442&lt;=1.5,"Atenção","Risco elevado"))))))</f>
        <v/>
      </c>
      <c r="M442" s="20"/>
    </row>
    <row r="443" customFormat="false" ht="15" hidden="false" customHeight="false" outlineLevel="0" collapsed="false">
      <c r="A443" s="21"/>
      <c r="B443" s="33" t="n">
        <f aca="false">IF($A443="",0,INT(($A443-Macrociclo!$C$11)/7)+1)</f>
        <v>0</v>
      </c>
      <c r="C443" s="20"/>
      <c r="D443" s="20"/>
      <c r="E443" s="22"/>
      <c r="F443" s="22"/>
      <c r="G443" s="48" t="n">
        <f aca="false">IF(OR($E443="",$F443=""),0,$E443*$F443)</f>
        <v>0</v>
      </c>
      <c r="H443" s="48" t="n">
        <f aca="false">IF($A443="",0,SUMIFS($G$8:$G$1007,$C$8:$C$1007,$C443,$A$8:$A$1007,"&gt;="&amp;$A443-6,$A$8:$A$1007,"&lt;="&amp;$A443))</f>
        <v>0</v>
      </c>
      <c r="I443" s="48" t="n">
        <f aca="false">IF($A443="",0,SUMIFS($G$8:$G$1007,$C$8:$C$1007,$C443,$A$8:$A$1007,"&gt;="&amp;$A443-27,$A$8:$A$1007,"&lt;="&amp;$A443)/4)</f>
        <v>0</v>
      </c>
      <c r="J443" s="67" t="n">
        <f aca="false">IF(OR($A443="",$I443=0),0,$H443/$I443)</f>
        <v>0</v>
      </c>
      <c r="K443" s="33" t="n">
        <f aca="false">IF($A443="",0,$A443-SUMPRODUCT(MIN(($C$8:$C$1007=$C443)*$A$8:$A$1007+($C$8:$C$1007&lt;&gt;$C443)*100000))+1)</f>
        <v>0</v>
      </c>
      <c r="L443" s="19" t="str">
        <f aca="false">IF($A443="","",IF($J443=0,"Sem registro anterior",IF($K443&lt;21,"Histórico insuficiente",IF($J443&lt;0.8,"Subcarga",IF($J443&lt;=1.3,"Zona ideal",IF($J443&lt;=1.5,"Atenção","Risco elevado"))))))</f>
        <v/>
      </c>
      <c r="M443" s="20"/>
    </row>
    <row r="444" customFormat="false" ht="15" hidden="false" customHeight="false" outlineLevel="0" collapsed="false">
      <c r="A444" s="21"/>
      <c r="B444" s="33" t="n">
        <f aca="false">IF($A444="",0,INT(($A444-Macrociclo!$C$11)/7)+1)</f>
        <v>0</v>
      </c>
      <c r="C444" s="20"/>
      <c r="D444" s="20"/>
      <c r="E444" s="22"/>
      <c r="F444" s="22"/>
      <c r="G444" s="48" t="n">
        <f aca="false">IF(OR($E444="",$F444=""),0,$E444*$F444)</f>
        <v>0</v>
      </c>
      <c r="H444" s="48" t="n">
        <f aca="false">IF($A444="",0,SUMIFS($G$8:$G$1007,$C$8:$C$1007,$C444,$A$8:$A$1007,"&gt;="&amp;$A444-6,$A$8:$A$1007,"&lt;="&amp;$A444))</f>
        <v>0</v>
      </c>
      <c r="I444" s="48" t="n">
        <f aca="false">IF($A444="",0,SUMIFS($G$8:$G$1007,$C$8:$C$1007,$C444,$A$8:$A$1007,"&gt;="&amp;$A444-27,$A$8:$A$1007,"&lt;="&amp;$A444)/4)</f>
        <v>0</v>
      </c>
      <c r="J444" s="67" t="n">
        <f aca="false">IF(OR($A444="",$I444=0),0,$H444/$I444)</f>
        <v>0</v>
      </c>
      <c r="K444" s="33" t="n">
        <f aca="false">IF($A444="",0,$A444-SUMPRODUCT(MIN(($C$8:$C$1007=$C444)*$A$8:$A$1007+($C$8:$C$1007&lt;&gt;$C444)*100000))+1)</f>
        <v>0</v>
      </c>
      <c r="L444" s="19" t="str">
        <f aca="false">IF($A444="","",IF($J444=0,"Sem registro anterior",IF($K444&lt;21,"Histórico insuficiente",IF($J444&lt;0.8,"Subcarga",IF($J444&lt;=1.3,"Zona ideal",IF($J444&lt;=1.5,"Atenção","Risco elevado"))))))</f>
        <v/>
      </c>
      <c r="M444" s="20"/>
    </row>
    <row r="445" customFormat="false" ht="15" hidden="false" customHeight="false" outlineLevel="0" collapsed="false">
      <c r="A445" s="21"/>
      <c r="B445" s="33" t="n">
        <f aca="false">IF($A445="",0,INT(($A445-Macrociclo!$C$11)/7)+1)</f>
        <v>0</v>
      </c>
      <c r="C445" s="20"/>
      <c r="D445" s="20"/>
      <c r="E445" s="22"/>
      <c r="F445" s="22"/>
      <c r="G445" s="48" t="n">
        <f aca="false">IF(OR($E445="",$F445=""),0,$E445*$F445)</f>
        <v>0</v>
      </c>
      <c r="H445" s="48" t="n">
        <f aca="false">IF($A445="",0,SUMIFS($G$8:$G$1007,$C$8:$C$1007,$C445,$A$8:$A$1007,"&gt;="&amp;$A445-6,$A$8:$A$1007,"&lt;="&amp;$A445))</f>
        <v>0</v>
      </c>
      <c r="I445" s="48" t="n">
        <f aca="false">IF($A445="",0,SUMIFS($G$8:$G$1007,$C$8:$C$1007,$C445,$A$8:$A$1007,"&gt;="&amp;$A445-27,$A$8:$A$1007,"&lt;="&amp;$A445)/4)</f>
        <v>0</v>
      </c>
      <c r="J445" s="67" t="n">
        <f aca="false">IF(OR($A445="",$I445=0),0,$H445/$I445)</f>
        <v>0</v>
      </c>
      <c r="K445" s="33" t="n">
        <f aca="false">IF($A445="",0,$A445-SUMPRODUCT(MIN(($C$8:$C$1007=$C445)*$A$8:$A$1007+($C$8:$C$1007&lt;&gt;$C445)*100000))+1)</f>
        <v>0</v>
      </c>
      <c r="L445" s="19" t="str">
        <f aca="false">IF($A445="","",IF($J445=0,"Sem registro anterior",IF($K445&lt;21,"Histórico insuficiente",IF($J445&lt;0.8,"Subcarga",IF($J445&lt;=1.3,"Zona ideal",IF($J445&lt;=1.5,"Atenção","Risco elevado"))))))</f>
        <v/>
      </c>
      <c r="M445" s="20"/>
    </row>
    <row r="446" customFormat="false" ht="15" hidden="false" customHeight="false" outlineLevel="0" collapsed="false">
      <c r="A446" s="21"/>
      <c r="B446" s="33" t="n">
        <f aca="false">IF($A446="",0,INT(($A446-Macrociclo!$C$11)/7)+1)</f>
        <v>0</v>
      </c>
      <c r="C446" s="20"/>
      <c r="D446" s="20"/>
      <c r="E446" s="22"/>
      <c r="F446" s="22"/>
      <c r="G446" s="48" t="n">
        <f aca="false">IF(OR($E446="",$F446=""),0,$E446*$F446)</f>
        <v>0</v>
      </c>
      <c r="H446" s="48" t="n">
        <f aca="false">IF($A446="",0,SUMIFS($G$8:$G$1007,$C$8:$C$1007,$C446,$A$8:$A$1007,"&gt;="&amp;$A446-6,$A$8:$A$1007,"&lt;="&amp;$A446))</f>
        <v>0</v>
      </c>
      <c r="I446" s="48" t="n">
        <f aca="false">IF($A446="",0,SUMIFS($G$8:$G$1007,$C$8:$C$1007,$C446,$A$8:$A$1007,"&gt;="&amp;$A446-27,$A$8:$A$1007,"&lt;="&amp;$A446)/4)</f>
        <v>0</v>
      </c>
      <c r="J446" s="67" t="n">
        <f aca="false">IF(OR($A446="",$I446=0),0,$H446/$I446)</f>
        <v>0</v>
      </c>
      <c r="K446" s="33" t="n">
        <f aca="false">IF($A446="",0,$A446-SUMPRODUCT(MIN(($C$8:$C$1007=$C446)*$A$8:$A$1007+($C$8:$C$1007&lt;&gt;$C446)*100000))+1)</f>
        <v>0</v>
      </c>
      <c r="L446" s="19" t="str">
        <f aca="false">IF($A446="","",IF($J446=0,"Sem registro anterior",IF($K446&lt;21,"Histórico insuficiente",IF($J446&lt;0.8,"Subcarga",IF($J446&lt;=1.3,"Zona ideal",IF($J446&lt;=1.5,"Atenção","Risco elevado"))))))</f>
        <v/>
      </c>
      <c r="M446" s="20"/>
    </row>
    <row r="447" customFormat="false" ht="15" hidden="false" customHeight="false" outlineLevel="0" collapsed="false">
      <c r="A447" s="21"/>
      <c r="B447" s="33" t="n">
        <f aca="false">IF($A447="",0,INT(($A447-Macrociclo!$C$11)/7)+1)</f>
        <v>0</v>
      </c>
      <c r="C447" s="20"/>
      <c r="D447" s="20"/>
      <c r="E447" s="22"/>
      <c r="F447" s="22"/>
      <c r="G447" s="48" t="n">
        <f aca="false">IF(OR($E447="",$F447=""),0,$E447*$F447)</f>
        <v>0</v>
      </c>
      <c r="H447" s="48" t="n">
        <f aca="false">IF($A447="",0,SUMIFS($G$8:$G$1007,$C$8:$C$1007,$C447,$A$8:$A$1007,"&gt;="&amp;$A447-6,$A$8:$A$1007,"&lt;="&amp;$A447))</f>
        <v>0</v>
      </c>
      <c r="I447" s="48" t="n">
        <f aca="false">IF($A447="",0,SUMIFS($G$8:$G$1007,$C$8:$C$1007,$C447,$A$8:$A$1007,"&gt;="&amp;$A447-27,$A$8:$A$1007,"&lt;="&amp;$A447)/4)</f>
        <v>0</v>
      </c>
      <c r="J447" s="67" t="n">
        <f aca="false">IF(OR($A447="",$I447=0),0,$H447/$I447)</f>
        <v>0</v>
      </c>
      <c r="K447" s="33" t="n">
        <f aca="false">IF($A447="",0,$A447-SUMPRODUCT(MIN(($C$8:$C$1007=$C447)*$A$8:$A$1007+($C$8:$C$1007&lt;&gt;$C447)*100000))+1)</f>
        <v>0</v>
      </c>
      <c r="L447" s="19" t="str">
        <f aca="false">IF($A447="","",IF($J447=0,"Sem registro anterior",IF($K447&lt;21,"Histórico insuficiente",IF($J447&lt;0.8,"Subcarga",IF($J447&lt;=1.3,"Zona ideal",IF($J447&lt;=1.5,"Atenção","Risco elevado"))))))</f>
        <v/>
      </c>
      <c r="M447" s="20"/>
    </row>
    <row r="448" customFormat="false" ht="15" hidden="false" customHeight="false" outlineLevel="0" collapsed="false">
      <c r="A448" s="21"/>
      <c r="B448" s="33" t="n">
        <f aca="false">IF($A448="",0,INT(($A448-Macrociclo!$C$11)/7)+1)</f>
        <v>0</v>
      </c>
      <c r="C448" s="20"/>
      <c r="D448" s="20"/>
      <c r="E448" s="22"/>
      <c r="F448" s="22"/>
      <c r="G448" s="48" t="n">
        <f aca="false">IF(OR($E448="",$F448=""),0,$E448*$F448)</f>
        <v>0</v>
      </c>
      <c r="H448" s="48" t="n">
        <f aca="false">IF($A448="",0,SUMIFS($G$8:$G$1007,$C$8:$C$1007,$C448,$A$8:$A$1007,"&gt;="&amp;$A448-6,$A$8:$A$1007,"&lt;="&amp;$A448))</f>
        <v>0</v>
      </c>
      <c r="I448" s="48" t="n">
        <f aca="false">IF($A448="",0,SUMIFS($G$8:$G$1007,$C$8:$C$1007,$C448,$A$8:$A$1007,"&gt;="&amp;$A448-27,$A$8:$A$1007,"&lt;="&amp;$A448)/4)</f>
        <v>0</v>
      </c>
      <c r="J448" s="67" t="n">
        <f aca="false">IF(OR($A448="",$I448=0),0,$H448/$I448)</f>
        <v>0</v>
      </c>
      <c r="K448" s="33" t="n">
        <f aca="false">IF($A448="",0,$A448-SUMPRODUCT(MIN(($C$8:$C$1007=$C448)*$A$8:$A$1007+($C$8:$C$1007&lt;&gt;$C448)*100000))+1)</f>
        <v>0</v>
      </c>
      <c r="L448" s="19" t="str">
        <f aca="false">IF($A448="","",IF($J448=0,"Sem registro anterior",IF($K448&lt;21,"Histórico insuficiente",IF($J448&lt;0.8,"Subcarga",IF($J448&lt;=1.3,"Zona ideal",IF($J448&lt;=1.5,"Atenção","Risco elevado"))))))</f>
        <v/>
      </c>
      <c r="M448" s="20"/>
    </row>
    <row r="449" customFormat="false" ht="15" hidden="false" customHeight="false" outlineLevel="0" collapsed="false">
      <c r="A449" s="21"/>
      <c r="B449" s="33" t="n">
        <f aca="false">IF($A449="",0,INT(($A449-Macrociclo!$C$11)/7)+1)</f>
        <v>0</v>
      </c>
      <c r="C449" s="20"/>
      <c r="D449" s="20"/>
      <c r="E449" s="22"/>
      <c r="F449" s="22"/>
      <c r="G449" s="48" t="n">
        <f aca="false">IF(OR($E449="",$F449=""),0,$E449*$F449)</f>
        <v>0</v>
      </c>
      <c r="H449" s="48" t="n">
        <f aca="false">IF($A449="",0,SUMIFS($G$8:$G$1007,$C$8:$C$1007,$C449,$A$8:$A$1007,"&gt;="&amp;$A449-6,$A$8:$A$1007,"&lt;="&amp;$A449))</f>
        <v>0</v>
      </c>
      <c r="I449" s="48" t="n">
        <f aca="false">IF($A449="",0,SUMIFS($G$8:$G$1007,$C$8:$C$1007,$C449,$A$8:$A$1007,"&gt;="&amp;$A449-27,$A$8:$A$1007,"&lt;="&amp;$A449)/4)</f>
        <v>0</v>
      </c>
      <c r="J449" s="67" t="n">
        <f aca="false">IF(OR($A449="",$I449=0),0,$H449/$I449)</f>
        <v>0</v>
      </c>
      <c r="K449" s="33" t="n">
        <f aca="false">IF($A449="",0,$A449-SUMPRODUCT(MIN(($C$8:$C$1007=$C449)*$A$8:$A$1007+($C$8:$C$1007&lt;&gt;$C449)*100000))+1)</f>
        <v>0</v>
      </c>
      <c r="L449" s="19" t="str">
        <f aca="false">IF($A449="","",IF($J449=0,"Sem registro anterior",IF($K449&lt;21,"Histórico insuficiente",IF($J449&lt;0.8,"Subcarga",IF($J449&lt;=1.3,"Zona ideal",IF($J449&lt;=1.5,"Atenção","Risco elevado"))))))</f>
        <v/>
      </c>
      <c r="M449" s="20"/>
    </row>
    <row r="450" customFormat="false" ht="15" hidden="false" customHeight="false" outlineLevel="0" collapsed="false">
      <c r="A450" s="21"/>
      <c r="B450" s="33" t="n">
        <f aca="false">IF($A450="",0,INT(($A450-Macrociclo!$C$11)/7)+1)</f>
        <v>0</v>
      </c>
      <c r="C450" s="20"/>
      <c r="D450" s="20"/>
      <c r="E450" s="22"/>
      <c r="F450" s="22"/>
      <c r="G450" s="48" t="n">
        <f aca="false">IF(OR($E450="",$F450=""),0,$E450*$F450)</f>
        <v>0</v>
      </c>
      <c r="H450" s="48" t="n">
        <f aca="false">IF($A450="",0,SUMIFS($G$8:$G$1007,$C$8:$C$1007,$C450,$A$8:$A$1007,"&gt;="&amp;$A450-6,$A$8:$A$1007,"&lt;="&amp;$A450))</f>
        <v>0</v>
      </c>
      <c r="I450" s="48" t="n">
        <f aca="false">IF($A450="",0,SUMIFS($G$8:$G$1007,$C$8:$C$1007,$C450,$A$8:$A$1007,"&gt;="&amp;$A450-27,$A$8:$A$1007,"&lt;="&amp;$A450)/4)</f>
        <v>0</v>
      </c>
      <c r="J450" s="67" t="n">
        <f aca="false">IF(OR($A450="",$I450=0),0,$H450/$I450)</f>
        <v>0</v>
      </c>
      <c r="K450" s="33" t="n">
        <f aca="false">IF($A450="",0,$A450-SUMPRODUCT(MIN(($C$8:$C$1007=$C450)*$A$8:$A$1007+($C$8:$C$1007&lt;&gt;$C450)*100000))+1)</f>
        <v>0</v>
      </c>
      <c r="L450" s="19" t="str">
        <f aca="false">IF($A450="","",IF($J450=0,"Sem registro anterior",IF($K450&lt;21,"Histórico insuficiente",IF($J450&lt;0.8,"Subcarga",IF($J450&lt;=1.3,"Zona ideal",IF($J450&lt;=1.5,"Atenção","Risco elevado"))))))</f>
        <v/>
      </c>
      <c r="M450" s="20"/>
    </row>
    <row r="451" customFormat="false" ht="15" hidden="false" customHeight="false" outlineLevel="0" collapsed="false">
      <c r="A451" s="21"/>
      <c r="B451" s="33" t="n">
        <f aca="false">IF($A451="",0,INT(($A451-Macrociclo!$C$11)/7)+1)</f>
        <v>0</v>
      </c>
      <c r="C451" s="20"/>
      <c r="D451" s="20"/>
      <c r="E451" s="22"/>
      <c r="F451" s="22"/>
      <c r="G451" s="48" t="n">
        <f aca="false">IF(OR($E451="",$F451=""),0,$E451*$F451)</f>
        <v>0</v>
      </c>
      <c r="H451" s="48" t="n">
        <f aca="false">IF($A451="",0,SUMIFS($G$8:$G$1007,$C$8:$C$1007,$C451,$A$8:$A$1007,"&gt;="&amp;$A451-6,$A$8:$A$1007,"&lt;="&amp;$A451))</f>
        <v>0</v>
      </c>
      <c r="I451" s="48" t="n">
        <f aca="false">IF($A451="",0,SUMIFS($G$8:$G$1007,$C$8:$C$1007,$C451,$A$8:$A$1007,"&gt;="&amp;$A451-27,$A$8:$A$1007,"&lt;="&amp;$A451)/4)</f>
        <v>0</v>
      </c>
      <c r="J451" s="67" t="n">
        <f aca="false">IF(OR($A451="",$I451=0),0,$H451/$I451)</f>
        <v>0</v>
      </c>
      <c r="K451" s="33" t="n">
        <f aca="false">IF($A451="",0,$A451-SUMPRODUCT(MIN(($C$8:$C$1007=$C451)*$A$8:$A$1007+($C$8:$C$1007&lt;&gt;$C451)*100000))+1)</f>
        <v>0</v>
      </c>
      <c r="L451" s="19" t="str">
        <f aca="false">IF($A451="","",IF($J451=0,"Sem registro anterior",IF($K451&lt;21,"Histórico insuficiente",IF($J451&lt;0.8,"Subcarga",IF($J451&lt;=1.3,"Zona ideal",IF($J451&lt;=1.5,"Atenção","Risco elevado"))))))</f>
        <v/>
      </c>
      <c r="M451" s="20"/>
    </row>
    <row r="452" customFormat="false" ht="15" hidden="false" customHeight="false" outlineLevel="0" collapsed="false">
      <c r="A452" s="21"/>
      <c r="B452" s="33" t="n">
        <f aca="false">IF($A452="",0,INT(($A452-Macrociclo!$C$11)/7)+1)</f>
        <v>0</v>
      </c>
      <c r="C452" s="20"/>
      <c r="D452" s="20"/>
      <c r="E452" s="22"/>
      <c r="F452" s="22"/>
      <c r="G452" s="48" t="n">
        <f aca="false">IF(OR($E452="",$F452=""),0,$E452*$F452)</f>
        <v>0</v>
      </c>
      <c r="H452" s="48" t="n">
        <f aca="false">IF($A452="",0,SUMIFS($G$8:$G$1007,$C$8:$C$1007,$C452,$A$8:$A$1007,"&gt;="&amp;$A452-6,$A$8:$A$1007,"&lt;="&amp;$A452))</f>
        <v>0</v>
      </c>
      <c r="I452" s="48" t="n">
        <f aca="false">IF($A452="",0,SUMIFS($G$8:$G$1007,$C$8:$C$1007,$C452,$A$8:$A$1007,"&gt;="&amp;$A452-27,$A$8:$A$1007,"&lt;="&amp;$A452)/4)</f>
        <v>0</v>
      </c>
      <c r="J452" s="67" t="n">
        <f aca="false">IF(OR($A452="",$I452=0),0,$H452/$I452)</f>
        <v>0</v>
      </c>
      <c r="K452" s="33" t="n">
        <f aca="false">IF($A452="",0,$A452-SUMPRODUCT(MIN(($C$8:$C$1007=$C452)*$A$8:$A$1007+($C$8:$C$1007&lt;&gt;$C452)*100000))+1)</f>
        <v>0</v>
      </c>
      <c r="L452" s="19" t="str">
        <f aca="false">IF($A452="","",IF($J452=0,"Sem registro anterior",IF($K452&lt;21,"Histórico insuficiente",IF($J452&lt;0.8,"Subcarga",IF($J452&lt;=1.3,"Zona ideal",IF($J452&lt;=1.5,"Atenção","Risco elevado"))))))</f>
        <v/>
      </c>
      <c r="M452" s="20"/>
    </row>
    <row r="453" customFormat="false" ht="15" hidden="false" customHeight="false" outlineLevel="0" collapsed="false">
      <c r="A453" s="21"/>
      <c r="B453" s="33" t="n">
        <f aca="false">IF($A453="",0,INT(($A453-Macrociclo!$C$11)/7)+1)</f>
        <v>0</v>
      </c>
      <c r="C453" s="20"/>
      <c r="D453" s="20"/>
      <c r="E453" s="22"/>
      <c r="F453" s="22"/>
      <c r="G453" s="48" t="n">
        <f aca="false">IF(OR($E453="",$F453=""),0,$E453*$F453)</f>
        <v>0</v>
      </c>
      <c r="H453" s="48" t="n">
        <f aca="false">IF($A453="",0,SUMIFS($G$8:$G$1007,$C$8:$C$1007,$C453,$A$8:$A$1007,"&gt;="&amp;$A453-6,$A$8:$A$1007,"&lt;="&amp;$A453))</f>
        <v>0</v>
      </c>
      <c r="I453" s="48" t="n">
        <f aca="false">IF($A453="",0,SUMIFS($G$8:$G$1007,$C$8:$C$1007,$C453,$A$8:$A$1007,"&gt;="&amp;$A453-27,$A$8:$A$1007,"&lt;="&amp;$A453)/4)</f>
        <v>0</v>
      </c>
      <c r="J453" s="67" t="n">
        <f aca="false">IF(OR($A453="",$I453=0),0,$H453/$I453)</f>
        <v>0</v>
      </c>
      <c r="K453" s="33" t="n">
        <f aca="false">IF($A453="",0,$A453-SUMPRODUCT(MIN(($C$8:$C$1007=$C453)*$A$8:$A$1007+($C$8:$C$1007&lt;&gt;$C453)*100000))+1)</f>
        <v>0</v>
      </c>
      <c r="L453" s="19" t="str">
        <f aca="false">IF($A453="","",IF($J453=0,"Sem registro anterior",IF($K453&lt;21,"Histórico insuficiente",IF($J453&lt;0.8,"Subcarga",IF($J453&lt;=1.3,"Zona ideal",IF($J453&lt;=1.5,"Atenção","Risco elevado"))))))</f>
        <v/>
      </c>
      <c r="M453" s="20"/>
    </row>
    <row r="454" customFormat="false" ht="15" hidden="false" customHeight="false" outlineLevel="0" collapsed="false">
      <c r="A454" s="21"/>
      <c r="B454" s="33" t="n">
        <f aca="false">IF($A454="",0,INT(($A454-Macrociclo!$C$11)/7)+1)</f>
        <v>0</v>
      </c>
      <c r="C454" s="20"/>
      <c r="D454" s="20"/>
      <c r="E454" s="22"/>
      <c r="F454" s="22"/>
      <c r="G454" s="48" t="n">
        <f aca="false">IF(OR($E454="",$F454=""),0,$E454*$F454)</f>
        <v>0</v>
      </c>
      <c r="H454" s="48" t="n">
        <f aca="false">IF($A454="",0,SUMIFS($G$8:$G$1007,$C$8:$C$1007,$C454,$A$8:$A$1007,"&gt;="&amp;$A454-6,$A$8:$A$1007,"&lt;="&amp;$A454))</f>
        <v>0</v>
      </c>
      <c r="I454" s="48" t="n">
        <f aca="false">IF($A454="",0,SUMIFS($G$8:$G$1007,$C$8:$C$1007,$C454,$A$8:$A$1007,"&gt;="&amp;$A454-27,$A$8:$A$1007,"&lt;="&amp;$A454)/4)</f>
        <v>0</v>
      </c>
      <c r="J454" s="67" t="n">
        <f aca="false">IF(OR($A454="",$I454=0),0,$H454/$I454)</f>
        <v>0</v>
      </c>
      <c r="K454" s="33" t="n">
        <f aca="false">IF($A454="",0,$A454-SUMPRODUCT(MIN(($C$8:$C$1007=$C454)*$A$8:$A$1007+($C$8:$C$1007&lt;&gt;$C454)*100000))+1)</f>
        <v>0</v>
      </c>
      <c r="L454" s="19" t="str">
        <f aca="false">IF($A454="","",IF($J454=0,"Sem registro anterior",IF($K454&lt;21,"Histórico insuficiente",IF($J454&lt;0.8,"Subcarga",IF($J454&lt;=1.3,"Zona ideal",IF($J454&lt;=1.5,"Atenção","Risco elevado"))))))</f>
        <v/>
      </c>
      <c r="M454" s="20"/>
    </row>
    <row r="455" customFormat="false" ht="15" hidden="false" customHeight="false" outlineLevel="0" collapsed="false">
      <c r="A455" s="21"/>
      <c r="B455" s="33" t="n">
        <f aca="false">IF($A455="",0,INT(($A455-Macrociclo!$C$11)/7)+1)</f>
        <v>0</v>
      </c>
      <c r="C455" s="20"/>
      <c r="D455" s="20"/>
      <c r="E455" s="22"/>
      <c r="F455" s="22"/>
      <c r="G455" s="48" t="n">
        <f aca="false">IF(OR($E455="",$F455=""),0,$E455*$F455)</f>
        <v>0</v>
      </c>
      <c r="H455" s="48" t="n">
        <f aca="false">IF($A455="",0,SUMIFS($G$8:$G$1007,$C$8:$C$1007,$C455,$A$8:$A$1007,"&gt;="&amp;$A455-6,$A$8:$A$1007,"&lt;="&amp;$A455))</f>
        <v>0</v>
      </c>
      <c r="I455" s="48" t="n">
        <f aca="false">IF($A455="",0,SUMIFS($G$8:$G$1007,$C$8:$C$1007,$C455,$A$8:$A$1007,"&gt;="&amp;$A455-27,$A$8:$A$1007,"&lt;="&amp;$A455)/4)</f>
        <v>0</v>
      </c>
      <c r="J455" s="67" t="n">
        <f aca="false">IF(OR($A455="",$I455=0),0,$H455/$I455)</f>
        <v>0</v>
      </c>
      <c r="K455" s="33" t="n">
        <f aca="false">IF($A455="",0,$A455-SUMPRODUCT(MIN(($C$8:$C$1007=$C455)*$A$8:$A$1007+($C$8:$C$1007&lt;&gt;$C455)*100000))+1)</f>
        <v>0</v>
      </c>
      <c r="L455" s="19" t="str">
        <f aca="false">IF($A455="","",IF($J455=0,"Sem registro anterior",IF($K455&lt;21,"Histórico insuficiente",IF($J455&lt;0.8,"Subcarga",IF($J455&lt;=1.3,"Zona ideal",IF($J455&lt;=1.5,"Atenção","Risco elevado"))))))</f>
        <v/>
      </c>
      <c r="M455" s="20"/>
    </row>
    <row r="456" customFormat="false" ht="15" hidden="false" customHeight="false" outlineLevel="0" collapsed="false">
      <c r="A456" s="21"/>
      <c r="B456" s="33" t="n">
        <f aca="false">IF($A456="",0,INT(($A456-Macrociclo!$C$11)/7)+1)</f>
        <v>0</v>
      </c>
      <c r="C456" s="20"/>
      <c r="D456" s="20"/>
      <c r="E456" s="22"/>
      <c r="F456" s="22"/>
      <c r="G456" s="48" t="n">
        <f aca="false">IF(OR($E456="",$F456=""),0,$E456*$F456)</f>
        <v>0</v>
      </c>
      <c r="H456" s="48" t="n">
        <f aca="false">IF($A456="",0,SUMIFS($G$8:$G$1007,$C$8:$C$1007,$C456,$A$8:$A$1007,"&gt;="&amp;$A456-6,$A$8:$A$1007,"&lt;="&amp;$A456))</f>
        <v>0</v>
      </c>
      <c r="I456" s="48" t="n">
        <f aca="false">IF($A456="",0,SUMIFS($G$8:$G$1007,$C$8:$C$1007,$C456,$A$8:$A$1007,"&gt;="&amp;$A456-27,$A$8:$A$1007,"&lt;="&amp;$A456)/4)</f>
        <v>0</v>
      </c>
      <c r="J456" s="67" t="n">
        <f aca="false">IF(OR($A456="",$I456=0),0,$H456/$I456)</f>
        <v>0</v>
      </c>
      <c r="K456" s="33" t="n">
        <f aca="false">IF($A456="",0,$A456-SUMPRODUCT(MIN(($C$8:$C$1007=$C456)*$A$8:$A$1007+($C$8:$C$1007&lt;&gt;$C456)*100000))+1)</f>
        <v>0</v>
      </c>
      <c r="L456" s="19" t="str">
        <f aca="false">IF($A456="","",IF($J456=0,"Sem registro anterior",IF($K456&lt;21,"Histórico insuficiente",IF($J456&lt;0.8,"Subcarga",IF($J456&lt;=1.3,"Zona ideal",IF($J456&lt;=1.5,"Atenção","Risco elevado"))))))</f>
        <v/>
      </c>
      <c r="M456" s="20"/>
    </row>
    <row r="457" customFormat="false" ht="15" hidden="false" customHeight="false" outlineLevel="0" collapsed="false">
      <c r="A457" s="21"/>
      <c r="B457" s="33" t="n">
        <f aca="false">IF($A457="",0,INT(($A457-Macrociclo!$C$11)/7)+1)</f>
        <v>0</v>
      </c>
      <c r="C457" s="20"/>
      <c r="D457" s="20"/>
      <c r="E457" s="22"/>
      <c r="F457" s="22"/>
      <c r="G457" s="48" t="n">
        <f aca="false">IF(OR($E457="",$F457=""),0,$E457*$F457)</f>
        <v>0</v>
      </c>
      <c r="H457" s="48" t="n">
        <f aca="false">IF($A457="",0,SUMIFS($G$8:$G$1007,$C$8:$C$1007,$C457,$A$8:$A$1007,"&gt;="&amp;$A457-6,$A$8:$A$1007,"&lt;="&amp;$A457))</f>
        <v>0</v>
      </c>
      <c r="I457" s="48" t="n">
        <f aca="false">IF($A457="",0,SUMIFS($G$8:$G$1007,$C$8:$C$1007,$C457,$A$8:$A$1007,"&gt;="&amp;$A457-27,$A$8:$A$1007,"&lt;="&amp;$A457)/4)</f>
        <v>0</v>
      </c>
      <c r="J457" s="67" t="n">
        <f aca="false">IF(OR($A457="",$I457=0),0,$H457/$I457)</f>
        <v>0</v>
      </c>
      <c r="K457" s="33" t="n">
        <f aca="false">IF($A457="",0,$A457-SUMPRODUCT(MIN(($C$8:$C$1007=$C457)*$A$8:$A$1007+($C$8:$C$1007&lt;&gt;$C457)*100000))+1)</f>
        <v>0</v>
      </c>
      <c r="L457" s="19" t="str">
        <f aca="false">IF($A457="","",IF($J457=0,"Sem registro anterior",IF($K457&lt;21,"Histórico insuficiente",IF($J457&lt;0.8,"Subcarga",IF($J457&lt;=1.3,"Zona ideal",IF($J457&lt;=1.5,"Atenção","Risco elevado"))))))</f>
        <v/>
      </c>
      <c r="M457" s="20"/>
    </row>
    <row r="458" customFormat="false" ht="15" hidden="false" customHeight="false" outlineLevel="0" collapsed="false">
      <c r="A458" s="21"/>
      <c r="B458" s="33" t="n">
        <f aca="false">IF($A458="",0,INT(($A458-Macrociclo!$C$11)/7)+1)</f>
        <v>0</v>
      </c>
      <c r="C458" s="20"/>
      <c r="D458" s="20"/>
      <c r="E458" s="22"/>
      <c r="F458" s="22"/>
      <c r="G458" s="48" t="n">
        <f aca="false">IF(OR($E458="",$F458=""),0,$E458*$F458)</f>
        <v>0</v>
      </c>
      <c r="H458" s="48" t="n">
        <f aca="false">IF($A458="",0,SUMIFS($G$8:$G$1007,$C$8:$C$1007,$C458,$A$8:$A$1007,"&gt;="&amp;$A458-6,$A$8:$A$1007,"&lt;="&amp;$A458))</f>
        <v>0</v>
      </c>
      <c r="I458" s="48" t="n">
        <f aca="false">IF($A458="",0,SUMIFS($G$8:$G$1007,$C$8:$C$1007,$C458,$A$8:$A$1007,"&gt;="&amp;$A458-27,$A$8:$A$1007,"&lt;="&amp;$A458)/4)</f>
        <v>0</v>
      </c>
      <c r="J458" s="67" t="n">
        <f aca="false">IF(OR($A458="",$I458=0),0,$H458/$I458)</f>
        <v>0</v>
      </c>
      <c r="K458" s="33" t="n">
        <f aca="false">IF($A458="",0,$A458-SUMPRODUCT(MIN(($C$8:$C$1007=$C458)*$A$8:$A$1007+($C$8:$C$1007&lt;&gt;$C458)*100000))+1)</f>
        <v>0</v>
      </c>
      <c r="L458" s="19" t="str">
        <f aca="false">IF($A458="","",IF($J458=0,"Sem registro anterior",IF($K458&lt;21,"Histórico insuficiente",IF($J458&lt;0.8,"Subcarga",IF($J458&lt;=1.3,"Zona ideal",IF($J458&lt;=1.5,"Atenção","Risco elevado"))))))</f>
        <v/>
      </c>
      <c r="M458" s="20"/>
    </row>
    <row r="459" customFormat="false" ht="15" hidden="false" customHeight="false" outlineLevel="0" collapsed="false">
      <c r="A459" s="21"/>
      <c r="B459" s="33" t="n">
        <f aca="false">IF($A459="",0,INT(($A459-Macrociclo!$C$11)/7)+1)</f>
        <v>0</v>
      </c>
      <c r="C459" s="20"/>
      <c r="D459" s="20"/>
      <c r="E459" s="22"/>
      <c r="F459" s="22"/>
      <c r="G459" s="48" t="n">
        <f aca="false">IF(OR($E459="",$F459=""),0,$E459*$F459)</f>
        <v>0</v>
      </c>
      <c r="H459" s="48" t="n">
        <f aca="false">IF($A459="",0,SUMIFS($G$8:$G$1007,$C$8:$C$1007,$C459,$A$8:$A$1007,"&gt;="&amp;$A459-6,$A$8:$A$1007,"&lt;="&amp;$A459))</f>
        <v>0</v>
      </c>
      <c r="I459" s="48" t="n">
        <f aca="false">IF($A459="",0,SUMIFS($G$8:$G$1007,$C$8:$C$1007,$C459,$A$8:$A$1007,"&gt;="&amp;$A459-27,$A$8:$A$1007,"&lt;="&amp;$A459)/4)</f>
        <v>0</v>
      </c>
      <c r="J459" s="67" t="n">
        <f aca="false">IF(OR($A459="",$I459=0),0,$H459/$I459)</f>
        <v>0</v>
      </c>
      <c r="K459" s="33" t="n">
        <f aca="false">IF($A459="",0,$A459-SUMPRODUCT(MIN(($C$8:$C$1007=$C459)*$A$8:$A$1007+($C$8:$C$1007&lt;&gt;$C459)*100000))+1)</f>
        <v>0</v>
      </c>
      <c r="L459" s="19" t="str">
        <f aca="false">IF($A459="","",IF($J459=0,"Sem registro anterior",IF($K459&lt;21,"Histórico insuficiente",IF($J459&lt;0.8,"Subcarga",IF($J459&lt;=1.3,"Zona ideal",IF($J459&lt;=1.5,"Atenção","Risco elevado"))))))</f>
        <v/>
      </c>
      <c r="M459" s="20"/>
    </row>
    <row r="460" customFormat="false" ht="15" hidden="false" customHeight="false" outlineLevel="0" collapsed="false">
      <c r="A460" s="21"/>
      <c r="B460" s="33" t="n">
        <f aca="false">IF($A460="",0,INT(($A460-Macrociclo!$C$11)/7)+1)</f>
        <v>0</v>
      </c>
      <c r="C460" s="20"/>
      <c r="D460" s="20"/>
      <c r="E460" s="22"/>
      <c r="F460" s="22"/>
      <c r="G460" s="48" t="n">
        <f aca="false">IF(OR($E460="",$F460=""),0,$E460*$F460)</f>
        <v>0</v>
      </c>
      <c r="H460" s="48" t="n">
        <f aca="false">IF($A460="",0,SUMIFS($G$8:$G$1007,$C$8:$C$1007,$C460,$A$8:$A$1007,"&gt;="&amp;$A460-6,$A$8:$A$1007,"&lt;="&amp;$A460))</f>
        <v>0</v>
      </c>
      <c r="I460" s="48" t="n">
        <f aca="false">IF($A460="",0,SUMIFS($G$8:$G$1007,$C$8:$C$1007,$C460,$A$8:$A$1007,"&gt;="&amp;$A460-27,$A$8:$A$1007,"&lt;="&amp;$A460)/4)</f>
        <v>0</v>
      </c>
      <c r="J460" s="67" t="n">
        <f aca="false">IF(OR($A460="",$I460=0),0,$H460/$I460)</f>
        <v>0</v>
      </c>
      <c r="K460" s="33" t="n">
        <f aca="false">IF($A460="",0,$A460-SUMPRODUCT(MIN(($C$8:$C$1007=$C460)*$A$8:$A$1007+($C$8:$C$1007&lt;&gt;$C460)*100000))+1)</f>
        <v>0</v>
      </c>
      <c r="L460" s="19" t="str">
        <f aca="false">IF($A460="","",IF($J460=0,"Sem registro anterior",IF($K460&lt;21,"Histórico insuficiente",IF($J460&lt;0.8,"Subcarga",IF($J460&lt;=1.3,"Zona ideal",IF($J460&lt;=1.5,"Atenção","Risco elevado"))))))</f>
        <v/>
      </c>
      <c r="M460" s="20"/>
    </row>
    <row r="461" customFormat="false" ht="15" hidden="false" customHeight="false" outlineLevel="0" collapsed="false">
      <c r="A461" s="21"/>
      <c r="B461" s="33" t="n">
        <f aca="false">IF($A461="",0,INT(($A461-Macrociclo!$C$11)/7)+1)</f>
        <v>0</v>
      </c>
      <c r="C461" s="20"/>
      <c r="D461" s="20"/>
      <c r="E461" s="22"/>
      <c r="F461" s="22"/>
      <c r="G461" s="48" t="n">
        <f aca="false">IF(OR($E461="",$F461=""),0,$E461*$F461)</f>
        <v>0</v>
      </c>
      <c r="H461" s="48" t="n">
        <f aca="false">IF($A461="",0,SUMIFS($G$8:$G$1007,$C$8:$C$1007,$C461,$A$8:$A$1007,"&gt;="&amp;$A461-6,$A$8:$A$1007,"&lt;="&amp;$A461))</f>
        <v>0</v>
      </c>
      <c r="I461" s="48" t="n">
        <f aca="false">IF($A461="",0,SUMIFS($G$8:$G$1007,$C$8:$C$1007,$C461,$A$8:$A$1007,"&gt;="&amp;$A461-27,$A$8:$A$1007,"&lt;="&amp;$A461)/4)</f>
        <v>0</v>
      </c>
      <c r="J461" s="67" t="n">
        <f aca="false">IF(OR($A461="",$I461=0),0,$H461/$I461)</f>
        <v>0</v>
      </c>
      <c r="K461" s="33" t="n">
        <f aca="false">IF($A461="",0,$A461-SUMPRODUCT(MIN(($C$8:$C$1007=$C461)*$A$8:$A$1007+($C$8:$C$1007&lt;&gt;$C461)*100000))+1)</f>
        <v>0</v>
      </c>
      <c r="L461" s="19" t="str">
        <f aca="false">IF($A461="","",IF($J461=0,"Sem registro anterior",IF($K461&lt;21,"Histórico insuficiente",IF($J461&lt;0.8,"Subcarga",IF($J461&lt;=1.3,"Zona ideal",IF($J461&lt;=1.5,"Atenção","Risco elevado"))))))</f>
        <v/>
      </c>
      <c r="M461" s="20"/>
    </row>
    <row r="462" customFormat="false" ht="15" hidden="false" customHeight="false" outlineLevel="0" collapsed="false">
      <c r="A462" s="21"/>
      <c r="B462" s="33" t="n">
        <f aca="false">IF($A462="",0,INT(($A462-Macrociclo!$C$11)/7)+1)</f>
        <v>0</v>
      </c>
      <c r="C462" s="20"/>
      <c r="D462" s="20"/>
      <c r="E462" s="22"/>
      <c r="F462" s="22"/>
      <c r="G462" s="48" t="n">
        <f aca="false">IF(OR($E462="",$F462=""),0,$E462*$F462)</f>
        <v>0</v>
      </c>
      <c r="H462" s="48" t="n">
        <f aca="false">IF($A462="",0,SUMIFS($G$8:$G$1007,$C$8:$C$1007,$C462,$A$8:$A$1007,"&gt;="&amp;$A462-6,$A$8:$A$1007,"&lt;="&amp;$A462))</f>
        <v>0</v>
      </c>
      <c r="I462" s="48" t="n">
        <f aca="false">IF($A462="",0,SUMIFS($G$8:$G$1007,$C$8:$C$1007,$C462,$A$8:$A$1007,"&gt;="&amp;$A462-27,$A$8:$A$1007,"&lt;="&amp;$A462)/4)</f>
        <v>0</v>
      </c>
      <c r="J462" s="67" t="n">
        <f aca="false">IF(OR($A462="",$I462=0),0,$H462/$I462)</f>
        <v>0</v>
      </c>
      <c r="K462" s="33" t="n">
        <f aca="false">IF($A462="",0,$A462-SUMPRODUCT(MIN(($C$8:$C$1007=$C462)*$A$8:$A$1007+($C$8:$C$1007&lt;&gt;$C462)*100000))+1)</f>
        <v>0</v>
      </c>
      <c r="L462" s="19" t="str">
        <f aca="false">IF($A462="","",IF($J462=0,"Sem registro anterior",IF($K462&lt;21,"Histórico insuficiente",IF($J462&lt;0.8,"Subcarga",IF($J462&lt;=1.3,"Zona ideal",IF($J462&lt;=1.5,"Atenção","Risco elevado"))))))</f>
        <v/>
      </c>
      <c r="M462" s="20"/>
    </row>
    <row r="463" customFormat="false" ht="15" hidden="false" customHeight="false" outlineLevel="0" collapsed="false">
      <c r="A463" s="21"/>
      <c r="B463" s="33" t="n">
        <f aca="false">IF($A463="",0,INT(($A463-Macrociclo!$C$11)/7)+1)</f>
        <v>0</v>
      </c>
      <c r="C463" s="20"/>
      <c r="D463" s="20"/>
      <c r="E463" s="22"/>
      <c r="F463" s="22"/>
      <c r="G463" s="48" t="n">
        <f aca="false">IF(OR($E463="",$F463=""),0,$E463*$F463)</f>
        <v>0</v>
      </c>
      <c r="H463" s="48" t="n">
        <f aca="false">IF($A463="",0,SUMIFS($G$8:$G$1007,$C$8:$C$1007,$C463,$A$8:$A$1007,"&gt;="&amp;$A463-6,$A$8:$A$1007,"&lt;="&amp;$A463))</f>
        <v>0</v>
      </c>
      <c r="I463" s="48" t="n">
        <f aca="false">IF($A463="",0,SUMIFS($G$8:$G$1007,$C$8:$C$1007,$C463,$A$8:$A$1007,"&gt;="&amp;$A463-27,$A$8:$A$1007,"&lt;="&amp;$A463)/4)</f>
        <v>0</v>
      </c>
      <c r="J463" s="67" t="n">
        <f aca="false">IF(OR($A463="",$I463=0),0,$H463/$I463)</f>
        <v>0</v>
      </c>
      <c r="K463" s="33" t="n">
        <f aca="false">IF($A463="",0,$A463-SUMPRODUCT(MIN(($C$8:$C$1007=$C463)*$A$8:$A$1007+($C$8:$C$1007&lt;&gt;$C463)*100000))+1)</f>
        <v>0</v>
      </c>
      <c r="L463" s="19" t="str">
        <f aca="false">IF($A463="","",IF($J463=0,"Sem registro anterior",IF($K463&lt;21,"Histórico insuficiente",IF($J463&lt;0.8,"Subcarga",IF($J463&lt;=1.3,"Zona ideal",IF($J463&lt;=1.5,"Atenção","Risco elevado"))))))</f>
        <v/>
      </c>
      <c r="M463" s="20"/>
    </row>
    <row r="464" customFormat="false" ht="15" hidden="false" customHeight="false" outlineLevel="0" collapsed="false">
      <c r="A464" s="21"/>
      <c r="B464" s="33" t="n">
        <f aca="false">IF($A464="",0,INT(($A464-Macrociclo!$C$11)/7)+1)</f>
        <v>0</v>
      </c>
      <c r="C464" s="20"/>
      <c r="D464" s="20"/>
      <c r="E464" s="22"/>
      <c r="F464" s="22"/>
      <c r="G464" s="48" t="n">
        <f aca="false">IF(OR($E464="",$F464=""),0,$E464*$F464)</f>
        <v>0</v>
      </c>
      <c r="H464" s="48" t="n">
        <f aca="false">IF($A464="",0,SUMIFS($G$8:$G$1007,$C$8:$C$1007,$C464,$A$8:$A$1007,"&gt;="&amp;$A464-6,$A$8:$A$1007,"&lt;="&amp;$A464))</f>
        <v>0</v>
      </c>
      <c r="I464" s="48" t="n">
        <f aca="false">IF($A464="",0,SUMIFS($G$8:$G$1007,$C$8:$C$1007,$C464,$A$8:$A$1007,"&gt;="&amp;$A464-27,$A$8:$A$1007,"&lt;="&amp;$A464)/4)</f>
        <v>0</v>
      </c>
      <c r="J464" s="67" t="n">
        <f aca="false">IF(OR($A464="",$I464=0),0,$H464/$I464)</f>
        <v>0</v>
      </c>
      <c r="K464" s="33" t="n">
        <f aca="false">IF($A464="",0,$A464-SUMPRODUCT(MIN(($C$8:$C$1007=$C464)*$A$8:$A$1007+($C$8:$C$1007&lt;&gt;$C464)*100000))+1)</f>
        <v>0</v>
      </c>
      <c r="L464" s="19" t="str">
        <f aca="false">IF($A464="","",IF($J464=0,"Sem registro anterior",IF($K464&lt;21,"Histórico insuficiente",IF($J464&lt;0.8,"Subcarga",IF($J464&lt;=1.3,"Zona ideal",IF($J464&lt;=1.5,"Atenção","Risco elevado"))))))</f>
        <v/>
      </c>
      <c r="M464" s="20"/>
    </row>
    <row r="465" customFormat="false" ht="15" hidden="false" customHeight="false" outlineLevel="0" collapsed="false">
      <c r="A465" s="21"/>
      <c r="B465" s="33" t="n">
        <f aca="false">IF($A465="",0,INT(($A465-Macrociclo!$C$11)/7)+1)</f>
        <v>0</v>
      </c>
      <c r="C465" s="20"/>
      <c r="D465" s="20"/>
      <c r="E465" s="22"/>
      <c r="F465" s="22"/>
      <c r="G465" s="48" t="n">
        <f aca="false">IF(OR($E465="",$F465=""),0,$E465*$F465)</f>
        <v>0</v>
      </c>
      <c r="H465" s="48" t="n">
        <f aca="false">IF($A465="",0,SUMIFS($G$8:$G$1007,$C$8:$C$1007,$C465,$A$8:$A$1007,"&gt;="&amp;$A465-6,$A$8:$A$1007,"&lt;="&amp;$A465))</f>
        <v>0</v>
      </c>
      <c r="I465" s="48" t="n">
        <f aca="false">IF($A465="",0,SUMIFS($G$8:$G$1007,$C$8:$C$1007,$C465,$A$8:$A$1007,"&gt;="&amp;$A465-27,$A$8:$A$1007,"&lt;="&amp;$A465)/4)</f>
        <v>0</v>
      </c>
      <c r="J465" s="67" t="n">
        <f aca="false">IF(OR($A465="",$I465=0),0,$H465/$I465)</f>
        <v>0</v>
      </c>
      <c r="K465" s="33" t="n">
        <f aca="false">IF($A465="",0,$A465-SUMPRODUCT(MIN(($C$8:$C$1007=$C465)*$A$8:$A$1007+($C$8:$C$1007&lt;&gt;$C465)*100000))+1)</f>
        <v>0</v>
      </c>
      <c r="L465" s="19" t="str">
        <f aca="false">IF($A465="","",IF($J465=0,"Sem registro anterior",IF($K465&lt;21,"Histórico insuficiente",IF($J465&lt;0.8,"Subcarga",IF($J465&lt;=1.3,"Zona ideal",IF($J465&lt;=1.5,"Atenção","Risco elevado"))))))</f>
        <v/>
      </c>
      <c r="M465" s="20"/>
    </row>
    <row r="466" customFormat="false" ht="15" hidden="false" customHeight="false" outlineLevel="0" collapsed="false">
      <c r="A466" s="21"/>
      <c r="B466" s="33" t="n">
        <f aca="false">IF($A466="",0,INT(($A466-Macrociclo!$C$11)/7)+1)</f>
        <v>0</v>
      </c>
      <c r="C466" s="20"/>
      <c r="D466" s="20"/>
      <c r="E466" s="22"/>
      <c r="F466" s="22"/>
      <c r="G466" s="48" t="n">
        <f aca="false">IF(OR($E466="",$F466=""),0,$E466*$F466)</f>
        <v>0</v>
      </c>
      <c r="H466" s="48" t="n">
        <f aca="false">IF($A466="",0,SUMIFS($G$8:$G$1007,$C$8:$C$1007,$C466,$A$8:$A$1007,"&gt;="&amp;$A466-6,$A$8:$A$1007,"&lt;="&amp;$A466))</f>
        <v>0</v>
      </c>
      <c r="I466" s="48" t="n">
        <f aca="false">IF($A466="",0,SUMIFS($G$8:$G$1007,$C$8:$C$1007,$C466,$A$8:$A$1007,"&gt;="&amp;$A466-27,$A$8:$A$1007,"&lt;="&amp;$A466)/4)</f>
        <v>0</v>
      </c>
      <c r="J466" s="67" t="n">
        <f aca="false">IF(OR($A466="",$I466=0),0,$H466/$I466)</f>
        <v>0</v>
      </c>
      <c r="K466" s="33" t="n">
        <f aca="false">IF($A466="",0,$A466-SUMPRODUCT(MIN(($C$8:$C$1007=$C466)*$A$8:$A$1007+($C$8:$C$1007&lt;&gt;$C466)*100000))+1)</f>
        <v>0</v>
      </c>
      <c r="L466" s="19" t="str">
        <f aca="false">IF($A466="","",IF($J466=0,"Sem registro anterior",IF($K466&lt;21,"Histórico insuficiente",IF($J466&lt;0.8,"Subcarga",IF($J466&lt;=1.3,"Zona ideal",IF($J466&lt;=1.5,"Atenção","Risco elevado"))))))</f>
        <v/>
      </c>
      <c r="M466" s="20"/>
    </row>
    <row r="467" customFormat="false" ht="15" hidden="false" customHeight="false" outlineLevel="0" collapsed="false">
      <c r="A467" s="21"/>
      <c r="B467" s="33" t="n">
        <f aca="false">IF($A467="",0,INT(($A467-Macrociclo!$C$11)/7)+1)</f>
        <v>0</v>
      </c>
      <c r="C467" s="20"/>
      <c r="D467" s="20"/>
      <c r="E467" s="22"/>
      <c r="F467" s="22"/>
      <c r="G467" s="48" t="n">
        <f aca="false">IF(OR($E467="",$F467=""),0,$E467*$F467)</f>
        <v>0</v>
      </c>
      <c r="H467" s="48" t="n">
        <f aca="false">IF($A467="",0,SUMIFS($G$8:$G$1007,$C$8:$C$1007,$C467,$A$8:$A$1007,"&gt;="&amp;$A467-6,$A$8:$A$1007,"&lt;="&amp;$A467))</f>
        <v>0</v>
      </c>
      <c r="I467" s="48" t="n">
        <f aca="false">IF($A467="",0,SUMIFS($G$8:$G$1007,$C$8:$C$1007,$C467,$A$8:$A$1007,"&gt;="&amp;$A467-27,$A$8:$A$1007,"&lt;="&amp;$A467)/4)</f>
        <v>0</v>
      </c>
      <c r="J467" s="67" t="n">
        <f aca="false">IF(OR($A467="",$I467=0),0,$H467/$I467)</f>
        <v>0</v>
      </c>
      <c r="K467" s="33" t="n">
        <f aca="false">IF($A467="",0,$A467-SUMPRODUCT(MIN(($C$8:$C$1007=$C467)*$A$8:$A$1007+($C$8:$C$1007&lt;&gt;$C467)*100000))+1)</f>
        <v>0</v>
      </c>
      <c r="L467" s="19" t="str">
        <f aca="false">IF($A467="","",IF($J467=0,"Sem registro anterior",IF($K467&lt;21,"Histórico insuficiente",IF($J467&lt;0.8,"Subcarga",IF($J467&lt;=1.3,"Zona ideal",IF($J467&lt;=1.5,"Atenção","Risco elevado"))))))</f>
        <v/>
      </c>
      <c r="M467" s="20"/>
    </row>
    <row r="468" customFormat="false" ht="15" hidden="false" customHeight="false" outlineLevel="0" collapsed="false">
      <c r="A468" s="21"/>
      <c r="B468" s="33" t="n">
        <f aca="false">IF($A468="",0,INT(($A468-Macrociclo!$C$11)/7)+1)</f>
        <v>0</v>
      </c>
      <c r="C468" s="20"/>
      <c r="D468" s="20"/>
      <c r="E468" s="22"/>
      <c r="F468" s="22"/>
      <c r="G468" s="48" t="n">
        <f aca="false">IF(OR($E468="",$F468=""),0,$E468*$F468)</f>
        <v>0</v>
      </c>
      <c r="H468" s="48" t="n">
        <f aca="false">IF($A468="",0,SUMIFS($G$8:$G$1007,$C$8:$C$1007,$C468,$A$8:$A$1007,"&gt;="&amp;$A468-6,$A$8:$A$1007,"&lt;="&amp;$A468))</f>
        <v>0</v>
      </c>
      <c r="I468" s="48" t="n">
        <f aca="false">IF($A468="",0,SUMIFS($G$8:$G$1007,$C$8:$C$1007,$C468,$A$8:$A$1007,"&gt;="&amp;$A468-27,$A$8:$A$1007,"&lt;="&amp;$A468)/4)</f>
        <v>0</v>
      </c>
      <c r="J468" s="67" t="n">
        <f aca="false">IF(OR($A468="",$I468=0),0,$H468/$I468)</f>
        <v>0</v>
      </c>
      <c r="K468" s="33" t="n">
        <f aca="false">IF($A468="",0,$A468-SUMPRODUCT(MIN(($C$8:$C$1007=$C468)*$A$8:$A$1007+($C$8:$C$1007&lt;&gt;$C468)*100000))+1)</f>
        <v>0</v>
      </c>
      <c r="L468" s="19" t="str">
        <f aca="false">IF($A468="","",IF($J468=0,"Sem registro anterior",IF($K468&lt;21,"Histórico insuficiente",IF($J468&lt;0.8,"Subcarga",IF($J468&lt;=1.3,"Zona ideal",IF($J468&lt;=1.5,"Atenção","Risco elevado"))))))</f>
        <v/>
      </c>
      <c r="M468" s="20"/>
    </row>
    <row r="469" customFormat="false" ht="15" hidden="false" customHeight="false" outlineLevel="0" collapsed="false">
      <c r="A469" s="21"/>
      <c r="B469" s="33" t="n">
        <f aca="false">IF($A469="",0,INT(($A469-Macrociclo!$C$11)/7)+1)</f>
        <v>0</v>
      </c>
      <c r="C469" s="20"/>
      <c r="D469" s="20"/>
      <c r="E469" s="22"/>
      <c r="F469" s="22"/>
      <c r="G469" s="48" t="n">
        <f aca="false">IF(OR($E469="",$F469=""),0,$E469*$F469)</f>
        <v>0</v>
      </c>
      <c r="H469" s="48" t="n">
        <f aca="false">IF($A469="",0,SUMIFS($G$8:$G$1007,$C$8:$C$1007,$C469,$A$8:$A$1007,"&gt;="&amp;$A469-6,$A$8:$A$1007,"&lt;="&amp;$A469))</f>
        <v>0</v>
      </c>
      <c r="I469" s="48" t="n">
        <f aca="false">IF($A469="",0,SUMIFS($G$8:$G$1007,$C$8:$C$1007,$C469,$A$8:$A$1007,"&gt;="&amp;$A469-27,$A$8:$A$1007,"&lt;="&amp;$A469)/4)</f>
        <v>0</v>
      </c>
      <c r="J469" s="67" t="n">
        <f aca="false">IF(OR($A469="",$I469=0),0,$H469/$I469)</f>
        <v>0</v>
      </c>
      <c r="K469" s="33" t="n">
        <f aca="false">IF($A469="",0,$A469-SUMPRODUCT(MIN(($C$8:$C$1007=$C469)*$A$8:$A$1007+($C$8:$C$1007&lt;&gt;$C469)*100000))+1)</f>
        <v>0</v>
      </c>
      <c r="L469" s="19" t="str">
        <f aca="false">IF($A469="","",IF($J469=0,"Sem registro anterior",IF($K469&lt;21,"Histórico insuficiente",IF($J469&lt;0.8,"Subcarga",IF($J469&lt;=1.3,"Zona ideal",IF($J469&lt;=1.5,"Atenção","Risco elevado"))))))</f>
        <v/>
      </c>
      <c r="M469" s="20"/>
    </row>
    <row r="470" customFormat="false" ht="15" hidden="false" customHeight="false" outlineLevel="0" collapsed="false">
      <c r="A470" s="21"/>
      <c r="B470" s="33" t="n">
        <f aca="false">IF($A470="",0,INT(($A470-Macrociclo!$C$11)/7)+1)</f>
        <v>0</v>
      </c>
      <c r="C470" s="20"/>
      <c r="D470" s="20"/>
      <c r="E470" s="22"/>
      <c r="F470" s="22"/>
      <c r="G470" s="48" t="n">
        <f aca="false">IF(OR($E470="",$F470=""),0,$E470*$F470)</f>
        <v>0</v>
      </c>
      <c r="H470" s="48" t="n">
        <f aca="false">IF($A470="",0,SUMIFS($G$8:$G$1007,$C$8:$C$1007,$C470,$A$8:$A$1007,"&gt;="&amp;$A470-6,$A$8:$A$1007,"&lt;="&amp;$A470))</f>
        <v>0</v>
      </c>
      <c r="I470" s="48" t="n">
        <f aca="false">IF($A470="",0,SUMIFS($G$8:$G$1007,$C$8:$C$1007,$C470,$A$8:$A$1007,"&gt;="&amp;$A470-27,$A$8:$A$1007,"&lt;="&amp;$A470)/4)</f>
        <v>0</v>
      </c>
      <c r="J470" s="67" t="n">
        <f aca="false">IF(OR($A470="",$I470=0),0,$H470/$I470)</f>
        <v>0</v>
      </c>
      <c r="K470" s="33" t="n">
        <f aca="false">IF($A470="",0,$A470-SUMPRODUCT(MIN(($C$8:$C$1007=$C470)*$A$8:$A$1007+($C$8:$C$1007&lt;&gt;$C470)*100000))+1)</f>
        <v>0</v>
      </c>
      <c r="L470" s="19" t="str">
        <f aca="false">IF($A470="","",IF($J470=0,"Sem registro anterior",IF($K470&lt;21,"Histórico insuficiente",IF($J470&lt;0.8,"Subcarga",IF($J470&lt;=1.3,"Zona ideal",IF($J470&lt;=1.5,"Atenção","Risco elevado"))))))</f>
        <v/>
      </c>
      <c r="M470" s="20"/>
    </row>
    <row r="471" customFormat="false" ht="15" hidden="false" customHeight="false" outlineLevel="0" collapsed="false">
      <c r="A471" s="21"/>
      <c r="B471" s="33" t="n">
        <f aca="false">IF($A471="",0,INT(($A471-Macrociclo!$C$11)/7)+1)</f>
        <v>0</v>
      </c>
      <c r="C471" s="20"/>
      <c r="D471" s="20"/>
      <c r="E471" s="22"/>
      <c r="F471" s="22"/>
      <c r="G471" s="48" t="n">
        <f aca="false">IF(OR($E471="",$F471=""),0,$E471*$F471)</f>
        <v>0</v>
      </c>
      <c r="H471" s="48" t="n">
        <f aca="false">IF($A471="",0,SUMIFS($G$8:$G$1007,$C$8:$C$1007,$C471,$A$8:$A$1007,"&gt;="&amp;$A471-6,$A$8:$A$1007,"&lt;="&amp;$A471))</f>
        <v>0</v>
      </c>
      <c r="I471" s="48" t="n">
        <f aca="false">IF($A471="",0,SUMIFS($G$8:$G$1007,$C$8:$C$1007,$C471,$A$8:$A$1007,"&gt;="&amp;$A471-27,$A$8:$A$1007,"&lt;="&amp;$A471)/4)</f>
        <v>0</v>
      </c>
      <c r="J471" s="67" t="n">
        <f aca="false">IF(OR($A471="",$I471=0),0,$H471/$I471)</f>
        <v>0</v>
      </c>
      <c r="K471" s="33" t="n">
        <f aca="false">IF($A471="",0,$A471-SUMPRODUCT(MIN(($C$8:$C$1007=$C471)*$A$8:$A$1007+($C$8:$C$1007&lt;&gt;$C471)*100000))+1)</f>
        <v>0</v>
      </c>
      <c r="L471" s="19" t="str">
        <f aca="false">IF($A471="","",IF($J471=0,"Sem registro anterior",IF($K471&lt;21,"Histórico insuficiente",IF($J471&lt;0.8,"Subcarga",IF($J471&lt;=1.3,"Zona ideal",IF($J471&lt;=1.5,"Atenção","Risco elevado"))))))</f>
        <v/>
      </c>
      <c r="M471" s="20"/>
    </row>
    <row r="472" customFormat="false" ht="15" hidden="false" customHeight="false" outlineLevel="0" collapsed="false">
      <c r="A472" s="21"/>
      <c r="B472" s="33" t="n">
        <f aca="false">IF($A472="",0,INT(($A472-Macrociclo!$C$11)/7)+1)</f>
        <v>0</v>
      </c>
      <c r="C472" s="20"/>
      <c r="D472" s="20"/>
      <c r="E472" s="22"/>
      <c r="F472" s="22"/>
      <c r="G472" s="48" t="n">
        <f aca="false">IF(OR($E472="",$F472=""),0,$E472*$F472)</f>
        <v>0</v>
      </c>
      <c r="H472" s="48" t="n">
        <f aca="false">IF($A472="",0,SUMIFS($G$8:$G$1007,$C$8:$C$1007,$C472,$A$8:$A$1007,"&gt;="&amp;$A472-6,$A$8:$A$1007,"&lt;="&amp;$A472))</f>
        <v>0</v>
      </c>
      <c r="I472" s="48" t="n">
        <f aca="false">IF($A472="",0,SUMIFS($G$8:$G$1007,$C$8:$C$1007,$C472,$A$8:$A$1007,"&gt;="&amp;$A472-27,$A$8:$A$1007,"&lt;="&amp;$A472)/4)</f>
        <v>0</v>
      </c>
      <c r="J472" s="67" t="n">
        <f aca="false">IF(OR($A472="",$I472=0),0,$H472/$I472)</f>
        <v>0</v>
      </c>
      <c r="K472" s="33" t="n">
        <f aca="false">IF($A472="",0,$A472-SUMPRODUCT(MIN(($C$8:$C$1007=$C472)*$A$8:$A$1007+($C$8:$C$1007&lt;&gt;$C472)*100000))+1)</f>
        <v>0</v>
      </c>
      <c r="L472" s="19" t="str">
        <f aca="false">IF($A472="","",IF($J472=0,"Sem registro anterior",IF($K472&lt;21,"Histórico insuficiente",IF($J472&lt;0.8,"Subcarga",IF($J472&lt;=1.3,"Zona ideal",IF($J472&lt;=1.5,"Atenção","Risco elevado"))))))</f>
        <v/>
      </c>
      <c r="M472" s="20"/>
    </row>
    <row r="473" customFormat="false" ht="15" hidden="false" customHeight="false" outlineLevel="0" collapsed="false">
      <c r="A473" s="21"/>
      <c r="B473" s="33" t="n">
        <f aca="false">IF($A473="",0,INT(($A473-Macrociclo!$C$11)/7)+1)</f>
        <v>0</v>
      </c>
      <c r="C473" s="20"/>
      <c r="D473" s="20"/>
      <c r="E473" s="22"/>
      <c r="F473" s="22"/>
      <c r="G473" s="48" t="n">
        <f aca="false">IF(OR($E473="",$F473=""),0,$E473*$F473)</f>
        <v>0</v>
      </c>
      <c r="H473" s="48" t="n">
        <f aca="false">IF($A473="",0,SUMIFS($G$8:$G$1007,$C$8:$C$1007,$C473,$A$8:$A$1007,"&gt;="&amp;$A473-6,$A$8:$A$1007,"&lt;="&amp;$A473))</f>
        <v>0</v>
      </c>
      <c r="I473" s="48" t="n">
        <f aca="false">IF($A473="",0,SUMIFS($G$8:$G$1007,$C$8:$C$1007,$C473,$A$8:$A$1007,"&gt;="&amp;$A473-27,$A$8:$A$1007,"&lt;="&amp;$A473)/4)</f>
        <v>0</v>
      </c>
      <c r="J473" s="67" t="n">
        <f aca="false">IF(OR($A473="",$I473=0),0,$H473/$I473)</f>
        <v>0</v>
      </c>
      <c r="K473" s="33" t="n">
        <f aca="false">IF($A473="",0,$A473-SUMPRODUCT(MIN(($C$8:$C$1007=$C473)*$A$8:$A$1007+($C$8:$C$1007&lt;&gt;$C473)*100000))+1)</f>
        <v>0</v>
      </c>
      <c r="L473" s="19" t="str">
        <f aca="false">IF($A473="","",IF($J473=0,"Sem registro anterior",IF($K473&lt;21,"Histórico insuficiente",IF($J473&lt;0.8,"Subcarga",IF($J473&lt;=1.3,"Zona ideal",IF($J473&lt;=1.5,"Atenção","Risco elevado"))))))</f>
        <v/>
      </c>
      <c r="M473" s="20"/>
    </row>
    <row r="474" customFormat="false" ht="15" hidden="false" customHeight="false" outlineLevel="0" collapsed="false">
      <c r="A474" s="21"/>
      <c r="B474" s="33" t="n">
        <f aca="false">IF($A474="",0,INT(($A474-Macrociclo!$C$11)/7)+1)</f>
        <v>0</v>
      </c>
      <c r="C474" s="20"/>
      <c r="D474" s="20"/>
      <c r="E474" s="22"/>
      <c r="F474" s="22"/>
      <c r="G474" s="48" t="n">
        <f aca="false">IF(OR($E474="",$F474=""),0,$E474*$F474)</f>
        <v>0</v>
      </c>
      <c r="H474" s="48" t="n">
        <f aca="false">IF($A474="",0,SUMIFS($G$8:$G$1007,$C$8:$C$1007,$C474,$A$8:$A$1007,"&gt;="&amp;$A474-6,$A$8:$A$1007,"&lt;="&amp;$A474))</f>
        <v>0</v>
      </c>
      <c r="I474" s="48" t="n">
        <f aca="false">IF($A474="",0,SUMIFS($G$8:$G$1007,$C$8:$C$1007,$C474,$A$8:$A$1007,"&gt;="&amp;$A474-27,$A$8:$A$1007,"&lt;="&amp;$A474)/4)</f>
        <v>0</v>
      </c>
      <c r="J474" s="67" t="n">
        <f aca="false">IF(OR($A474="",$I474=0),0,$H474/$I474)</f>
        <v>0</v>
      </c>
      <c r="K474" s="33" t="n">
        <f aca="false">IF($A474="",0,$A474-SUMPRODUCT(MIN(($C$8:$C$1007=$C474)*$A$8:$A$1007+($C$8:$C$1007&lt;&gt;$C474)*100000))+1)</f>
        <v>0</v>
      </c>
      <c r="L474" s="19" t="str">
        <f aca="false">IF($A474="","",IF($J474=0,"Sem registro anterior",IF($K474&lt;21,"Histórico insuficiente",IF($J474&lt;0.8,"Subcarga",IF($J474&lt;=1.3,"Zona ideal",IF($J474&lt;=1.5,"Atenção","Risco elevado"))))))</f>
        <v/>
      </c>
      <c r="M474" s="20"/>
    </row>
    <row r="475" customFormat="false" ht="15" hidden="false" customHeight="false" outlineLevel="0" collapsed="false">
      <c r="A475" s="21"/>
      <c r="B475" s="33" t="n">
        <f aca="false">IF($A475="",0,INT(($A475-Macrociclo!$C$11)/7)+1)</f>
        <v>0</v>
      </c>
      <c r="C475" s="20"/>
      <c r="D475" s="20"/>
      <c r="E475" s="22"/>
      <c r="F475" s="22"/>
      <c r="G475" s="48" t="n">
        <f aca="false">IF(OR($E475="",$F475=""),0,$E475*$F475)</f>
        <v>0</v>
      </c>
      <c r="H475" s="48" t="n">
        <f aca="false">IF($A475="",0,SUMIFS($G$8:$G$1007,$C$8:$C$1007,$C475,$A$8:$A$1007,"&gt;="&amp;$A475-6,$A$8:$A$1007,"&lt;="&amp;$A475))</f>
        <v>0</v>
      </c>
      <c r="I475" s="48" t="n">
        <f aca="false">IF($A475="",0,SUMIFS($G$8:$G$1007,$C$8:$C$1007,$C475,$A$8:$A$1007,"&gt;="&amp;$A475-27,$A$8:$A$1007,"&lt;="&amp;$A475)/4)</f>
        <v>0</v>
      </c>
      <c r="J475" s="67" t="n">
        <f aca="false">IF(OR($A475="",$I475=0),0,$H475/$I475)</f>
        <v>0</v>
      </c>
      <c r="K475" s="33" t="n">
        <f aca="false">IF($A475="",0,$A475-SUMPRODUCT(MIN(($C$8:$C$1007=$C475)*$A$8:$A$1007+($C$8:$C$1007&lt;&gt;$C475)*100000))+1)</f>
        <v>0</v>
      </c>
      <c r="L475" s="19" t="str">
        <f aca="false">IF($A475="","",IF($J475=0,"Sem registro anterior",IF($K475&lt;21,"Histórico insuficiente",IF($J475&lt;0.8,"Subcarga",IF($J475&lt;=1.3,"Zona ideal",IF($J475&lt;=1.5,"Atenção","Risco elevado"))))))</f>
        <v/>
      </c>
      <c r="M475" s="20"/>
    </row>
    <row r="476" customFormat="false" ht="15" hidden="false" customHeight="false" outlineLevel="0" collapsed="false">
      <c r="A476" s="21"/>
      <c r="B476" s="33" t="n">
        <f aca="false">IF($A476="",0,INT(($A476-Macrociclo!$C$11)/7)+1)</f>
        <v>0</v>
      </c>
      <c r="C476" s="20"/>
      <c r="D476" s="20"/>
      <c r="E476" s="22"/>
      <c r="F476" s="22"/>
      <c r="G476" s="48" t="n">
        <f aca="false">IF(OR($E476="",$F476=""),0,$E476*$F476)</f>
        <v>0</v>
      </c>
      <c r="H476" s="48" t="n">
        <f aca="false">IF($A476="",0,SUMIFS($G$8:$G$1007,$C$8:$C$1007,$C476,$A$8:$A$1007,"&gt;="&amp;$A476-6,$A$8:$A$1007,"&lt;="&amp;$A476))</f>
        <v>0</v>
      </c>
      <c r="I476" s="48" t="n">
        <f aca="false">IF($A476="",0,SUMIFS($G$8:$G$1007,$C$8:$C$1007,$C476,$A$8:$A$1007,"&gt;="&amp;$A476-27,$A$8:$A$1007,"&lt;="&amp;$A476)/4)</f>
        <v>0</v>
      </c>
      <c r="J476" s="67" t="n">
        <f aca="false">IF(OR($A476="",$I476=0),0,$H476/$I476)</f>
        <v>0</v>
      </c>
      <c r="K476" s="33" t="n">
        <f aca="false">IF($A476="",0,$A476-SUMPRODUCT(MIN(($C$8:$C$1007=$C476)*$A$8:$A$1007+($C$8:$C$1007&lt;&gt;$C476)*100000))+1)</f>
        <v>0</v>
      </c>
      <c r="L476" s="19" t="str">
        <f aca="false">IF($A476="","",IF($J476=0,"Sem registro anterior",IF($K476&lt;21,"Histórico insuficiente",IF($J476&lt;0.8,"Subcarga",IF($J476&lt;=1.3,"Zona ideal",IF($J476&lt;=1.5,"Atenção","Risco elevado"))))))</f>
        <v/>
      </c>
      <c r="M476" s="20"/>
    </row>
    <row r="477" customFormat="false" ht="15" hidden="false" customHeight="false" outlineLevel="0" collapsed="false">
      <c r="A477" s="21"/>
      <c r="B477" s="33" t="n">
        <f aca="false">IF($A477="",0,INT(($A477-Macrociclo!$C$11)/7)+1)</f>
        <v>0</v>
      </c>
      <c r="C477" s="20"/>
      <c r="D477" s="20"/>
      <c r="E477" s="22"/>
      <c r="F477" s="22"/>
      <c r="G477" s="48" t="n">
        <f aca="false">IF(OR($E477="",$F477=""),0,$E477*$F477)</f>
        <v>0</v>
      </c>
      <c r="H477" s="48" t="n">
        <f aca="false">IF($A477="",0,SUMIFS($G$8:$G$1007,$C$8:$C$1007,$C477,$A$8:$A$1007,"&gt;="&amp;$A477-6,$A$8:$A$1007,"&lt;="&amp;$A477))</f>
        <v>0</v>
      </c>
      <c r="I477" s="48" t="n">
        <f aca="false">IF($A477="",0,SUMIFS($G$8:$G$1007,$C$8:$C$1007,$C477,$A$8:$A$1007,"&gt;="&amp;$A477-27,$A$8:$A$1007,"&lt;="&amp;$A477)/4)</f>
        <v>0</v>
      </c>
      <c r="J477" s="67" t="n">
        <f aca="false">IF(OR($A477="",$I477=0),0,$H477/$I477)</f>
        <v>0</v>
      </c>
      <c r="K477" s="33" t="n">
        <f aca="false">IF($A477="",0,$A477-SUMPRODUCT(MIN(($C$8:$C$1007=$C477)*$A$8:$A$1007+($C$8:$C$1007&lt;&gt;$C477)*100000))+1)</f>
        <v>0</v>
      </c>
      <c r="L477" s="19" t="str">
        <f aca="false">IF($A477="","",IF($J477=0,"Sem registro anterior",IF($K477&lt;21,"Histórico insuficiente",IF($J477&lt;0.8,"Subcarga",IF($J477&lt;=1.3,"Zona ideal",IF($J477&lt;=1.5,"Atenção","Risco elevado"))))))</f>
        <v/>
      </c>
      <c r="M477" s="20"/>
    </row>
    <row r="478" customFormat="false" ht="15" hidden="false" customHeight="false" outlineLevel="0" collapsed="false">
      <c r="A478" s="21"/>
      <c r="B478" s="33" t="n">
        <f aca="false">IF($A478="",0,INT(($A478-Macrociclo!$C$11)/7)+1)</f>
        <v>0</v>
      </c>
      <c r="C478" s="20"/>
      <c r="D478" s="20"/>
      <c r="E478" s="22"/>
      <c r="F478" s="22"/>
      <c r="G478" s="48" t="n">
        <f aca="false">IF(OR($E478="",$F478=""),0,$E478*$F478)</f>
        <v>0</v>
      </c>
      <c r="H478" s="48" t="n">
        <f aca="false">IF($A478="",0,SUMIFS($G$8:$G$1007,$C$8:$C$1007,$C478,$A$8:$A$1007,"&gt;="&amp;$A478-6,$A$8:$A$1007,"&lt;="&amp;$A478))</f>
        <v>0</v>
      </c>
      <c r="I478" s="48" t="n">
        <f aca="false">IF($A478="",0,SUMIFS($G$8:$G$1007,$C$8:$C$1007,$C478,$A$8:$A$1007,"&gt;="&amp;$A478-27,$A$8:$A$1007,"&lt;="&amp;$A478)/4)</f>
        <v>0</v>
      </c>
      <c r="J478" s="67" t="n">
        <f aca="false">IF(OR($A478="",$I478=0),0,$H478/$I478)</f>
        <v>0</v>
      </c>
      <c r="K478" s="33" t="n">
        <f aca="false">IF($A478="",0,$A478-SUMPRODUCT(MIN(($C$8:$C$1007=$C478)*$A$8:$A$1007+($C$8:$C$1007&lt;&gt;$C478)*100000))+1)</f>
        <v>0</v>
      </c>
      <c r="L478" s="19" t="str">
        <f aca="false">IF($A478="","",IF($J478=0,"Sem registro anterior",IF($K478&lt;21,"Histórico insuficiente",IF($J478&lt;0.8,"Subcarga",IF($J478&lt;=1.3,"Zona ideal",IF($J478&lt;=1.5,"Atenção","Risco elevado"))))))</f>
        <v/>
      </c>
      <c r="M478" s="20"/>
    </row>
    <row r="479" customFormat="false" ht="15" hidden="false" customHeight="false" outlineLevel="0" collapsed="false">
      <c r="A479" s="21"/>
      <c r="B479" s="33" t="n">
        <f aca="false">IF($A479="",0,INT(($A479-Macrociclo!$C$11)/7)+1)</f>
        <v>0</v>
      </c>
      <c r="C479" s="20"/>
      <c r="D479" s="20"/>
      <c r="E479" s="22"/>
      <c r="F479" s="22"/>
      <c r="G479" s="48" t="n">
        <f aca="false">IF(OR($E479="",$F479=""),0,$E479*$F479)</f>
        <v>0</v>
      </c>
      <c r="H479" s="48" t="n">
        <f aca="false">IF($A479="",0,SUMIFS($G$8:$G$1007,$C$8:$C$1007,$C479,$A$8:$A$1007,"&gt;="&amp;$A479-6,$A$8:$A$1007,"&lt;="&amp;$A479))</f>
        <v>0</v>
      </c>
      <c r="I479" s="48" t="n">
        <f aca="false">IF($A479="",0,SUMIFS($G$8:$G$1007,$C$8:$C$1007,$C479,$A$8:$A$1007,"&gt;="&amp;$A479-27,$A$8:$A$1007,"&lt;="&amp;$A479)/4)</f>
        <v>0</v>
      </c>
      <c r="J479" s="67" t="n">
        <f aca="false">IF(OR($A479="",$I479=0),0,$H479/$I479)</f>
        <v>0</v>
      </c>
      <c r="K479" s="33" t="n">
        <f aca="false">IF($A479="",0,$A479-SUMPRODUCT(MIN(($C$8:$C$1007=$C479)*$A$8:$A$1007+($C$8:$C$1007&lt;&gt;$C479)*100000))+1)</f>
        <v>0</v>
      </c>
      <c r="L479" s="19" t="str">
        <f aca="false">IF($A479="","",IF($J479=0,"Sem registro anterior",IF($K479&lt;21,"Histórico insuficiente",IF($J479&lt;0.8,"Subcarga",IF($J479&lt;=1.3,"Zona ideal",IF($J479&lt;=1.5,"Atenção","Risco elevado"))))))</f>
        <v/>
      </c>
      <c r="M479" s="20"/>
    </row>
    <row r="480" customFormat="false" ht="15" hidden="false" customHeight="false" outlineLevel="0" collapsed="false">
      <c r="A480" s="21"/>
      <c r="B480" s="33" t="n">
        <f aca="false">IF($A480="",0,INT(($A480-Macrociclo!$C$11)/7)+1)</f>
        <v>0</v>
      </c>
      <c r="C480" s="20"/>
      <c r="D480" s="20"/>
      <c r="E480" s="22"/>
      <c r="F480" s="22"/>
      <c r="G480" s="48" t="n">
        <f aca="false">IF(OR($E480="",$F480=""),0,$E480*$F480)</f>
        <v>0</v>
      </c>
      <c r="H480" s="48" t="n">
        <f aca="false">IF($A480="",0,SUMIFS($G$8:$G$1007,$C$8:$C$1007,$C480,$A$8:$A$1007,"&gt;="&amp;$A480-6,$A$8:$A$1007,"&lt;="&amp;$A480))</f>
        <v>0</v>
      </c>
      <c r="I480" s="48" t="n">
        <f aca="false">IF($A480="",0,SUMIFS($G$8:$G$1007,$C$8:$C$1007,$C480,$A$8:$A$1007,"&gt;="&amp;$A480-27,$A$8:$A$1007,"&lt;="&amp;$A480)/4)</f>
        <v>0</v>
      </c>
      <c r="J480" s="67" t="n">
        <f aca="false">IF(OR($A480="",$I480=0),0,$H480/$I480)</f>
        <v>0</v>
      </c>
      <c r="K480" s="33" t="n">
        <f aca="false">IF($A480="",0,$A480-SUMPRODUCT(MIN(($C$8:$C$1007=$C480)*$A$8:$A$1007+($C$8:$C$1007&lt;&gt;$C480)*100000))+1)</f>
        <v>0</v>
      </c>
      <c r="L480" s="19" t="str">
        <f aca="false">IF($A480="","",IF($J480=0,"Sem registro anterior",IF($K480&lt;21,"Histórico insuficiente",IF($J480&lt;0.8,"Subcarga",IF($J480&lt;=1.3,"Zona ideal",IF($J480&lt;=1.5,"Atenção","Risco elevado"))))))</f>
        <v/>
      </c>
      <c r="M480" s="20"/>
    </row>
    <row r="481" customFormat="false" ht="15" hidden="false" customHeight="false" outlineLevel="0" collapsed="false">
      <c r="A481" s="21"/>
      <c r="B481" s="33" t="n">
        <f aca="false">IF($A481="",0,INT(($A481-Macrociclo!$C$11)/7)+1)</f>
        <v>0</v>
      </c>
      <c r="C481" s="20"/>
      <c r="D481" s="20"/>
      <c r="E481" s="22"/>
      <c r="F481" s="22"/>
      <c r="G481" s="48" t="n">
        <f aca="false">IF(OR($E481="",$F481=""),0,$E481*$F481)</f>
        <v>0</v>
      </c>
      <c r="H481" s="48" t="n">
        <f aca="false">IF($A481="",0,SUMIFS($G$8:$G$1007,$C$8:$C$1007,$C481,$A$8:$A$1007,"&gt;="&amp;$A481-6,$A$8:$A$1007,"&lt;="&amp;$A481))</f>
        <v>0</v>
      </c>
      <c r="I481" s="48" t="n">
        <f aca="false">IF($A481="",0,SUMIFS($G$8:$G$1007,$C$8:$C$1007,$C481,$A$8:$A$1007,"&gt;="&amp;$A481-27,$A$8:$A$1007,"&lt;="&amp;$A481)/4)</f>
        <v>0</v>
      </c>
      <c r="J481" s="67" t="n">
        <f aca="false">IF(OR($A481="",$I481=0),0,$H481/$I481)</f>
        <v>0</v>
      </c>
      <c r="K481" s="33" t="n">
        <f aca="false">IF($A481="",0,$A481-SUMPRODUCT(MIN(($C$8:$C$1007=$C481)*$A$8:$A$1007+($C$8:$C$1007&lt;&gt;$C481)*100000))+1)</f>
        <v>0</v>
      </c>
      <c r="L481" s="19" t="str">
        <f aca="false">IF($A481="","",IF($J481=0,"Sem registro anterior",IF($K481&lt;21,"Histórico insuficiente",IF($J481&lt;0.8,"Subcarga",IF($J481&lt;=1.3,"Zona ideal",IF($J481&lt;=1.5,"Atenção","Risco elevado"))))))</f>
        <v/>
      </c>
      <c r="M481" s="20"/>
    </row>
    <row r="482" customFormat="false" ht="15" hidden="false" customHeight="false" outlineLevel="0" collapsed="false">
      <c r="A482" s="21"/>
      <c r="B482" s="33" t="n">
        <f aca="false">IF($A482="",0,INT(($A482-Macrociclo!$C$11)/7)+1)</f>
        <v>0</v>
      </c>
      <c r="C482" s="20"/>
      <c r="D482" s="20"/>
      <c r="E482" s="22"/>
      <c r="F482" s="22"/>
      <c r="G482" s="48" t="n">
        <f aca="false">IF(OR($E482="",$F482=""),0,$E482*$F482)</f>
        <v>0</v>
      </c>
      <c r="H482" s="48" t="n">
        <f aca="false">IF($A482="",0,SUMIFS($G$8:$G$1007,$C$8:$C$1007,$C482,$A$8:$A$1007,"&gt;="&amp;$A482-6,$A$8:$A$1007,"&lt;="&amp;$A482))</f>
        <v>0</v>
      </c>
      <c r="I482" s="48" t="n">
        <f aca="false">IF($A482="",0,SUMIFS($G$8:$G$1007,$C$8:$C$1007,$C482,$A$8:$A$1007,"&gt;="&amp;$A482-27,$A$8:$A$1007,"&lt;="&amp;$A482)/4)</f>
        <v>0</v>
      </c>
      <c r="J482" s="67" t="n">
        <f aca="false">IF(OR($A482="",$I482=0),0,$H482/$I482)</f>
        <v>0</v>
      </c>
      <c r="K482" s="33" t="n">
        <f aca="false">IF($A482="",0,$A482-SUMPRODUCT(MIN(($C$8:$C$1007=$C482)*$A$8:$A$1007+($C$8:$C$1007&lt;&gt;$C482)*100000))+1)</f>
        <v>0</v>
      </c>
      <c r="L482" s="19" t="str">
        <f aca="false">IF($A482="","",IF($J482=0,"Sem registro anterior",IF($K482&lt;21,"Histórico insuficiente",IF($J482&lt;0.8,"Subcarga",IF($J482&lt;=1.3,"Zona ideal",IF($J482&lt;=1.5,"Atenção","Risco elevado"))))))</f>
        <v/>
      </c>
      <c r="M482" s="20"/>
    </row>
    <row r="483" customFormat="false" ht="15" hidden="false" customHeight="false" outlineLevel="0" collapsed="false">
      <c r="A483" s="21"/>
      <c r="B483" s="33" t="n">
        <f aca="false">IF($A483="",0,INT(($A483-Macrociclo!$C$11)/7)+1)</f>
        <v>0</v>
      </c>
      <c r="C483" s="20"/>
      <c r="D483" s="20"/>
      <c r="E483" s="22"/>
      <c r="F483" s="22"/>
      <c r="G483" s="48" t="n">
        <f aca="false">IF(OR($E483="",$F483=""),0,$E483*$F483)</f>
        <v>0</v>
      </c>
      <c r="H483" s="48" t="n">
        <f aca="false">IF($A483="",0,SUMIFS($G$8:$G$1007,$C$8:$C$1007,$C483,$A$8:$A$1007,"&gt;="&amp;$A483-6,$A$8:$A$1007,"&lt;="&amp;$A483))</f>
        <v>0</v>
      </c>
      <c r="I483" s="48" t="n">
        <f aca="false">IF($A483="",0,SUMIFS($G$8:$G$1007,$C$8:$C$1007,$C483,$A$8:$A$1007,"&gt;="&amp;$A483-27,$A$8:$A$1007,"&lt;="&amp;$A483)/4)</f>
        <v>0</v>
      </c>
      <c r="J483" s="67" t="n">
        <f aca="false">IF(OR($A483="",$I483=0),0,$H483/$I483)</f>
        <v>0</v>
      </c>
      <c r="K483" s="33" t="n">
        <f aca="false">IF($A483="",0,$A483-SUMPRODUCT(MIN(($C$8:$C$1007=$C483)*$A$8:$A$1007+($C$8:$C$1007&lt;&gt;$C483)*100000))+1)</f>
        <v>0</v>
      </c>
      <c r="L483" s="19" t="str">
        <f aca="false">IF($A483="","",IF($J483=0,"Sem registro anterior",IF($K483&lt;21,"Histórico insuficiente",IF($J483&lt;0.8,"Subcarga",IF($J483&lt;=1.3,"Zona ideal",IF($J483&lt;=1.5,"Atenção","Risco elevado"))))))</f>
        <v/>
      </c>
      <c r="M483" s="20"/>
    </row>
    <row r="484" customFormat="false" ht="15" hidden="false" customHeight="false" outlineLevel="0" collapsed="false">
      <c r="A484" s="21"/>
      <c r="B484" s="33" t="n">
        <f aca="false">IF($A484="",0,INT(($A484-Macrociclo!$C$11)/7)+1)</f>
        <v>0</v>
      </c>
      <c r="C484" s="20"/>
      <c r="D484" s="20"/>
      <c r="E484" s="22"/>
      <c r="F484" s="22"/>
      <c r="G484" s="48" t="n">
        <f aca="false">IF(OR($E484="",$F484=""),0,$E484*$F484)</f>
        <v>0</v>
      </c>
      <c r="H484" s="48" t="n">
        <f aca="false">IF($A484="",0,SUMIFS($G$8:$G$1007,$C$8:$C$1007,$C484,$A$8:$A$1007,"&gt;="&amp;$A484-6,$A$8:$A$1007,"&lt;="&amp;$A484))</f>
        <v>0</v>
      </c>
      <c r="I484" s="48" t="n">
        <f aca="false">IF($A484="",0,SUMIFS($G$8:$G$1007,$C$8:$C$1007,$C484,$A$8:$A$1007,"&gt;="&amp;$A484-27,$A$8:$A$1007,"&lt;="&amp;$A484)/4)</f>
        <v>0</v>
      </c>
      <c r="J484" s="67" t="n">
        <f aca="false">IF(OR($A484="",$I484=0),0,$H484/$I484)</f>
        <v>0</v>
      </c>
      <c r="K484" s="33" t="n">
        <f aca="false">IF($A484="",0,$A484-SUMPRODUCT(MIN(($C$8:$C$1007=$C484)*$A$8:$A$1007+($C$8:$C$1007&lt;&gt;$C484)*100000))+1)</f>
        <v>0</v>
      </c>
      <c r="L484" s="19" t="str">
        <f aca="false">IF($A484="","",IF($J484=0,"Sem registro anterior",IF($K484&lt;21,"Histórico insuficiente",IF($J484&lt;0.8,"Subcarga",IF($J484&lt;=1.3,"Zona ideal",IF($J484&lt;=1.5,"Atenção","Risco elevado"))))))</f>
        <v/>
      </c>
      <c r="M484" s="20"/>
    </row>
    <row r="485" customFormat="false" ht="15" hidden="false" customHeight="false" outlineLevel="0" collapsed="false">
      <c r="A485" s="21"/>
      <c r="B485" s="33" t="n">
        <f aca="false">IF($A485="",0,INT(($A485-Macrociclo!$C$11)/7)+1)</f>
        <v>0</v>
      </c>
      <c r="C485" s="20"/>
      <c r="D485" s="20"/>
      <c r="E485" s="22"/>
      <c r="F485" s="22"/>
      <c r="G485" s="48" t="n">
        <f aca="false">IF(OR($E485="",$F485=""),0,$E485*$F485)</f>
        <v>0</v>
      </c>
      <c r="H485" s="48" t="n">
        <f aca="false">IF($A485="",0,SUMIFS($G$8:$G$1007,$C$8:$C$1007,$C485,$A$8:$A$1007,"&gt;="&amp;$A485-6,$A$8:$A$1007,"&lt;="&amp;$A485))</f>
        <v>0</v>
      </c>
      <c r="I485" s="48" t="n">
        <f aca="false">IF($A485="",0,SUMIFS($G$8:$G$1007,$C$8:$C$1007,$C485,$A$8:$A$1007,"&gt;="&amp;$A485-27,$A$8:$A$1007,"&lt;="&amp;$A485)/4)</f>
        <v>0</v>
      </c>
      <c r="J485" s="67" t="n">
        <f aca="false">IF(OR($A485="",$I485=0),0,$H485/$I485)</f>
        <v>0</v>
      </c>
      <c r="K485" s="33" t="n">
        <f aca="false">IF($A485="",0,$A485-SUMPRODUCT(MIN(($C$8:$C$1007=$C485)*$A$8:$A$1007+($C$8:$C$1007&lt;&gt;$C485)*100000))+1)</f>
        <v>0</v>
      </c>
      <c r="L485" s="19" t="str">
        <f aca="false">IF($A485="","",IF($J485=0,"Sem registro anterior",IF($K485&lt;21,"Histórico insuficiente",IF($J485&lt;0.8,"Subcarga",IF($J485&lt;=1.3,"Zona ideal",IF($J485&lt;=1.5,"Atenção","Risco elevado"))))))</f>
        <v/>
      </c>
      <c r="M485" s="20"/>
    </row>
    <row r="486" customFormat="false" ht="15" hidden="false" customHeight="false" outlineLevel="0" collapsed="false">
      <c r="A486" s="21"/>
      <c r="B486" s="33" t="n">
        <f aca="false">IF($A486="",0,INT(($A486-Macrociclo!$C$11)/7)+1)</f>
        <v>0</v>
      </c>
      <c r="C486" s="20"/>
      <c r="D486" s="20"/>
      <c r="E486" s="22"/>
      <c r="F486" s="22"/>
      <c r="G486" s="48" t="n">
        <f aca="false">IF(OR($E486="",$F486=""),0,$E486*$F486)</f>
        <v>0</v>
      </c>
      <c r="H486" s="48" t="n">
        <f aca="false">IF($A486="",0,SUMIFS($G$8:$G$1007,$C$8:$C$1007,$C486,$A$8:$A$1007,"&gt;="&amp;$A486-6,$A$8:$A$1007,"&lt;="&amp;$A486))</f>
        <v>0</v>
      </c>
      <c r="I486" s="48" t="n">
        <f aca="false">IF($A486="",0,SUMIFS($G$8:$G$1007,$C$8:$C$1007,$C486,$A$8:$A$1007,"&gt;="&amp;$A486-27,$A$8:$A$1007,"&lt;="&amp;$A486)/4)</f>
        <v>0</v>
      </c>
      <c r="J486" s="67" t="n">
        <f aca="false">IF(OR($A486="",$I486=0),0,$H486/$I486)</f>
        <v>0</v>
      </c>
      <c r="K486" s="33" t="n">
        <f aca="false">IF($A486="",0,$A486-SUMPRODUCT(MIN(($C$8:$C$1007=$C486)*$A$8:$A$1007+($C$8:$C$1007&lt;&gt;$C486)*100000))+1)</f>
        <v>0</v>
      </c>
      <c r="L486" s="19" t="str">
        <f aca="false">IF($A486="","",IF($J486=0,"Sem registro anterior",IF($K486&lt;21,"Histórico insuficiente",IF($J486&lt;0.8,"Subcarga",IF($J486&lt;=1.3,"Zona ideal",IF($J486&lt;=1.5,"Atenção","Risco elevado"))))))</f>
        <v/>
      </c>
      <c r="M486" s="20"/>
    </row>
    <row r="487" customFormat="false" ht="15" hidden="false" customHeight="false" outlineLevel="0" collapsed="false">
      <c r="A487" s="21"/>
      <c r="B487" s="33" t="n">
        <f aca="false">IF($A487="",0,INT(($A487-Macrociclo!$C$11)/7)+1)</f>
        <v>0</v>
      </c>
      <c r="C487" s="20"/>
      <c r="D487" s="20"/>
      <c r="E487" s="22"/>
      <c r="F487" s="22"/>
      <c r="G487" s="48" t="n">
        <f aca="false">IF(OR($E487="",$F487=""),0,$E487*$F487)</f>
        <v>0</v>
      </c>
      <c r="H487" s="48" t="n">
        <f aca="false">IF($A487="",0,SUMIFS($G$8:$G$1007,$C$8:$C$1007,$C487,$A$8:$A$1007,"&gt;="&amp;$A487-6,$A$8:$A$1007,"&lt;="&amp;$A487))</f>
        <v>0</v>
      </c>
      <c r="I487" s="48" t="n">
        <f aca="false">IF($A487="",0,SUMIFS($G$8:$G$1007,$C$8:$C$1007,$C487,$A$8:$A$1007,"&gt;="&amp;$A487-27,$A$8:$A$1007,"&lt;="&amp;$A487)/4)</f>
        <v>0</v>
      </c>
      <c r="J487" s="67" t="n">
        <f aca="false">IF(OR($A487="",$I487=0),0,$H487/$I487)</f>
        <v>0</v>
      </c>
      <c r="K487" s="33" t="n">
        <f aca="false">IF($A487="",0,$A487-SUMPRODUCT(MIN(($C$8:$C$1007=$C487)*$A$8:$A$1007+($C$8:$C$1007&lt;&gt;$C487)*100000))+1)</f>
        <v>0</v>
      </c>
      <c r="L487" s="19" t="str">
        <f aca="false">IF($A487="","",IF($J487=0,"Sem registro anterior",IF($K487&lt;21,"Histórico insuficiente",IF($J487&lt;0.8,"Subcarga",IF($J487&lt;=1.3,"Zona ideal",IF($J487&lt;=1.5,"Atenção","Risco elevado"))))))</f>
        <v/>
      </c>
      <c r="M487" s="20"/>
    </row>
    <row r="488" customFormat="false" ht="15" hidden="false" customHeight="false" outlineLevel="0" collapsed="false">
      <c r="A488" s="21"/>
      <c r="B488" s="33" t="n">
        <f aca="false">IF($A488="",0,INT(($A488-Macrociclo!$C$11)/7)+1)</f>
        <v>0</v>
      </c>
      <c r="C488" s="20"/>
      <c r="D488" s="20"/>
      <c r="E488" s="22"/>
      <c r="F488" s="22"/>
      <c r="G488" s="48" t="n">
        <f aca="false">IF(OR($E488="",$F488=""),0,$E488*$F488)</f>
        <v>0</v>
      </c>
      <c r="H488" s="48" t="n">
        <f aca="false">IF($A488="",0,SUMIFS($G$8:$G$1007,$C$8:$C$1007,$C488,$A$8:$A$1007,"&gt;="&amp;$A488-6,$A$8:$A$1007,"&lt;="&amp;$A488))</f>
        <v>0</v>
      </c>
      <c r="I488" s="48" t="n">
        <f aca="false">IF($A488="",0,SUMIFS($G$8:$G$1007,$C$8:$C$1007,$C488,$A$8:$A$1007,"&gt;="&amp;$A488-27,$A$8:$A$1007,"&lt;="&amp;$A488)/4)</f>
        <v>0</v>
      </c>
      <c r="J488" s="67" t="n">
        <f aca="false">IF(OR($A488="",$I488=0),0,$H488/$I488)</f>
        <v>0</v>
      </c>
      <c r="K488" s="33" t="n">
        <f aca="false">IF($A488="",0,$A488-SUMPRODUCT(MIN(($C$8:$C$1007=$C488)*$A$8:$A$1007+($C$8:$C$1007&lt;&gt;$C488)*100000))+1)</f>
        <v>0</v>
      </c>
      <c r="L488" s="19" t="str">
        <f aca="false">IF($A488="","",IF($J488=0,"Sem registro anterior",IF($K488&lt;21,"Histórico insuficiente",IF($J488&lt;0.8,"Subcarga",IF($J488&lt;=1.3,"Zona ideal",IF($J488&lt;=1.5,"Atenção","Risco elevado"))))))</f>
        <v/>
      </c>
      <c r="M488" s="20"/>
    </row>
    <row r="489" customFormat="false" ht="15" hidden="false" customHeight="false" outlineLevel="0" collapsed="false">
      <c r="A489" s="21"/>
      <c r="B489" s="33" t="n">
        <f aca="false">IF($A489="",0,INT(($A489-Macrociclo!$C$11)/7)+1)</f>
        <v>0</v>
      </c>
      <c r="C489" s="20"/>
      <c r="D489" s="20"/>
      <c r="E489" s="22"/>
      <c r="F489" s="22"/>
      <c r="G489" s="48" t="n">
        <f aca="false">IF(OR($E489="",$F489=""),0,$E489*$F489)</f>
        <v>0</v>
      </c>
      <c r="H489" s="48" t="n">
        <f aca="false">IF($A489="",0,SUMIFS($G$8:$G$1007,$C$8:$C$1007,$C489,$A$8:$A$1007,"&gt;="&amp;$A489-6,$A$8:$A$1007,"&lt;="&amp;$A489))</f>
        <v>0</v>
      </c>
      <c r="I489" s="48" t="n">
        <f aca="false">IF($A489="",0,SUMIFS($G$8:$G$1007,$C$8:$C$1007,$C489,$A$8:$A$1007,"&gt;="&amp;$A489-27,$A$8:$A$1007,"&lt;="&amp;$A489)/4)</f>
        <v>0</v>
      </c>
      <c r="J489" s="67" t="n">
        <f aca="false">IF(OR($A489="",$I489=0),0,$H489/$I489)</f>
        <v>0</v>
      </c>
      <c r="K489" s="33" t="n">
        <f aca="false">IF($A489="",0,$A489-SUMPRODUCT(MIN(($C$8:$C$1007=$C489)*$A$8:$A$1007+($C$8:$C$1007&lt;&gt;$C489)*100000))+1)</f>
        <v>0</v>
      </c>
      <c r="L489" s="19" t="str">
        <f aca="false">IF($A489="","",IF($J489=0,"Sem registro anterior",IF($K489&lt;21,"Histórico insuficiente",IF($J489&lt;0.8,"Subcarga",IF($J489&lt;=1.3,"Zona ideal",IF($J489&lt;=1.5,"Atenção","Risco elevado"))))))</f>
        <v/>
      </c>
      <c r="M489" s="20"/>
    </row>
    <row r="490" customFormat="false" ht="15" hidden="false" customHeight="false" outlineLevel="0" collapsed="false">
      <c r="A490" s="21"/>
      <c r="B490" s="33" t="n">
        <f aca="false">IF($A490="",0,INT(($A490-Macrociclo!$C$11)/7)+1)</f>
        <v>0</v>
      </c>
      <c r="C490" s="20"/>
      <c r="D490" s="20"/>
      <c r="E490" s="22"/>
      <c r="F490" s="22"/>
      <c r="G490" s="48" t="n">
        <f aca="false">IF(OR($E490="",$F490=""),0,$E490*$F490)</f>
        <v>0</v>
      </c>
      <c r="H490" s="48" t="n">
        <f aca="false">IF($A490="",0,SUMIFS($G$8:$G$1007,$C$8:$C$1007,$C490,$A$8:$A$1007,"&gt;="&amp;$A490-6,$A$8:$A$1007,"&lt;="&amp;$A490))</f>
        <v>0</v>
      </c>
      <c r="I490" s="48" t="n">
        <f aca="false">IF($A490="",0,SUMIFS($G$8:$G$1007,$C$8:$C$1007,$C490,$A$8:$A$1007,"&gt;="&amp;$A490-27,$A$8:$A$1007,"&lt;="&amp;$A490)/4)</f>
        <v>0</v>
      </c>
      <c r="J490" s="67" t="n">
        <f aca="false">IF(OR($A490="",$I490=0),0,$H490/$I490)</f>
        <v>0</v>
      </c>
      <c r="K490" s="33" t="n">
        <f aca="false">IF($A490="",0,$A490-SUMPRODUCT(MIN(($C$8:$C$1007=$C490)*$A$8:$A$1007+($C$8:$C$1007&lt;&gt;$C490)*100000))+1)</f>
        <v>0</v>
      </c>
      <c r="L490" s="19" t="str">
        <f aca="false">IF($A490="","",IF($J490=0,"Sem registro anterior",IF($K490&lt;21,"Histórico insuficiente",IF($J490&lt;0.8,"Subcarga",IF($J490&lt;=1.3,"Zona ideal",IF($J490&lt;=1.5,"Atenção","Risco elevado"))))))</f>
        <v/>
      </c>
      <c r="M490" s="20"/>
    </row>
    <row r="491" customFormat="false" ht="15" hidden="false" customHeight="false" outlineLevel="0" collapsed="false">
      <c r="A491" s="21"/>
      <c r="B491" s="33" t="n">
        <f aca="false">IF($A491="",0,INT(($A491-Macrociclo!$C$11)/7)+1)</f>
        <v>0</v>
      </c>
      <c r="C491" s="20"/>
      <c r="D491" s="20"/>
      <c r="E491" s="22"/>
      <c r="F491" s="22"/>
      <c r="G491" s="48" t="n">
        <f aca="false">IF(OR($E491="",$F491=""),0,$E491*$F491)</f>
        <v>0</v>
      </c>
      <c r="H491" s="48" t="n">
        <f aca="false">IF($A491="",0,SUMIFS($G$8:$G$1007,$C$8:$C$1007,$C491,$A$8:$A$1007,"&gt;="&amp;$A491-6,$A$8:$A$1007,"&lt;="&amp;$A491))</f>
        <v>0</v>
      </c>
      <c r="I491" s="48" t="n">
        <f aca="false">IF($A491="",0,SUMIFS($G$8:$G$1007,$C$8:$C$1007,$C491,$A$8:$A$1007,"&gt;="&amp;$A491-27,$A$8:$A$1007,"&lt;="&amp;$A491)/4)</f>
        <v>0</v>
      </c>
      <c r="J491" s="67" t="n">
        <f aca="false">IF(OR($A491="",$I491=0),0,$H491/$I491)</f>
        <v>0</v>
      </c>
      <c r="K491" s="33" t="n">
        <f aca="false">IF($A491="",0,$A491-SUMPRODUCT(MIN(($C$8:$C$1007=$C491)*$A$8:$A$1007+($C$8:$C$1007&lt;&gt;$C491)*100000))+1)</f>
        <v>0</v>
      </c>
      <c r="L491" s="19" t="str">
        <f aca="false">IF($A491="","",IF($J491=0,"Sem registro anterior",IF($K491&lt;21,"Histórico insuficiente",IF($J491&lt;0.8,"Subcarga",IF($J491&lt;=1.3,"Zona ideal",IF($J491&lt;=1.5,"Atenção","Risco elevado"))))))</f>
        <v/>
      </c>
      <c r="M491" s="20"/>
    </row>
    <row r="492" customFormat="false" ht="15" hidden="false" customHeight="false" outlineLevel="0" collapsed="false">
      <c r="A492" s="21"/>
      <c r="B492" s="33" t="n">
        <f aca="false">IF($A492="",0,INT(($A492-Macrociclo!$C$11)/7)+1)</f>
        <v>0</v>
      </c>
      <c r="C492" s="20"/>
      <c r="D492" s="20"/>
      <c r="E492" s="22"/>
      <c r="F492" s="22"/>
      <c r="G492" s="48" t="n">
        <f aca="false">IF(OR($E492="",$F492=""),0,$E492*$F492)</f>
        <v>0</v>
      </c>
      <c r="H492" s="48" t="n">
        <f aca="false">IF($A492="",0,SUMIFS($G$8:$G$1007,$C$8:$C$1007,$C492,$A$8:$A$1007,"&gt;="&amp;$A492-6,$A$8:$A$1007,"&lt;="&amp;$A492))</f>
        <v>0</v>
      </c>
      <c r="I492" s="48" t="n">
        <f aca="false">IF($A492="",0,SUMIFS($G$8:$G$1007,$C$8:$C$1007,$C492,$A$8:$A$1007,"&gt;="&amp;$A492-27,$A$8:$A$1007,"&lt;="&amp;$A492)/4)</f>
        <v>0</v>
      </c>
      <c r="J492" s="67" t="n">
        <f aca="false">IF(OR($A492="",$I492=0),0,$H492/$I492)</f>
        <v>0</v>
      </c>
      <c r="K492" s="33" t="n">
        <f aca="false">IF($A492="",0,$A492-SUMPRODUCT(MIN(($C$8:$C$1007=$C492)*$A$8:$A$1007+($C$8:$C$1007&lt;&gt;$C492)*100000))+1)</f>
        <v>0</v>
      </c>
      <c r="L492" s="19" t="str">
        <f aca="false">IF($A492="","",IF($J492=0,"Sem registro anterior",IF($K492&lt;21,"Histórico insuficiente",IF($J492&lt;0.8,"Subcarga",IF($J492&lt;=1.3,"Zona ideal",IF($J492&lt;=1.5,"Atenção","Risco elevado"))))))</f>
        <v/>
      </c>
      <c r="M492" s="20"/>
    </row>
    <row r="493" customFormat="false" ht="15" hidden="false" customHeight="false" outlineLevel="0" collapsed="false">
      <c r="A493" s="21"/>
      <c r="B493" s="33" t="n">
        <f aca="false">IF($A493="",0,INT(($A493-Macrociclo!$C$11)/7)+1)</f>
        <v>0</v>
      </c>
      <c r="C493" s="20"/>
      <c r="D493" s="20"/>
      <c r="E493" s="22"/>
      <c r="F493" s="22"/>
      <c r="G493" s="48" t="n">
        <f aca="false">IF(OR($E493="",$F493=""),0,$E493*$F493)</f>
        <v>0</v>
      </c>
      <c r="H493" s="48" t="n">
        <f aca="false">IF($A493="",0,SUMIFS($G$8:$G$1007,$C$8:$C$1007,$C493,$A$8:$A$1007,"&gt;="&amp;$A493-6,$A$8:$A$1007,"&lt;="&amp;$A493))</f>
        <v>0</v>
      </c>
      <c r="I493" s="48" t="n">
        <f aca="false">IF($A493="",0,SUMIFS($G$8:$G$1007,$C$8:$C$1007,$C493,$A$8:$A$1007,"&gt;="&amp;$A493-27,$A$8:$A$1007,"&lt;="&amp;$A493)/4)</f>
        <v>0</v>
      </c>
      <c r="J493" s="67" t="n">
        <f aca="false">IF(OR($A493="",$I493=0),0,$H493/$I493)</f>
        <v>0</v>
      </c>
      <c r="K493" s="33" t="n">
        <f aca="false">IF($A493="",0,$A493-SUMPRODUCT(MIN(($C$8:$C$1007=$C493)*$A$8:$A$1007+($C$8:$C$1007&lt;&gt;$C493)*100000))+1)</f>
        <v>0</v>
      </c>
      <c r="L493" s="19" t="str">
        <f aca="false">IF($A493="","",IF($J493=0,"Sem registro anterior",IF($K493&lt;21,"Histórico insuficiente",IF($J493&lt;0.8,"Subcarga",IF($J493&lt;=1.3,"Zona ideal",IF($J493&lt;=1.5,"Atenção","Risco elevado"))))))</f>
        <v/>
      </c>
      <c r="M493" s="20"/>
    </row>
    <row r="494" customFormat="false" ht="15" hidden="false" customHeight="false" outlineLevel="0" collapsed="false">
      <c r="A494" s="21"/>
      <c r="B494" s="33" t="n">
        <f aca="false">IF($A494="",0,INT(($A494-Macrociclo!$C$11)/7)+1)</f>
        <v>0</v>
      </c>
      <c r="C494" s="20"/>
      <c r="D494" s="20"/>
      <c r="E494" s="22"/>
      <c r="F494" s="22"/>
      <c r="G494" s="48" t="n">
        <f aca="false">IF(OR($E494="",$F494=""),0,$E494*$F494)</f>
        <v>0</v>
      </c>
      <c r="H494" s="48" t="n">
        <f aca="false">IF($A494="",0,SUMIFS($G$8:$G$1007,$C$8:$C$1007,$C494,$A$8:$A$1007,"&gt;="&amp;$A494-6,$A$8:$A$1007,"&lt;="&amp;$A494))</f>
        <v>0</v>
      </c>
      <c r="I494" s="48" t="n">
        <f aca="false">IF($A494="",0,SUMIFS($G$8:$G$1007,$C$8:$C$1007,$C494,$A$8:$A$1007,"&gt;="&amp;$A494-27,$A$8:$A$1007,"&lt;="&amp;$A494)/4)</f>
        <v>0</v>
      </c>
      <c r="J494" s="67" t="n">
        <f aca="false">IF(OR($A494="",$I494=0),0,$H494/$I494)</f>
        <v>0</v>
      </c>
      <c r="K494" s="33" t="n">
        <f aca="false">IF($A494="",0,$A494-SUMPRODUCT(MIN(($C$8:$C$1007=$C494)*$A$8:$A$1007+($C$8:$C$1007&lt;&gt;$C494)*100000))+1)</f>
        <v>0</v>
      </c>
      <c r="L494" s="19" t="str">
        <f aca="false">IF($A494="","",IF($J494=0,"Sem registro anterior",IF($K494&lt;21,"Histórico insuficiente",IF($J494&lt;0.8,"Subcarga",IF($J494&lt;=1.3,"Zona ideal",IF($J494&lt;=1.5,"Atenção","Risco elevado"))))))</f>
        <v/>
      </c>
      <c r="M494" s="20"/>
    </row>
    <row r="495" customFormat="false" ht="15" hidden="false" customHeight="false" outlineLevel="0" collapsed="false">
      <c r="A495" s="21"/>
      <c r="B495" s="33" t="n">
        <f aca="false">IF($A495="",0,INT(($A495-Macrociclo!$C$11)/7)+1)</f>
        <v>0</v>
      </c>
      <c r="C495" s="20"/>
      <c r="D495" s="20"/>
      <c r="E495" s="22"/>
      <c r="F495" s="22"/>
      <c r="G495" s="48" t="n">
        <f aca="false">IF(OR($E495="",$F495=""),0,$E495*$F495)</f>
        <v>0</v>
      </c>
      <c r="H495" s="48" t="n">
        <f aca="false">IF($A495="",0,SUMIFS($G$8:$G$1007,$C$8:$C$1007,$C495,$A$8:$A$1007,"&gt;="&amp;$A495-6,$A$8:$A$1007,"&lt;="&amp;$A495))</f>
        <v>0</v>
      </c>
      <c r="I495" s="48" t="n">
        <f aca="false">IF($A495="",0,SUMIFS($G$8:$G$1007,$C$8:$C$1007,$C495,$A$8:$A$1007,"&gt;="&amp;$A495-27,$A$8:$A$1007,"&lt;="&amp;$A495)/4)</f>
        <v>0</v>
      </c>
      <c r="J495" s="67" t="n">
        <f aca="false">IF(OR($A495="",$I495=0),0,$H495/$I495)</f>
        <v>0</v>
      </c>
      <c r="K495" s="33" t="n">
        <f aca="false">IF($A495="",0,$A495-SUMPRODUCT(MIN(($C$8:$C$1007=$C495)*$A$8:$A$1007+($C$8:$C$1007&lt;&gt;$C495)*100000))+1)</f>
        <v>0</v>
      </c>
      <c r="L495" s="19" t="str">
        <f aca="false">IF($A495="","",IF($J495=0,"Sem registro anterior",IF($K495&lt;21,"Histórico insuficiente",IF($J495&lt;0.8,"Subcarga",IF($J495&lt;=1.3,"Zona ideal",IF($J495&lt;=1.5,"Atenção","Risco elevado"))))))</f>
        <v/>
      </c>
      <c r="M495" s="20"/>
    </row>
    <row r="496" customFormat="false" ht="15" hidden="false" customHeight="false" outlineLevel="0" collapsed="false">
      <c r="A496" s="21"/>
      <c r="B496" s="33" t="n">
        <f aca="false">IF($A496="",0,INT(($A496-Macrociclo!$C$11)/7)+1)</f>
        <v>0</v>
      </c>
      <c r="C496" s="20"/>
      <c r="D496" s="20"/>
      <c r="E496" s="22"/>
      <c r="F496" s="22"/>
      <c r="G496" s="48" t="n">
        <f aca="false">IF(OR($E496="",$F496=""),0,$E496*$F496)</f>
        <v>0</v>
      </c>
      <c r="H496" s="48" t="n">
        <f aca="false">IF($A496="",0,SUMIFS($G$8:$G$1007,$C$8:$C$1007,$C496,$A$8:$A$1007,"&gt;="&amp;$A496-6,$A$8:$A$1007,"&lt;="&amp;$A496))</f>
        <v>0</v>
      </c>
      <c r="I496" s="48" t="n">
        <f aca="false">IF($A496="",0,SUMIFS($G$8:$G$1007,$C$8:$C$1007,$C496,$A$8:$A$1007,"&gt;="&amp;$A496-27,$A$8:$A$1007,"&lt;="&amp;$A496)/4)</f>
        <v>0</v>
      </c>
      <c r="J496" s="67" t="n">
        <f aca="false">IF(OR($A496="",$I496=0),0,$H496/$I496)</f>
        <v>0</v>
      </c>
      <c r="K496" s="33" t="n">
        <f aca="false">IF($A496="",0,$A496-SUMPRODUCT(MIN(($C$8:$C$1007=$C496)*$A$8:$A$1007+($C$8:$C$1007&lt;&gt;$C496)*100000))+1)</f>
        <v>0</v>
      </c>
      <c r="L496" s="19" t="str">
        <f aca="false">IF($A496="","",IF($J496=0,"Sem registro anterior",IF($K496&lt;21,"Histórico insuficiente",IF($J496&lt;0.8,"Subcarga",IF($J496&lt;=1.3,"Zona ideal",IF($J496&lt;=1.5,"Atenção","Risco elevado"))))))</f>
        <v/>
      </c>
      <c r="M496" s="20"/>
    </row>
    <row r="497" customFormat="false" ht="15" hidden="false" customHeight="false" outlineLevel="0" collapsed="false">
      <c r="A497" s="21"/>
      <c r="B497" s="33" t="n">
        <f aca="false">IF($A497="",0,INT(($A497-Macrociclo!$C$11)/7)+1)</f>
        <v>0</v>
      </c>
      <c r="C497" s="20"/>
      <c r="D497" s="20"/>
      <c r="E497" s="22"/>
      <c r="F497" s="22"/>
      <c r="G497" s="48" t="n">
        <f aca="false">IF(OR($E497="",$F497=""),0,$E497*$F497)</f>
        <v>0</v>
      </c>
      <c r="H497" s="48" t="n">
        <f aca="false">IF($A497="",0,SUMIFS($G$8:$G$1007,$C$8:$C$1007,$C497,$A$8:$A$1007,"&gt;="&amp;$A497-6,$A$8:$A$1007,"&lt;="&amp;$A497))</f>
        <v>0</v>
      </c>
      <c r="I497" s="48" t="n">
        <f aca="false">IF($A497="",0,SUMIFS($G$8:$G$1007,$C$8:$C$1007,$C497,$A$8:$A$1007,"&gt;="&amp;$A497-27,$A$8:$A$1007,"&lt;="&amp;$A497)/4)</f>
        <v>0</v>
      </c>
      <c r="J497" s="67" t="n">
        <f aca="false">IF(OR($A497="",$I497=0),0,$H497/$I497)</f>
        <v>0</v>
      </c>
      <c r="K497" s="33" t="n">
        <f aca="false">IF($A497="",0,$A497-SUMPRODUCT(MIN(($C$8:$C$1007=$C497)*$A$8:$A$1007+($C$8:$C$1007&lt;&gt;$C497)*100000))+1)</f>
        <v>0</v>
      </c>
      <c r="L497" s="19" t="str">
        <f aca="false">IF($A497="","",IF($J497=0,"Sem registro anterior",IF($K497&lt;21,"Histórico insuficiente",IF($J497&lt;0.8,"Subcarga",IF($J497&lt;=1.3,"Zona ideal",IF($J497&lt;=1.5,"Atenção","Risco elevado"))))))</f>
        <v/>
      </c>
      <c r="M497" s="20"/>
    </row>
    <row r="498" customFormat="false" ht="15" hidden="false" customHeight="false" outlineLevel="0" collapsed="false">
      <c r="A498" s="21"/>
      <c r="B498" s="33" t="n">
        <f aca="false">IF($A498="",0,INT(($A498-Macrociclo!$C$11)/7)+1)</f>
        <v>0</v>
      </c>
      <c r="C498" s="20"/>
      <c r="D498" s="20"/>
      <c r="E498" s="22"/>
      <c r="F498" s="22"/>
      <c r="G498" s="48" t="n">
        <f aca="false">IF(OR($E498="",$F498=""),0,$E498*$F498)</f>
        <v>0</v>
      </c>
      <c r="H498" s="48" t="n">
        <f aca="false">IF($A498="",0,SUMIFS($G$8:$G$1007,$C$8:$C$1007,$C498,$A$8:$A$1007,"&gt;="&amp;$A498-6,$A$8:$A$1007,"&lt;="&amp;$A498))</f>
        <v>0</v>
      </c>
      <c r="I498" s="48" t="n">
        <f aca="false">IF($A498="",0,SUMIFS($G$8:$G$1007,$C$8:$C$1007,$C498,$A$8:$A$1007,"&gt;="&amp;$A498-27,$A$8:$A$1007,"&lt;="&amp;$A498)/4)</f>
        <v>0</v>
      </c>
      <c r="J498" s="67" t="n">
        <f aca="false">IF(OR($A498="",$I498=0),0,$H498/$I498)</f>
        <v>0</v>
      </c>
      <c r="K498" s="33" t="n">
        <f aca="false">IF($A498="",0,$A498-SUMPRODUCT(MIN(($C$8:$C$1007=$C498)*$A$8:$A$1007+($C$8:$C$1007&lt;&gt;$C498)*100000))+1)</f>
        <v>0</v>
      </c>
      <c r="L498" s="19" t="str">
        <f aca="false">IF($A498="","",IF($J498=0,"Sem registro anterior",IF($K498&lt;21,"Histórico insuficiente",IF($J498&lt;0.8,"Subcarga",IF($J498&lt;=1.3,"Zona ideal",IF($J498&lt;=1.5,"Atenção","Risco elevado"))))))</f>
        <v/>
      </c>
      <c r="M498" s="20"/>
    </row>
    <row r="499" customFormat="false" ht="15" hidden="false" customHeight="false" outlineLevel="0" collapsed="false">
      <c r="A499" s="21"/>
      <c r="B499" s="33" t="n">
        <f aca="false">IF($A499="",0,INT(($A499-Macrociclo!$C$11)/7)+1)</f>
        <v>0</v>
      </c>
      <c r="C499" s="20"/>
      <c r="D499" s="20"/>
      <c r="E499" s="22"/>
      <c r="F499" s="22"/>
      <c r="G499" s="48" t="n">
        <f aca="false">IF(OR($E499="",$F499=""),0,$E499*$F499)</f>
        <v>0</v>
      </c>
      <c r="H499" s="48" t="n">
        <f aca="false">IF($A499="",0,SUMIFS($G$8:$G$1007,$C$8:$C$1007,$C499,$A$8:$A$1007,"&gt;="&amp;$A499-6,$A$8:$A$1007,"&lt;="&amp;$A499))</f>
        <v>0</v>
      </c>
      <c r="I499" s="48" t="n">
        <f aca="false">IF($A499="",0,SUMIFS($G$8:$G$1007,$C$8:$C$1007,$C499,$A$8:$A$1007,"&gt;="&amp;$A499-27,$A$8:$A$1007,"&lt;="&amp;$A499)/4)</f>
        <v>0</v>
      </c>
      <c r="J499" s="67" t="n">
        <f aca="false">IF(OR($A499="",$I499=0),0,$H499/$I499)</f>
        <v>0</v>
      </c>
      <c r="K499" s="33" t="n">
        <f aca="false">IF($A499="",0,$A499-SUMPRODUCT(MIN(($C$8:$C$1007=$C499)*$A$8:$A$1007+($C$8:$C$1007&lt;&gt;$C499)*100000))+1)</f>
        <v>0</v>
      </c>
      <c r="L499" s="19" t="str">
        <f aca="false">IF($A499="","",IF($J499=0,"Sem registro anterior",IF($K499&lt;21,"Histórico insuficiente",IF($J499&lt;0.8,"Subcarga",IF($J499&lt;=1.3,"Zona ideal",IF($J499&lt;=1.5,"Atenção","Risco elevado"))))))</f>
        <v/>
      </c>
      <c r="M499" s="20"/>
    </row>
    <row r="500" customFormat="false" ht="15" hidden="false" customHeight="false" outlineLevel="0" collapsed="false">
      <c r="A500" s="21"/>
      <c r="B500" s="33" t="n">
        <f aca="false">IF($A500="",0,INT(($A500-Macrociclo!$C$11)/7)+1)</f>
        <v>0</v>
      </c>
      <c r="C500" s="20"/>
      <c r="D500" s="20"/>
      <c r="E500" s="22"/>
      <c r="F500" s="22"/>
      <c r="G500" s="48" t="n">
        <f aca="false">IF(OR($E500="",$F500=""),0,$E500*$F500)</f>
        <v>0</v>
      </c>
      <c r="H500" s="48" t="n">
        <f aca="false">IF($A500="",0,SUMIFS($G$8:$G$1007,$C$8:$C$1007,$C500,$A$8:$A$1007,"&gt;="&amp;$A500-6,$A$8:$A$1007,"&lt;="&amp;$A500))</f>
        <v>0</v>
      </c>
      <c r="I500" s="48" t="n">
        <f aca="false">IF($A500="",0,SUMIFS($G$8:$G$1007,$C$8:$C$1007,$C500,$A$8:$A$1007,"&gt;="&amp;$A500-27,$A$8:$A$1007,"&lt;="&amp;$A500)/4)</f>
        <v>0</v>
      </c>
      <c r="J500" s="67" t="n">
        <f aca="false">IF(OR($A500="",$I500=0),0,$H500/$I500)</f>
        <v>0</v>
      </c>
      <c r="K500" s="33" t="n">
        <f aca="false">IF($A500="",0,$A500-SUMPRODUCT(MIN(($C$8:$C$1007=$C500)*$A$8:$A$1007+($C$8:$C$1007&lt;&gt;$C500)*100000))+1)</f>
        <v>0</v>
      </c>
      <c r="L500" s="19" t="str">
        <f aca="false">IF($A500="","",IF($J500=0,"Sem registro anterior",IF($K500&lt;21,"Histórico insuficiente",IF($J500&lt;0.8,"Subcarga",IF($J500&lt;=1.3,"Zona ideal",IF($J500&lt;=1.5,"Atenção","Risco elevado"))))))</f>
        <v/>
      </c>
      <c r="M500" s="20"/>
    </row>
    <row r="501" customFormat="false" ht="15" hidden="false" customHeight="false" outlineLevel="0" collapsed="false">
      <c r="A501" s="21"/>
      <c r="B501" s="33" t="n">
        <f aca="false">IF($A501="",0,INT(($A501-Macrociclo!$C$11)/7)+1)</f>
        <v>0</v>
      </c>
      <c r="C501" s="20"/>
      <c r="D501" s="20"/>
      <c r="E501" s="22"/>
      <c r="F501" s="22"/>
      <c r="G501" s="48" t="n">
        <f aca="false">IF(OR($E501="",$F501=""),0,$E501*$F501)</f>
        <v>0</v>
      </c>
      <c r="H501" s="48" t="n">
        <f aca="false">IF($A501="",0,SUMIFS($G$8:$G$1007,$C$8:$C$1007,$C501,$A$8:$A$1007,"&gt;="&amp;$A501-6,$A$8:$A$1007,"&lt;="&amp;$A501))</f>
        <v>0</v>
      </c>
      <c r="I501" s="48" t="n">
        <f aca="false">IF($A501="",0,SUMIFS($G$8:$G$1007,$C$8:$C$1007,$C501,$A$8:$A$1007,"&gt;="&amp;$A501-27,$A$8:$A$1007,"&lt;="&amp;$A501)/4)</f>
        <v>0</v>
      </c>
      <c r="J501" s="67" t="n">
        <f aca="false">IF(OR($A501="",$I501=0),0,$H501/$I501)</f>
        <v>0</v>
      </c>
      <c r="K501" s="33" t="n">
        <f aca="false">IF($A501="",0,$A501-SUMPRODUCT(MIN(($C$8:$C$1007=$C501)*$A$8:$A$1007+($C$8:$C$1007&lt;&gt;$C501)*100000))+1)</f>
        <v>0</v>
      </c>
      <c r="L501" s="19" t="str">
        <f aca="false">IF($A501="","",IF($J501=0,"Sem registro anterior",IF($K501&lt;21,"Histórico insuficiente",IF($J501&lt;0.8,"Subcarga",IF($J501&lt;=1.3,"Zona ideal",IF($J501&lt;=1.5,"Atenção","Risco elevado"))))))</f>
        <v/>
      </c>
      <c r="M501" s="20"/>
    </row>
    <row r="502" customFormat="false" ht="15" hidden="false" customHeight="false" outlineLevel="0" collapsed="false">
      <c r="A502" s="21"/>
      <c r="B502" s="33" t="n">
        <f aca="false">IF($A502="",0,INT(($A502-Macrociclo!$C$11)/7)+1)</f>
        <v>0</v>
      </c>
      <c r="C502" s="20"/>
      <c r="D502" s="20"/>
      <c r="E502" s="22"/>
      <c r="F502" s="22"/>
      <c r="G502" s="48" t="n">
        <f aca="false">IF(OR($E502="",$F502=""),0,$E502*$F502)</f>
        <v>0</v>
      </c>
      <c r="H502" s="48" t="n">
        <f aca="false">IF($A502="",0,SUMIFS($G$8:$G$1007,$C$8:$C$1007,$C502,$A$8:$A$1007,"&gt;="&amp;$A502-6,$A$8:$A$1007,"&lt;="&amp;$A502))</f>
        <v>0</v>
      </c>
      <c r="I502" s="48" t="n">
        <f aca="false">IF($A502="",0,SUMIFS($G$8:$G$1007,$C$8:$C$1007,$C502,$A$8:$A$1007,"&gt;="&amp;$A502-27,$A$8:$A$1007,"&lt;="&amp;$A502)/4)</f>
        <v>0</v>
      </c>
      <c r="J502" s="67" t="n">
        <f aca="false">IF(OR($A502="",$I502=0),0,$H502/$I502)</f>
        <v>0</v>
      </c>
      <c r="K502" s="33" t="n">
        <f aca="false">IF($A502="",0,$A502-SUMPRODUCT(MIN(($C$8:$C$1007=$C502)*$A$8:$A$1007+($C$8:$C$1007&lt;&gt;$C502)*100000))+1)</f>
        <v>0</v>
      </c>
      <c r="L502" s="19" t="str">
        <f aca="false">IF($A502="","",IF($J502=0,"Sem registro anterior",IF($K502&lt;21,"Histórico insuficiente",IF($J502&lt;0.8,"Subcarga",IF($J502&lt;=1.3,"Zona ideal",IF($J502&lt;=1.5,"Atenção","Risco elevado"))))))</f>
        <v/>
      </c>
      <c r="M502" s="20"/>
    </row>
    <row r="503" customFormat="false" ht="15" hidden="false" customHeight="false" outlineLevel="0" collapsed="false">
      <c r="A503" s="21"/>
      <c r="B503" s="33" t="n">
        <f aca="false">IF($A503="",0,INT(($A503-Macrociclo!$C$11)/7)+1)</f>
        <v>0</v>
      </c>
      <c r="C503" s="20"/>
      <c r="D503" s="20"/>
      <c r="E503" s="22"/>
      <c r="F503" s="22"/>
      <c r="G503" s="48" t="n">
        <f aca="false">IF(OR($E503="",$F503=""),0,$E503*$F503)</f>
        <v>0</v>
      </c>
      <c r="H503" s="48" t="n">
        <f aca="false">IF($A503="",0,SUMIFS($G$8:$G$1007,$C$8:$C$1007,$C503,$A$8:$A$1007,"&gt;="&amp;$A503-6,$A$8:$A$1007,"&lt;="&amp;$A503))</f>
        <v>0</v>
      </c>
      <c r="I503" s="48" t="n">
        <f aca="false">IF($A503="",0,SUMIFS($G$8:$G$1007,$C$8:$C$1007,$C503,$A$8:$A$1007,"&gt;="&amp;$A503-27,$A$8:$A$1007,"&lt;="&amp;$A503)/4)</f>
        <v>0</v>
      </c>
      <c r="J503" s="67" t="n">
        <f aca="false">IF(OR($A503="",$I503=0),0,$H503/$I503)</f>
        <v>0</v>
      </c>
      <c r="K503" s="33" t="n">
        <f aca="false">IF($A503="",0,$A503-SUMPRODUCT(MIN(($C$8:$C$1007=$C503)*$A$8:$A$1007+($C$8:$C$1007&lt;&gt;$C503)*100000))+1)</f>
        <v>0</v>
      </c>
      <c r="L503" s="19" t="str">
        <f aca="false">IF($A503="","",IF($J503=0,"Sem registro anterior",IF($K503&lt;21,"Histórico insuficiente",IF($J503&lt;0.8,"Subcarga",IF($J503&lt;=1.3,"Zona ideal",IF($J503&lt;=1.5,"Atenção","Risco elevado"))))))</f>
        <v/>
      </c>
      <c r="M503" s="20"/>
    </row>
    <row r="504" customFormat="false" ht="15" hidden="false" customHeight="false" outlineLevel="0" collapsed="false">
      <c r="A504" s="21"/>
      <c r="B504" s="33" t="n">
        <f aca="false">IF($A504="",0,INT(($A504-Macrociclo!$C$11)/7)+1)</f>
        <v>0</v>
      </c>
      <c r="C504" s="20"/>
      <c r="D504" s="20"/>
      <c r="E504" s="22"/>
      <c r="F504" s="22"/>
      <c r="G504" s="48" t="n">
        <f aca="false">IF(OR($E504="",$F504=""),0,$E504*$F504)</f>
        <v>0</v>
      </c>
      <c r="H504" s="48" t="n">
        <f aca="false">IF($A504="",0,SUMIFS($G$8:$G$1007,$C$8:$C$1007,$C504,$A$8:$A$1007,"&gt;="&amp;$A504-6,$A$8:$A$1007,"&lt;="&amp;$A504))</f>
        <v>0</v>
      </c>
      <c r="I504" s="48" t="n">
        <f aca="false">IF($A504="",0,SUMIFS($G$8:$G$1007,$C$8:$C$1007,$C504,$A$8:$A$1007,"&gt;="&amp;$A504-27,$A$8:$A$1007,"&lt;="&amp;$A504)/4)</f>
        <v>0</v>
      </c>
      <c r="J504" s="67" t="n">
        <f aca="false">IF(OR($A504="",$I504=0),0,$H504/$I504)</f>
        <v>0</v>
      </c>
      <c r="K504" s="33" t="n">
        <f aca="false">IF($A504="",0,$A504-SUMPRODUCT(MIN(($C$8:$C$1007=$C504)*$A$8:$A$1007+($C$8:$C$1007&lt;&gt;$C504)*100000))+1)</f>
        <v>0</v>
      </c>
      <c r="L504" s="19" t="str">
        <f aca="false">IF($A504="","",IF($J504=0,"Sem registro anterior",IF($K504&lt;21,"Histórico insuficiente",IF($J504&lt;0.8,"Subcarga",IF($J504&lt;=1.3,"Zona ideal",IF($J504&lt;=1.5,"Atenção","Risco elevado"))))))</f>
        <v/>
      </c>
      <c r="M504" s="20"/>
    </row>
    <row r="505" customFormat="false" ht="15" hidden="false" customHeight="false" outlineLevel="0" collapsed="false">
      <c r="A505" s="21"/>
      <c r="B505" s="33" t="n">
        <f aca="false">IF($A505="",0,INT(($A505-Macrociclo!$C$11)/7)+1)</f>
        <v>0</v>
      </c>
      <c r="C505" s="20"/>
      <c r="D505" s="20"/>
      <c r="E505" s="22"/>
      <c r="F505" s="22"/>
      <c r="G505" s="48" t="n">
        <f aca="false">IF(OR($E505="",$F505=""),0,$E505*$F505)</f>
        <v>0</v>
      </c>
      <c r="H505" s="48" t="n">
        <f aca="false">IF($A505="",0,SUMIFS($G$8:$G$1007,$C$8:$C$1007,$C505,$A$8:$A$1007,"&gt;="&amp;$A505-6,$A$8:$A$1007,"&lt;="&amp;$A505))</f>
        <v>0</v>
      </c>
      <c r="I505" s="48" t="n">
        <f aca="false">IF($A505="",0,SUMIFS($G$8:$G$1007,$C$8:$C$1007,$C505,$A$8:$A$1007,"&gt;="&amp;$A505-27,$A$8:$A$1007,"&lt;="&amp;$A505)/4)</f>
        <v>0</v>
      </c>
      <c r="J505" s="67" t="n">
        <f aca="false">IF(OR($A505="",$I505=0),0,$H505/$I505)</f>
        <v>0</v>
      </c>
      <c r="K505" s="33" t="n">
        <f aca="false">IF($A505="",0,$A505-SUMPRODUCT(MIN(($C$8:$C$1007=$C505)*$A$8:$A$1007+($C$8:$C$1007&lt;&gt;$C505)*100000))+1)</f>
        <v>0</v>
      </c>
      <c r="L505" s="19" t="str">
        <f aca="false">IF($A505="","",IF($J505=0,"Sem registro anterior",IF($K505&lt;21,"Histórico insuficiente",IF($J505&lt;0.8,"Subcarga",IF($J505&lt;=1.3,"Zona ideal",IF($J505&lt;=1.5,"Atenção","Risco elevado"))))))</f>
        <v/>
      </c>
      <c r="M505" s="20"/>
    </row>
    <row r="506" customFormat="false" ht="15" hidden="false" customHeight="false" outlineLevel="0" collapsed="false">
      <c r="A506" s="21"/>
      <c r="B506" s="33" t="n">
        <f aca="false">IF($A506="",0,INT(($A506-Macrociclo!$C$11)/7)+1)</f>
        <v>0</v>
      </c>
      <c r="C506" s="20"/>
      <c r="D506" s="20"/>
      <c r="E506" s="22"/>
      <c r="F506" s="22"/>
      <c r="G506" s="48" t="n">
        <f aca="false">IF(OR($E506="",$F506=""),0,$E506*$F506)</f>
        <v>0</v>
      </c>
      <c r="H506" s="48" t="n">
        <f aca="false">IF($A506="",0,SUMIFS($G$8:$G$1007,$C$8:$C$1007,$C506,$A$8:$A$1007,"&gt;="&amp;$A506-6,$A$8:$A$1007,"&lt;="&amp;$A506))</f>
        <v>0</v>
      </c>
      <c r="I506" s="48" t="n">
        <f aca="false">IF($A506="",0,SUMIFS($G$8:$G$1007,$C$8:$C$1007,$C506,$A$8:$A$1007,"&gt;="&amp;$A506-27,$A$8:$A$1007,"&lt;="&amp;$A506)/4)</f>
        <v>0</v>
      </c>
      <c r="J506" s="67" t="n">
        <f aca="false">IF(OR($A506="",$I506=0),0,$H506/$I506)</f>
        <v>0</v>
      </c>
      <c r="K506" s="33" t="n">
        <f aca="false">IF($A506="",0,$A506-SUMPRODUCT(MIN(($C$8:$C$1007=$C506)*$A$8:$A$1007+($C$8:$C$1007&lt;&gt;$C506)*100000))+1)</f>
        <v>0</v>
      </c>
      <c r="L506" s="19" t="str">
        <f aca="false">IF($A506="","",IF($J506=0,"Sem registro anterior",IF($K506&lt;21,"Histórico insuficiente",IF($J506&lt;0.8,"Subcarga",IF($J506&lt;=1.3,"Zona ideal",IF($J506&lt;=1.5,"Atenção","Risco elevado"))))))</f>
        <v/>
      </c>
      <c r="M506" s="20"/>
    </row>
    <row r="507" customFormat="false" ht="15" hidden="false" customHeight="false" outlineLevel="0" collapsed="false">
      <c r="A507" s="21"/>
      <c r="B507" s="33" t="n">
        <f aca="false">IF($A507="",0,INT(($A507-Macrociclo!$C$11)/7)+1)</f>
        <v>0</v>
      </c>
      <c r="C507" s="20"/>
      <c r="D507" s="20"/>
      <c r="E507" s="22"/>
      <c r="F507" s="22"/>
      <c r="G507" s="48" t="n">
        <f aca="false">IF(OR($E507="",$F507=""),0,$E507*$F507)</f>
        <v>0</v>
      </c>
      <c r="H507" s="48" t="n">
        <f aca="false">IF($A507="",0,SUMIFS($G$8:$G$1007,$C$8:$C$1007,$C507,$A$8:$A$1007,"&gt;="&amp;$A507-6,$A$8:$A$1007,"&lt;="&amp;$A507))</f>
        <v>0</v>
      </c>
      <c r="I507" s="48" t="n">
        <f aca="false">IF($A507="",0,SUMIFS($G$8:$G$1007,$C$8:$C$1007,$C507,$A$8:$A$1007,"&gt;="&amp;$A507-27,$A$8:$A$1007,"&lt;="&amp;$A507)/4)</f>
        <v>0</v>
      </c>
      <c r="J507" s="67" t="n">
        <f aca="false">IF(OR($A507="",$I507=0),0,$H507/$I507)</f>
        <v>0</v>
      </c>
      <c r="K507" s="33" t="n">
        <f aca="false">IF($A507="",0,$A507-SUMPRODUCT(MIN(($C$8:$C$1007=$C507)*$A$8:$A$1007+($C$8:$C$1007&lt;&gt;$C507)*100000))+1)</f>
        <v>0</v>
      </c>
      <c r="L507" s="19" t="str">
        <f aca="false">IF($A507="","",IF($J507=0,"Sem registro anterior",IF($K507&lt;21,"Histórico insuficiente",IF($J507&lt;0.8,"Subcarga",IF($J507&lt;=1.3,"Zona ideal",IF($J507&lt;=1.5,"Atenção","Risco elevado"))))))</f>
        <v/>
      </c>
      <c r="M507" s="20"/>
    </row>
    <row r="508" customFormat="false" ht="15" hidden="false" customHeight="false" outlineLevel="0" collapsed="false">
      <c r="A508" s="21"/>
      <c r="B508" s="33" t="n">
        <f aca="false">IF($A508="",0,INT(($A508-Macrociclo!$C$11)/7)+1)</f>
        <v>0</v>
      </c>
      <c r="C508" s="20"/>
      <c r="D508" s="20"/>
      <c r="E508" s="22"/>
      <c r="F508" s="22"/>
      <c r="G508" s="48" t="n">
        <f aca="false">IF(OR($E508="",$F508=""),0,$E508*$F508)</f>
        <v>0</v>
      </c>
      <c r="H508" s="48" t="n">
        <f aca="false">IF($A508="",0,SUMIFS($G$8:$G$1007,$C$8:$C$1007,$C508,$A$8:$A$1007,"&gt;="&amp;$A508-6,$A$8:$A$1007,"&lt;="&amp;$A508))</f>
        <v>0</v>
      </c>
      <c r="I508" s="48" t="n">
        <f aca="false">IF($A508="",0,SUMIFS($G$8:$G$1007,$C$8:$C$1007,$C508,$A$8:$A$1007,"&gt;="&amp;$A508-27,$A$8:$A$1007,"&lt;="&amp;$A508)/4)</f>
        <v>0</v>
      </c>
      <c r="J508" s="67" t="n">
        <f aca="false">IF(OR($A508="",$I508=0),0,$H508/$I508)</f>
        <v>0</v>
      </c>
      <c r="K508" s="33" t="n">
        <f aca="false">IF($A508="",0,$A508-SUMPRODUCT(MIN(($C$8:$C$1007=$C508)*$A$8:$A$1007+($C$8:$C$1007&lt;&gt;$C508)*100000))+1)</f>
        <v>0</v>
      </c>
      <c r="L508" s="19" t="str">
        <f aca="false">IF($A508="","",IF($J508=0,"Sem registro anterior",IF($K508&lt;21,"Histórico insuficiente",IF($J508&lt;0.8,"Subcarga",IF($J508&lt;=1.3,"Zona ideal",IF($J508&lt;=1.5,"Atenção","Risco elevado"))))))</f>
        <v/>
      </c>
      <c r="M508" s="20"/>
    </row>
    <row r="509" customFormat="false" ht="15" hidden="false" customHeight="false" outlineLevel="0" collapsed="false">
      <c r="A509" s="21"/>
      <c r="B509" s="33" t="n">
        <f aca="false">IF($A509="",0,INT(($A509-Macrociclo!$C$11)/7)+1)</f>
        <v>0</v>
      </c>
      <c r="C509" s="20"/>
      <c r="D509" s="20"/>
      <c r="E509" s="22"/>
      <c r="F509" s="22"/>
      <c r="G509" s="48" t="n">
        <f aca="false">IF(OR($E509="",$F509=""),0,$E509*$F509)</f>
        <v>0</v>
      </c>
      <c r="H509" s="48" t="n">
        <f aca="false">IF($A509="",0,SUMIFS($G$8:$G$1007,$C$8:$C$1007,$C509,$A$8:$A$1007,"&gt;="&amp;$A509-6,$A$8:$A$1007,"&lt;="&amp;$A509))</f>
        <v>0</v>
      </c>
      <c r="I509" s="48" t="n">
        <f aca="false">IF($A509="",0,SUMIFS($G$8:$G$1007,$C$8:$C$1007,$C509,$A$8:$A$1007,"&gt;="&amp;$A509-27,$A$8:$A$1007,"&lt;="&amp;$A509)/4)</f>
        <v>0</v>
      </c>
      <c r="J509" s="67" t="n">
        <f aca="false">IF(OR($A509="",$I509=0),0,$H509/$I509)</f>
        <v>0</v>
      </c>
      <c r="K509" s="33" t="n">
        <f aca="false">IF($A509="",0,$A509-SUMPRODUCT(MIN(($C$8:$C$1007=$C509)*$A$8:$A$1007+($C$8:$C$1007&lt;&gt;$C509)*100000))+1)</f>
        <v>0</v>
      </c>
      <c r="L509" s="19" t="str">
        <f aca="false">IF($A509="","",IF($J509=0,"Sem registro anterior",IF($K509&lt;21,"Histórico insuficiente",IF($J509&lt;0.8,"Subcarga",IF($J509&lt;=1.3,"Zona ideal",IF($J509&lt;=1.5,"Atenção","Risco elevado"))))))</f>
        <v/>
      </c>
      <c r="M509" s="20"/>
    </row>
    <row r="510" customFormat="false" ht="15" hidden="false" customHeight="false" outlineLevel="0" collapsed="false">
      <c r="A510" s="21"/>
      <c r="B510" s="33" t="n">
        <f aca="false">IF($A510="",0,INT(($A510-Macrociclo!$C$11)/7)+1)</f>
        <v>0</v>
      </c>
      <c r="C510" s="20"/>
      <c r="D510" s="20"/>
      <c r="E510" s="22"/>
      <c r="F510" s="22"/>
      <c r="G510" s="48" t="n">
        <f aca="false">IF(OR($E510="",$F510=""),0,$E510*$F510)</f>
        <v>0</v>
      </c>
      <c r="H510" s="48" t="n">
        <f aca="false">IF($A510="",0,SUMIFS($G$8:$G$1007,$C$8:$C$1007,$C510,$A$8:$A$1007,"&gt;="&amp;$A510-6,$A$8:$A$1007,"&lt;="&amp;$A510))</f>
        <v>0</v>
      </c>
      <c r="I510" s="48" t="n">
        <f aca="false">IF($A510="",0,SUMIFS($G$8:$G$1007,$C$8:$C$1007,$C510,$A$8:$A$1007,"&gt;="&amp;$A510-27,$A$8:$A$1007,"&lt;="&amp;$A510)/4)</f>
        <v>0</v>
      </c>
      <c r="J510" s="67" t="n">
        <f aca="false">IF(OR($A510="",$I510=0),0,$H510/$I510)</f>
        <v>0</v>
      </c>
      <c r="K510" s="33" t="n">
        <f aca="false">IF($A510="",0,$A510-SUMPRODUCT(MIN(($C$8:$C$1007=$C510)*$A$8:$A$1007+($C$8:$C$1007&lt;&gt;$C510)*100000))+1)</f>
        <v>0</v>
      </c>
      <c r="L510" s="19" t="str">
        <f aca="false">IF($A510="","",IF($J510=0,"Sem registro anterior",IF($K510&lt;21,"Histórico insuficiente",IF($J510&lt;0.8,"Subcarga",IF($J510&lt;=1.3,"Zona ideal",IF($J510&lt;=1.5,"Atenção","Risco elevado"))))))</f>
        <v/>
      </c>
      <c r="M510" s="20"/>
    </row>
    <row r="511" customFormat="false" ht="15" hidden="false" customHeight="false" outlineLevel="0" collapsed="false">
      <c r="A511" s="21"/>
      <c r="B511" s="33" t="n">
        <f aca="false">IF($A511="",0,INT(($A511-Macrociclo!$C$11)/7)+1)</f>
        <v>0</v>
      </c>
      <c r="C511" s="20"/>
      <c r="D511" s="20"/>
      <c r="E511" s="22"/>
      <c r="F511" s="22"/>
      <c r="G511" s="48" t="n">
        <f aca="false">IF(OR($E511="",$F511=""),0,$E511*$F511)</f>
        <v>0</v>
      </c>
      <c r="H511" s="48" t="n">
        <f aca="false">IF($A511="",0,SUMIFS($G$8:$G$1007,$C$8:$C$1007,$C511,$A$8:$A$1007,"&gt;="&amp;$A511-6,$A$8:$A$1007,"&lt;="&amp;$A511))</f>
        <v>0</v>
      </c>
      <c r="I511" s="48" t="n">
        <f aca="false">IF($A511="",0,SUMIFS($G$8:$G$1007,$C$8:$C$1007,$C511,$A$8:$A$1007,"&gt;="&amp;$A511-27,$A$8:$A$1007,"&lt;="&amp;$A511)/4)</f>
        <v>0</v>
      </c>
      <c r="J511" s="67" t="n">
        <f aca="false">IF(OR($A511="",$I511=0),0,$H511/$I511)</f>
        <v>0</v>
      </c>
      <c r="K511" s="33" t="n">
        <f aca="false">IF($A511="",0,$A511-SUMPRODUCT(MIN(($C$8:$C$1007=$C511)*$A$8:$A$1007+($C$8:$C$1007&lt;&gt;$C511)*100000))+1)</f>
        <v>0</v>
      </c>
      <c r="L511" s="19" t="str">
        <f aca="false">IF($A511="","",IF($J511=0,"Sem registro anterior",IF($K511&lt;21,"Histórico insuficiente",IF($J511&lt;0.8,"Subcarga",IF($J511&lt;=1.3,"Zona ideal",IF($J511&lt;=1.5,"Atenção","Risco elevado"))))))</f>
        <v/>
      </c>
      <c r="M511" s="20"/>
    </row>
    <row r="512" customFormat="false" ht="15" hidden="false" customHeight="false" outlineLevel="0" collapsed="false">
      <c r="A512" s="21"/>
      <c r="B512" s="33" t="n">
        <f aca="false">IF($A512="",0,INT(($A512-Macrociclo!$C$11)/7)+1)</f>
        <v>0</v>
      </c>
      <c r="C512" s="20"/>
      <c r="D512" s="20"/>
      <c r="E512" s="22"/>
      <c r="F512" s="22"/>
      <c r="G512" s="48" t="n">
        <f aca="false">IF(OR($E512="",$F512=""),0,$E512*$F512)</f>
        <v>0</v>
      </c>
      <c r="H512" s="48" t="n">
        <f aca="false">IF($A512="",0,SUMIFS($G$8:$G$1007,$C$8:$C$1007,$C512,$A$8:$A$1007,"&gt;="&amp;$A512-6,$A$8:$A$1007,"&lt;="&amp;$A512))</f>
        <v>0</v>
      </c>
      <c r="I512" s="48" t="n">
        <f aca="false">IF($A512="",0,SUMIFS($G$8:$G$1007,$C$8:$C$1007,$C512,$A$8:$A$1007,"&gt;="&amp;$A512-27,$A$8:$A$1007,"&lt;="&amp;$A512)/4)</f>
        <v>0</v>
      </c>
      <c r="J512" s="67" t="n">
        <f aca="false">IF(OR($A512="",$I512=0),0,$H512/$I512)</f>
        <v>0</v>
      </c>
      <c r="K512" s="33" t="n">
        <f aca="false">IF($A512="",0,$A512-SUMPRODUCT(MIN(($C$8:$C$1007=$C512)*$A$8:$A$1007+($C$8:$C$1007&lt;&gt;$C512)*100000))+1)</f>
        <v>0</v>
      </c>
      <c r="L512" s="19" t="str">
        <f aca="false">IF($A512="","",IF($J512=0,"Sem registro anterior",IF($K512&lt;21,"Histórico insuficiente",IF($J512&lt;0.8,"Subcarga",IF($J512&lt;=1.3,"Zona ideal",IF($J512&lt;=1.5,"Atenção","Risco elevado"))))))</f>
        <v/>
      </c>
      <c r="M512" s="20"/>
    </row>
    <row r="513" customFormat="false" ht="15" hidden="false" customHeight="false" outlineLevel="0" collapsed="false">
      <c r="A513" s="21"/>
      <c r="B513" s="33" t="n">
        <f aca="false">IF($A513="",0,INT(($A513-Macrociclo!$C$11)/7)+1)</f>
        <v>0</v>
      </c>
      <c r="C513" s="20"/>
      <c r="D513" s="20"/>
      <c r="E513" s="22"/>
      <c r="F513" s="22"/>
      <c r="G513" s="48" t="n">
        <f aca="false">IF(OR($E513="",$F513=""),0,$E513*$F513)</f>
        <v>0</v>
      </c>
      <c r="H513" s="48" t="n">
        <f aca="false">IF($A513="",0,SUMIFS($G$8:$G$1007,$C$8:$C$1007,$C513,$A$8:$A$1007,"&gt;="&amp;$A513-6,$A$8:$A$1007,"&lt;="&amp;$A513))</f>
        <v>0</v>
      </c>
      <c r="I513" s="48" t="n">
        <f aca="false">IF($A513="",0,SUMIFS($G$8:$G$1007,$C$8:$C$1007,$C513,$A$8:$A$1007,"&gt;="&amp;$A513-27,$A$8:$A$1007,"&lt;="&amp;$A513)/4)</f>
        <v>0</v>
      </c>
      <c r="J513" s="67" t="n">
        <f aca="false">IF(OR($A513="",$I513=0),0,$H513/$I513)</f>
        <v>0</v>
      </c>
      <c r="K513" s="33" t="n">
        <f aca="false">IF($A513="",0,$A513-SUMPRODUCT(MIN(($C$8:$C$1007=$C513)*$A$8:$A$1007+($C$8:$C$1007&lt;&gt;$C513)*100000))+1)</f>
        <v>0</v>
      </c>
      <c r="L513" s="19" t="str">
        <f aca="false">IF($A513="","",IF($J513=0,"Sem registro anterior",IF($K513&lt;21,"Histórico insuficiente",IF($J513&lt;0.8,"Subcarga",IF($J513&lt;=1.3,"Zona ideal",IF($J513&lt;=1.5,"Atenção","Risco elevado"))))))</f>
        <v/>
      </c>
      <c r="M513" s="20"/>
    </row>
    <row r="514" customFormat="false" ht="15" hidden="false" customHeight="false" outlineLevel="0" collapsed="false">
      <c r="A514" s="21"/>
      <c r="B514" s="33" t="n">
        <f aca="false">IF($A514="",0,INT(($A514-Macrociclo!$C$11)/7)+1)</f>
        <v>0</v>
      </c>
      <c r="C514" s="20"/>
      <c r="D514" s="20"/>
      <c r="E514" s="22"/>
      <c r="F514" s="22"/>
      <c r="G514" s="48" t="n">
        <f aca="false">IF(OR($E514="",$F514=""),0,$E514*$F514)</f>
        <v>0</v>
      </c>
      <c r="H514" s="48" t="n">
        <f aca="false">IF($A514="",0,SUMIFS($G$8:$G$1007,$C$8:$C$1007,$C514,$A$8:$A$1007,"&gt;="&amp;$A514-6,$A$8:$A$1007,"&lt;="&amp;$A514))</f>
        <v>0</v>
      </c>
      <c r="I514" s="48" t="n">
        <f aca="false">IF($A514="",0,SUMIFS($G$8:$G$1007,$C$8:$C$1007,$C514,$A$8:$A$1007,"&gt;="&amp;$A514-27,$A$8:$A$1007,"&lt;="&amp;$A514)/4)</f>
        <v>0</v>
      </c>
      <c r="J514" s="67" t="n">
        <f aca="false">IF(OR($A514="",$I514=0),0,$H514/$I514)</f>
        <v>0</v>
      </c>
      <c r="K514" s="33" t="n">
        <f aca="false">IF($A514="",0,$A514-SUMPRODUCT(MIN(($C$8:$C$1007=$C514)*$A$8:$A$1007+($C$8:$C$1007&lt;&gt;$C514)*100000))+1)</f>
        <v>0</v>
      </c>
      <c r="L514" s="19" t="str">
        <f aca="false">IF($A514="","",IF($J514=0,"Sem registro anterior",IF($K514&lt;21,"Histórico insuficiente",IF($J514&lt;0.8,"Subcarga",IF($J514&lt;=1.3,"Zona ideal",IF($J514&lt;=1.5,"Atenção","Risco elevado"))))))</f>
        <v/>
      </c>
      <c r="M514" s="20"/>
    </row>
    <row r="515" customFormat="false" ht="15" hidden="false" customHeight="false" outlineLevel="0" collapsed="false">
      <c r="A515" s="21"/>
      <c r="B515" s="33" t="n">
        <f aca="false">IF($A515="",0,INT(($A515-Macrociclo!$C$11)/7)+1)</f>
        <v>0</v>
      </c>
      <c r="C515" s="20"/>
      <c r="D515" s="20"/>
      <c r="E515" s="22"/>
      <c r="F515" s="22"/>
      <c r="G515" s="48" t="n">
        <f aca="false">IF(OR($E515="",$F515=""),0,$E515*$F515)</f>
        <v>0</v>
      </c>
      <c r="H515" s="48" t="n">
        <f aca="false">IF($A515="",0,SUMIFS($G$8:$G$1007,$C$8:$C$1007,$C515,$A$8:$A$1007,"&gt;="&amp;$A515-6,$A$8:$A$1007,"&lt;="&amp;$A515))</f>
        <v>0</v>
      </c>
      <c r="I515" s="48" t="n">
        <f aca="false">IF($A515="",0,SUMIFS($G$8:$G$1007,$C$8:$C$1007,$C515,$A$8:$A$1007,"&gt;="&amp;$A515-27,$A$8:$A$1007,"&lt;="&amp;$A515)/4)</f>
        <v>0</v>
      </c>
      <c r="J515" s="67" t="n">
        <f aca="false">IF(OR($A515="",$I515=0),0,$H515/$I515)</f>
        <v>0</v>
      </c>
      <c r="K515" s="33" t="n">
        <f aca="false">IF($A515="",0,$A515-SUMPRODUCT(MIN(($C$8:$C$1007=$C515)*$A$8:$A$1007+($C$8:$C$1007&lt;&gt;$C515)*100000))+1)</f>
        <v>0</v>
      </c>
      <c r="L515" s="19" t="str">
        <f aca="false">IF($A515="","",IF($J515=0,"Sem registro anterior",IF($K515&lt;21,"Histórico insuficiente",IF($J515&lt;0.8,"Subcarga",IF($J515&lt;=1.3,"Zona ideal",IF($J515&lt;=1.5,"Atenção","Risco elevado"))))))</f>
        <v/>
      </c>
      <c r="M515" s="20"/>
    </row>
    <row r="516" customFormat="false" ht="15" hidden="false" customHeight="false" outlineLevel="0" collapsed="false">
      <c r="A516" s="21"/>
      <c r="B516" s="33" t="n">
        <f aca="false">IF($A516="",0,INT(($A516-Macrociclo!$C$11)/7)+1)</f>
        <v>0</v>
      </c>
      <c r="C516" s="20"/>
      <c r="D516" s="20"/>
      <c r="E516" s="22"/>
      <c r="F516" s="22"/>
      <c r="G516" s="48" t="n">
        <f aca="false">IF(OR($E516="",$F516=""),0,$E516*$F516)</f>
        <v>0</v>
      </c>
      <c r="H516" s="48" t="n">
        <f aca="false">IF($A516="",0,SUMIFS($G$8:$G$1007,$C$8:$C$1007,$C516,$A$8:$A$1007,"&gt;="&amp;$A516-6,$A$8:$A$1007,"&lt;="&amp;$A516))</f>
        <v>0</v>
      </c>
      <c r="I516" s="48" t="n">
        <f aca="false">IF($A516="",0,SUMIFS($G$8:$G$1007,$C$8:$C$1007,$C516,$A$8:$A$1007,"&gt;="&amp;$A516-27,$A$8:$A$1007,"&lt;="&amp;$A516)/4)</f>
        <v>0</v>
      </c>
      <c r="J516" s="67" t="n">
        <f aca="false">IF(OR($A516="",$I516=0),0,$H516/$I516)</f>
        <v>0</v>
      </c>
      <c r="K516" s="33" t="n">
        <f aca="false">IF($A516="",0,$A516-SUMPRODUCT(MIN(($C$8:$C$1007=$C516)*$A$8:$A$1007+($C$8:$C$1007&lt;&gt;$C516)*100000))+1)</f>
        <v>0</v>
      </c>
      <c r="L516" s="19" t="str">
        <f aca="false">IF($A516="","",IF($J516=0,"Sem registro anterior",IF($K516&lt;21,"Histórico insuficiente",IF($J516&lt;0.8,"Subcarga",IF($J516&lt;=1.3,"Zona ideal",IF($J516&lt;=1.5,"Atenção","Risco elevado"))))))</f>
        <v/>
      </c>
      <c r="M516" s="20"/>
    </row>
    <row r="517" customFormat="false" ht="15" hidden="false" customHeight="false" outlineLevel="0" collapsed="false">
      <c r="A517" s="21"/>
      <c r="B517" s="33" t="n">
        <f aca="false">IF($A517="",0,INT(($A517-Macrociclo!$C$11)/7)+1)</f>
        <v>0</v>
      </c>
      <c r="C517" s="20"/>
      <c r="D517" s="20"/>
      <c r="E517" s="22"/>
      <c r="F517" s="22"/>
      <c r="G517" s="48" t="n">
        <f aca="false">IF(OR($E517="",$F517=""),0,$E517*$F517)</f>
        <v>0</v>
      </c>
      <c r="H517" s="48" t="n">
        <f aca="false">IF($A517="",0,SUMIFS($G$8:$G$1007,$C$8:$C$1007,$C517,$A$8:$A$1007,"&gt;="&amp;$A517-6,$A$8:$A$1007,"&lt;="&amp;$A517))</f>
        <v>0</v>
      </c>
      <c r="I517" s="48" t="n">
        <f aca="false">IF($A517="",0,SUMIFS($G$8:$G$1007,$C$8:$C$1007,$C517,$A$8:$A$1007,"&gt;="&amp;$A517-27,$A$8:$A$1007,"&lt;="&amp;$A517)/4)</f>
        <v>0</v>
      </c>
      <c r="J517" s="67" t="n">
        <f aca="false">IF(OR($A517="",$I517=0),0,$H517/$I517)</f>
        <v>0</v>
      </c>
      <c r="K517" s="33" t="n">
        <f aca="false">IF($A517="",0,$A517-SUMPRODUCT(MIN(($C$8:$C$1007=$C517)*$A$8:$A$1007+($C$8:$C$1007&lt;&gt;$C517)*100000))+1)</f>
        <v>0</v>
      </c>
      <c r="L517" s="19" t="str">
        <f aca="false">IF($A517="","",IF($J517=0,"Sem registro anterior",IF($K517&lt;21,"Histórico insuficiente",IF($J517&lt;0.8,"Subcarga",IF($J517&lt;=1.3,"Zona ideal",IF($J517&lt;=1.5,"Atenção","Risco elevado"))))))</f>
        <v/>
      </c>
      <c r="M517" s="20"/>
    </row>
    <row r="518" customFormat="false" ht="15" hidden="false" customHeight="false" outlineLevel="0" collapsed="false">
      <c r="A518" s="21"/>
      <c r="B518" s="33" t="n">
        <f aca="false">IF($A518="",0,INT(($A518-Macrociclo!$C$11)/7)+1)</f>
        <v>0</v>
      </c>
      <c r="C518" s="20"/>
      <c r="D518" s="20"/>
      <c r="E518" s="22"/>
      <c r="F518" s="22"/>
      <c r="G518" s="48" t="n">
        <f aca="false">IF(OR($E518="",$F518=""),0,$E518*$F518)</f>
        <v>0</v>
      </c>
      <c r="H518" s="48" t="n">
        <f aca="false">IF($A518="",0,SUMIFS($G$8:$G$1007,$C$8:$C$1007,$C518,$A$8:$A$1007,"&gt;="&amp;$A518-6,$A$8:$A$1007,"&lt;="&amp;$A518))</f>
        <v>0</v>
      </c>
      <c r="I518" s="48" t="n">
        <f aca="false">IF($A518="",0,SUMIFS($G$8:$G$1007,$C$8:$C$1007,$C518,$A$8:$A$1007,"&gt;="&amp;$A518-27,$A$8:$A$1007,"&lt;="&amp;$A518)/4)</f>
        <v>0</v>
      </c>
      <c r="J518" s="67" t="n">
        <f aca="false">IF(OR($A518="",$I518=0),0,$H518/$I518)</f>
        <v>0</v>
      </c>
      <c r="K518" s="33" t="n">
        <f aca="false">IF($A518="",0,$A518-SUMPRODUCT(MIN(($C$8:$C$1007=$C518)*$A$8:$A$1007+($C$8:$C$1007&lt;&gt;$C518)*100000))+1)</f>
        <v>0</v>
      </c>
      <c r="L518" s="19" t="str">
        <f aca="false">IF($A518="","",IF($J518=0,"Sem registro anterior",IF($K518&lt;21,"Histórico insuficiente",IF($J518&lt;0.8,"Subcarga",IF($J518&lt;=1.3,"Zona ideal",IF($J518&lt;=1.5,"Atenção","Risco elevado"))))))</f>
        <v/>
      </c>
      <c r="M518" s="20"/>
    </row>
    <row r="519" customFormat="false" ht="15" hidden="false" customHeight="false" outlineLevel="0" collapsed="false">
      <c r="A519" s="21"/>
      <c r="B519" s="33" t="n">
        <f aca="false">IF($A519="",0,INT(($A519-Macrociclo!$C$11)/7)+1)</f>
        <v>0</v>
      </c>
      <c r="C519" s="20"/>
      <c r="D519" s="20"/>
      <c r="E519" s="22"/>
      <c r="F519" s="22"/>
      <c r="G519" s="48" t="n">
        <f aca="false">IF(OR($E519="",$F519=""),0,$E519*$F519)</f>
        <v>0</v>
      </c>
      <c r="H519" s="48" t="n">
        <f aca="false">IF($A519="",0,SUMIFS($G$8:$G$1007,$C$8:$C$1007,$C519,$A$8:$A$1007,"&gt;="&amp;$A519-6,$A$8:$A$1007,"&lt;="&amp;$A519))</f>
        <v>0</v>
      </c>
      <c r="I519" s="48" t="n">
        <f aca="false">IF($A519="",0,SUMIFS($G$8:$G$1007,$C$8:$C$1007,$C519,$A$8:$A$1007,"&gt;="&amp;$A519-27,$A$8:$A$1007,"&lt;="&amp;$A519)/4)</f>
        <v>0</v>
      </c>
      <c r="J519" s="67" t="n">
        <f aca="false">IF(OR($A519="",$I519=0),0,$H519/$I519)</f>
        <v>0</v>
      </c>
      <c r="K519" s="33" t="n">
        <f aca="false">IF($A519="",0,$A519-SUMPRODUCT(MIN(($C$8:$C$1007=$C519)*$A$8:$A$1007+($C$8:$C$1007&lt;&gt;$C519)*100000))+1)</f>
        <v>0</v>
      </c>
      <c r="L519" s="19" t="str">
        <f aca="false">IF($A519="","",IF($J519=0,"Sem registro anterior",IF($K519&lt;21,"Histórico insuficiente",IF($J519&lt;0.8,"Subcarga",IF($J519&lt;=1.3,"Zona ideal",IF($J519&lt;=1.5,"Atenção","Risco elevado"))))))</f>
        <v/>
      </c>
      <c r="M519" s="20"/>
    </row>
    <row r="520" customFormat="false" ht="15" hidden="false" customHeight="false" outlineLevel="0" collapsed="false">
      <c r="A520" s="21"/>
      <c r="B520" s="33" t="n">
        <f aca="false">IF($A520="",0,INT(($A520-Macrociclo!$C$11)/7)+1)</f>
        <v>0</v>
      </c>
      <c r="C520" s="20"/>
      <c r="D520" s="20"/>
      <c r="E520" s="22"/>
      <c r="F520" s="22"/>
      <c r="G520" s="48" t="n">
        <f aca="false">IF(OR($E520="",$F520=""),0,$E520*$F520)</f>
        <v>0</v>
      </c>
      <c r="H520" s="48" t="n">
        <f aca="false">IF($A520="",0,SUMIFS($G$8:$G$1007,$C$8:$C$1007,$C520,$A$8:$A$1007,"&gt;="&amp;$A520-6,$A$8:$A$1007,"&lt;="&amp;$A520))</f>
        <v>0</v>
      </c>
      <c r="I520" s="48" t="n">
        <f aca="false">IF($A520="",0,SUMIFS($G$8:$G$1007,$C$8:$C$1007,$C520,$A$8:$A$1007,"&gt;="&amp;$A520-27,$A$8:$A$1007,"&lt;="&amp;$A520)/4)</f>
        <v>0</v>
      </c>
      <c r="J520" s="67" t="n">
        <f aca="false">IF(OR($A520="",$I520=0),0,$H520/$I520)</f>
        <v>0</v>
      </c>
      <c r="K520" s="33" t="n">
        <f aca="false">IF($A520="",0,$A520-SUMPRODUCT(MIN(($C$8:$C$1007=$C520)*$A$8:$A$1007+($C$8:$C$1007&lt;&gt;$C520)*100000))+1)</f>
        <v>0</v>
      </c>
      <c r="L520" s="19" t="str">
        <f aca="false">IF($A520="","",IF($J520=0,"Sem registro anterior",IF($K520&lt;21,"Histórico insuficiente",IF($J520&lt;0.8,"Subcarga",IF($J520&lt;=1.3,"Zona ideal",IF($J520&lt;=1.5,"Atenção","Risco elevado"))))))</f>
        <v/>
      </c>
      <c r="M520" s="20"/>
    </row>
    <row r="521" customFormat="false" ht="15" hidden="false" customHeight="false" outlineLevel="0" collapsed="false">
      <c r="A521" s="21"/>
      <c r="B521" s="33" t="n">
        <f aca="false">IF($A521="",0,INT(($A521-Macrociclo!$C$11)/7)+1)</f>
        <v>0</v>
      </c>
      <c r="C521" s="20"/>
      <c r="D521" s="20"/>
      <c r="E521" s="22"/>
      <c r="F521" s="22"/>
      <c r="G521" s="48" t="n">
        <f aca="false">IF(OR($E521="",$F521=""),0,$E521*$F521)</f>
        <v>0</v>
      </c>
      <c r="H521" s="48" t="n">
        <f aca="false">IF($A521="",0,SUMIFS($G$8:$G$1007,$C$8:$C$1007,$C521,$A$8:$A$1007,"&gt;="&amp;$A521-6,$A$8:$A$1007,"&lt;="&amp;$A521))</f>
        <v>0</v>
      </c>
      <c r="I521" s="48" t="n">
        <f aca="false">IF($A521="",0,SUMIFS($G$8:$G$1007,$C$8:$C$1007,$C521,$A$8:$A$1007,"&gt;="&amp;$A521-27,$A$8:$A$1007,"&lt;="&amp;$A521)/4)</f>
        <v>0</v>
      </c>
      <c r="J521" s="67" t="n">
        <f aca="false">IF(OR($A521="",$I521=0),0,$H521/$I521)</f>
        <v>0</v>
      </c>
      <c r="K521" s="33" t="n">
        <f aca="false">IF($A521="",0,$A521-SUMPRODUCT(MIN(($C$8:$C$1007=$C521)*$A$8:$A$1007+($C$8:$C$1007&lt;&gt;$C521)*100000))+1)</f>
        <v>0</v>
      </c>
      <c r="L521" s="19" t="str">
        <f aca="false">IF($A521="","",IF($J521=0,"Sem registro anterior",IF($K521&lt;21,"Histórico insuficiente",IF($J521&lt;0.8,"Subcarga",IF($J521&lt;=1.3,"Zona ideal",IF($J521&lt;=1.5,"Atenção","Risco elevado"))))))</f>
        <v/>
      </c>
      <c r="M521" s="20"/>
    </row>
    <row r="522" customFormat="false" ht="15" hidden="false" customHeight="false" outlineLevel="0" collapsed="false">
      <c r="A522" s="21"/>
      <c r="B522" s="33" t="n">
        <f aca="false">IF($A522="",0,INT(($A522-Macrociclo!$C$11)/7)+1)</f>
        <v>0</v>
      </c>
      <c r="C522" s="20"/>
      <c r="D522" s="20"/>
      <c r="E522" s="22"/>
      <c r="F522" s="22"/>
      <c r="G522" s="48" t="n">
        <f aca="false">IF(OR($E522="",$F522=""),0,$E522*$F522)</f>
        <v>0</v>
      </c>
      <c r="H522" s="48" t="n">
        <f aca="false">IF($A522="",0,SUMIFS($G$8:$G$1007,$C$8:$C$1007,$C522,$A$8:$A$1007,"&gt;="&amp;$A522-6,$A$8:$A$1007,"&lt;="&amp;$A522))</f>
        <v>0</v>
      </c>
      <c r="I522" s="48" t="n">
        <f aca="false">IF($A522="",0,SUMIFS($G$8:$G$1007,$C$8:$C$1007,$C522,$A$8:$A$1007,"&gt;="&amp;$A522-27,$A$8:$A$1007,"&lt;="&amp;$A522)/4)</f>
        <v>0</v>
      </c>
      <c r="J522" s="67" t="n">
        <f aca="false">IF(OR($A522="",$I522=0),0,$H522/$I522)</f>
        <v>0</v>
      </c>
      <c r="K522" s="33" t="n">
        <f aca="false">IF($A522="",0,$A522-SUMPRODUCT(MIN(($C$8:$C$1007=$C522)*$A$8:$A$1007+($C$8:$C$1007&lt;&gt;$C522)*100000))+1)</f>
        <v>0</v>
      </c>
      <c r="L522" s="19" t="str">
        <f aca="false">IF($A522="","",IF($J522=0,"Sem registro anterior",IF($K522&lt;21,"Histórico insuficiente",IF($J522&lt;0.8,"Subcarga",IF($J522&lt;=1.3,"Zona ideal",IF($J522&lt;=1.5,"Atenção","Risco elevado"))))))</f>
        <v/>
      </c>
      <c r="M522" s="20"/>
    </row>
    <row r="523" customFormat="false" ht="15" hidden="false" customHeight="false" outlineLevel="0" collapsed="false">
      <c r="A523" s="21"/>
      <c r="B523" s="33" t="n">
        <f aca="false">IF($A523="",0,INT(($A523-Macrociclo!$C$11)/7)+1)</f>
        <v>0</v>
      </c>
      <c r="C523" s="20"/>
      <c r="D523" s="20"/>
      <c r="E523" s="22"/>
      <c r="F523" s="22"/>
      <c r="G523" s="48" t="n">
        <f aca="false">IF(OR($E523="",$F523=""),0,$E523*$F523)</f>
        <v>0</v>
      </c>
      <c r="H523" s="48" t="n">
        <f aca="false">IF($A523="",0,SUMIFS($G$8:$G$1007,$C$8:$C$1007,$C523,$A$8:$A$1007,"&gt;="&amp;$A523-6,$A$8:$A$1007,"&lt;="&amp;$A523))</f>
        <v>0</v>
      </c>
      <c r="I523" s="48" t="n">
        <f aca="false">IF($A523="",0,SUMIFS($G$8:$G$1007,$C$8:$C$1007,$C523,$A$8:$A$1007,"&gt;="&amp;$A523-27,$A$8:$A$1007,"&lt;="&amp;$A523)/4)</f>
        <v>0</v>
      </c>
      <c r="J523" s="67" t="n">
        <f aca="false">IF(OR($A523="",$I523=0),0,$H523/$I523)</f>
        <v>0</v>
      </c>
      <c r="K523" s="33" t="n">
        <f aca="false">IF($A523="",0,$A523-SUMPRODUCT(MIN(($C$8:$C$1007=$C523)*$A$8:$A$1007+($C$8:$C$1007&lt;&gt;$C523)*100000))+1)</f>
        <v>0</v>
      </c>
      <c r="L523" s="19" t="str">
        <f aca="false">IF($A523="","",IF($J523=0,"Sem registro anterior",IF($K523&lt;21,"Histórico insuficiente",IF($J523&lt;0.8,"Subcarga",IF($J523&lt;=1.3,"Zona ideal",IF($J523&lt;=1.5,"Atenção","Risco elevado"))))))</f>
        <v/>
      </c>
      <c r="M523" s="20"/>
    </row>
    <row r="524" customFormat="false" ht="15" hidden="false" customHeight="false" outlineLevel="0" collapsed="false">
      <c r="A524" s="21"/>
      <c r="B524" s="33" t="n">
        <f aca="false">IF($A524="",0,INT(($A524-Macrociclo!$C$11)/7)+1)</f>
        <v>0</v>
      </c>
      <c r="C524" s="20"/>
      <c r="D524" s="20"/>
      <c r="E524" s="22"/>
      <c r="F524" s="22"/>
      <c r="G524" s="48" t="n">
        <f aca="false">IF(OR($E524="",$F524=""),0,$E524*$F524)</f>
        <v>0</v>
      </c>
      <c r="H524" s="48" t="n">
        <f aca="false">IF($A524="",0,SUMIFS($G$8:$G$1007,$C$8:$C$1007,$C524,$A$8:$A$1007,"&gt;="&amp;$A524-6,$A$8:$A$1007,"&lt;="&amp;$A524))</f>
        <v>0</v>
      </c>
      <c r="I524" s="48" t="n">
        <f aca="false">IF($A524="",0,SUMIFS($G$8:$G$1007,$C$8:$C$1007,$C524,$A$8:$A$1007,"&gt;="&amp;$A524-27,$A$8:$A$1007,"&lt;="&amp;$A524)/4)</f>
        <v>0</v>
      </c>
      <c r="J524" s="67" t="n">
        <f aca="false">IF(OR($A524="",$I524=0),0,$H524/$I524)</f>
        <v>0</v>
      </c>
      <c r="K524" s="33" t="n">
        <f aca="false">IF($A524="",0,$A524-SUMPRODUCT(MIN(($C$8:$C$1007=$C524)*$A$8:$A$1007+($C$8:$C$1007&lt;&gt;$C524)*100000))+1)</f>
        <v>0</v>
      </c>
      <c r="L524" s="19" t="str">
        <f aca="false">IF($A524="","",IF($J524=0,"Sem registro anterior",IF($K524&lt;21,"Histórico insuficiente",IF($J524&lt;0.8,"Subcarga",IF($J524&lt;=1.3,"Zona ideal",IF($J524&lt;=1.5,"Atenção","Risco elevado"))))))</f>
        <v/>
      </c>
      <c r="M524" s="20"/>
    </row>
    <row r="525" customFormat="false" ht="15" hidden="false" customHeight="false" outlineLevel="0" collapsed="false">
      <c r="A525" s="21"/>
      <c r="B525" s="33" t="n">
        <f aca="false">IF($A525="",0,INT(($A525-Macrociclo!$C$11)/7)+1)</f>
        <v>0</v>
      </c>
      <c r="C525" s="20"/>
      <c r="D525" s="20"/>
      <c r="E525" s="22"/>
      <c r="F525" s="22"/>
      <c r="G525" s="48" t="n">
        <f aca="false">IF(OR($E525="",$F525=""),0,$E525*$F525)</f>
        <v>0</v>
      </c>
      <c r="H525" s="48" t="n">
        <f aca="false">IF($A525="",0,SUMIFS($G$8:$G$1007,$C$8:$C$1007,$C525,$A$8:$A$1007,"&gt;="&amp;$A525-6,$A$8:$A$1007,"&lt;="&amp;$A525))</f>
        <v>0</v>
      </c>
      <c r="I525" s="48" t="n">
        <f aca="false">IF($A525="",0,SUMIFS($G$8:$G$1007,$C$8:$C$1007,$C525,$A$8:$A$1007,"&gt;="&amp;$A525-27,$A$8:$A$1007,"&lt;="&amp;$A525)/4)</f>
        <v>0</v>
      </c>
      <c r="J525" s="67" t="n">
        <f aca="false">IF(OR($A525="",$I525=0),0,$H525/$I525)</f>
        <v>0</v>
      </c>
      <c r="K525" s="33" t="n">
        <f aca="false">IF($A525="",0,$A525-SUMPRODUCT(MIN(($C$8:$C$1007=$C525)*$A$8:$A$1007+($C$8:$C$1007&lt;&gt;$C525)*100000))+1)</f>
        <v>0</v>
      </c>
      <c r="L525" s="19" t="str">
        <f aca="false">IF($A525="","",IF($J525=0,"Sem registro anterior",IF($K525&lt;21,"Histórico insuficiente",IF($J525&lt;0.8,"Subcarga",IF($J525&lt;=1.3,"Zona ideal",IF($J525&lt;=1.5,"Atenção","Risco elevado"))))))</f>
        <v/>
      </c>
      <c r="M525" s="20"/>
    </row>
    <row r="526" customFormat="false" ht="15" hidden="false" customHeight="false" outlineLevel="0" collapsed="false">
      <c r="A526" s="21"/>
      <c r="B526" s="33" t="n">
        <f aca="false">IF($A526="",0,INT(($A526-Macrociclo!$C$11)/7)+1)</f>
        <v>0</v>
      </c>
      <c r="C526" s="20"/>
      <c r="D526" s="20"/>
      <c r="E526" s="22"/>
      <c r="F526" s="22"/>
      <c r="G526" s="48" t="n">
        <f aca="false">IF(OR($E526="",$F526=""),0,$E526*$F526)</f>
        <v>0</v>
      </c>
      <c r="H526" s="48" t="n">
        <f aca="false">IF($A526="",0,SUMIFS($G$8:$G$1007,$C$8:$C$1007,$C526,$A$8:$A$1007,"&gt;="&amp;$A526-6,$A$8:$A$1007,"&lt;="&amp;$A526))</f>
        <v>0</v>
      </c>
      <c r="I526" s="48" t="n">
        <f aca="false">IF($A526="",0,SUMIFS($G$8:$G$1007,$C$8:$C$1007,$C526,$A$8:$A$1007,"&gt;="&amp;$A526-27,$A$8:$A$1007,"&lt;="&amp;$A526)/4)</f>
        <v>0</v>
      </c>
      <c r="J526" s="67" t="n">
        <f aca="false">IF(OR($A526="",$I526=0),0,$H526/$I526)</f>
        <v>0</v>
      </c>
      <c r="K526" s="33" t="n">
        <f aca="false">IF($A526="",0,$A526-SUMPRODUCT(MIN(($C$8:$C$1007=$C526)*$A$8:$A$1007+($C$8:$C$1007&lt;&gt;$C526)*100000))+1)</f>
        <v>0</v>
      </c>
      <c r="L526" s="19" t="str">
        <f aca="false">IF($A526="","",IF($J526=0,"Sem registro anterior",IF($K526&lt;21,"Histórico insuficiente",IF($J526&lt;0.8,"Subcarga",IF($J526&lt;=1.3,"Zona ideal",IF($J526&lt;=1.5,"Atenção","Risco elevado"))))))</f>
        <v/>
      </c>
      <c r="M526" s="20"/>
    </row>
    <row r="527" customFormat="false" ht="15" hidden="false" customHeight="false" outlineLevel="0" collapsed="false">
      <c r="A527" s="21"/>
      <c r="B527" s="33" t="n">
        <f aca="false">IF($A527="",0,INT(($A527-Macrociclo!$C$11)/7)+1)</f>
        <v>0</v>
      </c>
      <c r="C527" s="20"/>
      <c r="D527" s="20"/>
      <c r="E527" s="22"/>
      <c r="F527" s="22"/>
      <c r="G527" s="48" t="n">
        <f aca="false">IF(OR($E527="",$F527=""),0,$E527*$F527)</f>
        <v>0</v>
      </c>
      <c r="H527" s="48" t="n">
        <f aca="false">IF($A527="",0,SUMIFS($G$8:$G$1007,$C$8:$C$1007,$C527,$A$8:$A$1007,"&gt;="&amp;$A527-6,$A$8:$A$1007,"&lt;="&amp;$A527))</f>
        <v>0</v>
      </c>
      <c r="I527" s="48" t="n">
        <f aca="false">IF($A527="",0,SUMIFS($G$8:$G$1007,$C$8:$C$1007,$C527,$A$8:$A$1007,"&gt;="&amp;$A527-27,$A$8:$A$1007,"&lt;="&amp;$A527)/4)</f>
        <v>0</v>
      </c>
      <c r="J527" s="67" t="n">
        <f aca="false">IF(OR($A527="",$I527=0),0,$H527/$I527)</f>
        <v>0</v>
      </c>
      <c r="K527" s="33" t="n">
        <f aca="false">IF($A527="",0,$A527-SUMPRODUCT(MIN(($C$8:$C$1007=$C527)*$A$8:$A$1007+($C$8:$C$1007&lt;&gt;$C527)*100000))+1)</f>
        <v>0</v>
      </c>
      <c r="L527" s="19" t="str">
        <f aca="false">IF($A527="","",IF($J527=0,"Sem registro anterior",IF($K527&lt;21,"Histórico insuficiente",IF($J527&lt;0.8,"Subcarga",IF($J527&lt;=1.3,"Zona ideal",IF($J527&lt;=1.5,"Atenção","Risco elevado"))))))</f>
        <v/>
      </c>
      <c r="M527" s="20"/>
    </row>
    <row r="528" customFormat="false" ht="15" hidden="false" customHeight="false" outlineLevel="0" collapsed="false">
      <c r="A528" s="21"/>
      <c r="B528" s="33" t="n">
        <f aca="false">IF($A528="",0,INT(($A528-Macrociclo!$C$11)/7)+1)</f>
        <v>0</v>
      </c>
      <c r="C528" s="20"/>
      <c r="D528" s="20"/>
      <c r="E528" s="22"/>
      <c r="F528" s="22"/>
      <c r="G528" s="48" t="n">
        <f aca="false">IF(OR($E528="",$F528=""),0,$E528*$F528)</f>
        <v>0</v>
      </c>
      <c r="H528" s="48" t="n">
        <f aca="false">IF($A528="",0,SUMIFS($G$8:$G$1007,$C$8:$C$1007,$C528,$A$8:$A$1007,"&gt;="&amp;$A528-6,$A$8:$A$1007,"&lt;="&amp;$A528))</f>
        <v>0</v>
      </c>
      <c r="I528" s="48" t="n">
        <f aca="false">IF($A528="",0,SUMIFS($G$8:$G$1007,$C$8:$C$1007,$C528,$A$8:$A$1007,"&gt;="&amp;$A528-27,$A$8:$A$1007,"&lt;="&amp;$A528)/4)</f>
        <v>0</v>
      </c>
      <c r="J528" s="67" t="n">
        <f aca="false">IF(OR($A528="",$I528=0),0,$H528/$I528)</f>
        <v>0</v>
      </c>
      <c r="K528" s="33" t="n">
        <f aca="false">IF($A528="",0,$A528-SUMPRODUCT(MIN(($C$8:$C$1007=$C528)*$A$8:$A$1007+($C$8:$C$1007&lt;&gt;$C528)*100000))+1)</f>
        <v>0</v>
      </c>
      <c r="L528" s="19" t="str">
        <f aca="false">IF($A528="","",IF($J528=0,"Sem registro anterior",IF($K528&lt;21,"Histórico insuficiente",IF($J528&lt;0.8,"Subcarga",IF($J528&lt;=1.3,"Zona ideal",IF($J528&lt;=1.5,"Atenção","Risco elevado"))))))</f>
        <v/>
      </c>
      <c r="M528" s="20"/>
    </row>
    <row r="529" customFormat="false" ht="15" hidden="false" customHeight="false" outlineLevel="0" collapsed="false">
      <c r="A529" s="21"/>
      <c r="B529" s="33" t="n">
        <f aca="false">IF($A529="",0,INT(($A529-Macrociclo!$C$11)/7)+1)</f>
        <v>0</v>
      </c>
      <c r="C529" s="20"/>
      <c r="D529" s="20"/>
      <c r="E529" s="22"/>
      <c r="F529" s="22"/>
      <c r="G529" s="48" t="n">
        <f aca="false">IF(OR($E529="",$F529=""),0,$E529*$F529)</f>
        <v>0</v>
      </c>
      <c r="H529" s="48" t="n">
        <f aca="false">IF($A529="",0,SUMIFS($G$8:$G$1007,$C$8:$C$1007,$C529,$A$8:$A$1007,"&gt;="&amp;$A529-6,$A$8:$A$1007,"&lt;="&amp;$A529))</f>
        <v>0</v>
      </c>
      <c r="I529" s="48" t="n">
        <f aca="false">IF($A529="",0,SUMIFS($G$8:$G$1007,$C$8:$C$1007,$C529,$A$8:$A$1007,"&gt;="&amp;$A529-27,$A$8:$A$1007,"&lt;="&amp;$A529)/4)</f>
        <v>0</v>
      </c>
      <c r="J529" s="67" t="n">
        <f aca="false">IF(OR($A529="",$I529=0),0,$H529/$I529)</f>
        <v>0</v>
      </c>
      <c r="K529" s="33" t="n">
        <f aca="false">IF($A529="",0,$A529-SUMPRODUCT(MIN(($C$8:$C$1007=$C529)*$A$8:$A$1007+($C$8:$C$1007&lt;&gt;$C529)*100000))+1)</f>
        <v>0</v>
      </c>
      <c r="L529" s="19" t="str">
        <f aca="false">IF($A529="","",IF($J529=0,"Sem registro anterior",IF($K529&lt;21,"Histórico insuficiente",IF($J529&lt;0.8,"Subcarga",IF($J529&lt;=1.3,"Zona ideal",IF($J529&lt;=1.5,"Atenção","Risco elevado"))))))</f>
        <v/>
      </c>
      <c r="M529" s="20"/>
    </row>
    <row r="530" customFormat="false" ht="15" hidden="false" customHeight="false" outlineLevel="0" collapsed="false">
      <c r="A530" s="21"/>
      <c r="B530" s="33" t="n">
        <f aca="false">IF($A530="",0,INT(($A530-Macrociclo!$C$11)/7)+1)</f>
        <v>0</v>
      </c>
      <c r="C530" s="20"/>
      <c r="D530" s="20"/>
      <c r="E530" s="22"/>
      <c r="F530" s="22"/>
      <c r="G530" s="48" t="n">
        <f aca="false">IF(OR($E530="",$F530=""),0,$E530*$F530)</f>
        <v>0</v>
      </c>
      <c r="H530" s="48" t="n">
        <f aca="false">IF($A530="",0,SUMIFS($G$8:$G$1007,$C$8:$C$1007,$C530,$A$8:$A$1007,"&gt;="&amp;$A530-6,$A$8:$A$1007,"&lt;="&amp;$A530))</f>
        <v>0</v>
      </c>
      <c r="I530" s="48" t="n">
        <f aca="false">IF($A530="",0,SUMIFS($G$8:$G$1007,$C$8:$C$1007,$C530,$A$8:$A$1007,"&gt;="&amp;$A530-27,$A$8:$A$1007,"&lt;="&amp;$A530)/4)</f>
        <v>0</v>
      </c>
      <c r="J530" s="67" t="n">
        <f aca="false">IF(OR($A530="",$I530=0),0,$H530/$I530)</f>
        <v>0</v>
      </c>
      <c r="K530" s="33" t="n">
        <f aca="false">IF($A530="",0,$A530-SUMPRODUCT(MIN(($C$8:$C$1007=$C530)*$A$8:$A$1007+($C$8:$C$1007&lt;&gt;$C530)*100000))+1)</f>
        <v>0</v>
      </c>
      <c r="L530" s="19" t="str">
        <f aca="false">IF($A530="","",IF($J530=0,"Sem registro anterior",IF($K530&lt;21,"Histórico insuficiente",IF($J530&lt;0.8,"Subcarga",IF($J530&lt;=1.3,"Zona ideal",IF($J530&lt;=1.5,"Atenção","Risco elevado"))))))</f>
        <v/>
      </c>
      <c r="M530" s="20"/>
    </row>
    <row r="531" customFormat="false" ht="15" hidden="false" customHeight="false" outlineLevel="0" collapsed="false">
      <c r="A531" s="21"/>
      <c r="B531" s="33" t="n">
        <f aca="false">IF($A531="",0,INT(($A531-Macrociclo!$C$11)/7)+1)</f>
        <v>0</v>
      </c>
      <c r="C531" s="20"/>
      <c r="D531" s="20"/>
      <c r="E531" s="22"/>
      <c r="F531" s="22"/>
      <c r="G531" s="48" t="n">
        <f aca="false">IF(OR($E531="",$F531=""),0,$E531*$F531)</f>
        <v>0</v>
      </c>
      <c r="H531" s="48" t="n">
        <f aca="false">IF($A531="",0,SUMIFS($G$8:$G$1007,$C$8:$C$1007,$C531,$A$8:$A$1007,"&gt;="&amp;$A531-6,$A$8:$A$1007,"&lt;="&amp;$A531))</f>
        <v>0</v>
      </c>
      <c r="I531" s="48" t="n">
        <f aca="false">IF($A531="",0,SUMIFS($G$8:$G$1007,$C$8:$C$1007,$C531,$A$8:$A$1007,"&gt;="&amp;$A531-27,$A$8:$A$1007,"&lt;="&amp;$A531)/4)</f>
        <v>0</v>
      </c>
      <c r="J531" s="67" t="n">
        <f aca="false">IF(OR($A531="",$I531=0),0,$H531/$I531)</f>
        <v>0</v>
      </c>
      <c r="K531" s="33" t="n">
        <f aca="false">IF($A531="",0,$A531-SUMPRODUCT(MIN(($C$8:$C$1007=$C531)*$A$8:$A$1007+($C$8:$C$1007&lt;&gt;$C531)*100000))+1)</f>
        <v>0</v>
      </c>
      <c r="L531" s="19" t="str">
        <f aca="false">IF($A531="","",IF($J531=0,"Sem registro anterior",IF($K531&lt;21,"Histórico insuficiente",IF($J531&lt;0.8,"Subcarga",IF($J531&lt;=1.3,"Zona ideal",IF($J531&lt;=1.5,"Atenção","Risco elevado"))))))</f>
        <v/>
      </c>
      <c r="M531" s="20"/>
    </row>
    <row r="532" customFormat="false" ht="15" hidden="false" customHeight="false" outlineLevel="0" collapsed="false">
      <c r="A532" s="21"/>
      <c r="B532" s="33" t="n">
        <f aca="false">IF($A532="",0,INT(($A532-Macrociclo!$C$11)/7)+1)</f>
        <v>0</v>
      </c>
      <c r="C532" s="20"/>
      <c r="D532" s="20"/>
      <c r="E532" s="22"/>
      <c r="F532" s="22"/>
      <c r="G532" s="48" t="n">
        <f aca="false">IF(OR($E532="",$F532=""),0,$E532*$F532)</f>
        <v>0</v>
      </c>
      <c r="H532" s="48" t="n">
        <f aca="false">IF($A532="",0,SUMIFS($G$8:$G$1007,$C$8:$C$1007,$C532,$A$8:$A$1007,"&gt;="&amp;$A532-6,$A$8:$A$1007,"&lt;="&amp;$A532))</f>
        <v>0</v>
      </c>
      <c r="I532" s="48" t="n">
        <f aca="false">IF($A532="",0,SUMIFS($G$8:$G$1007,$C$8:$C$1007,$C532,$A$8:$A$1007,"&gt;="&amp;$A532-27,$A$8:$A$1007,"&lt;="&amp;$A532)/4)</f>
        <v>0</v>
      </c>
      <c r="J532" s="67" t="n">
        <f aca="false">IF(OR($A532="",$I532=0),0,$H532/$I532)</f>
        <v>0</v>
      </c>
      <c r="K532" s="33" t="n">
        <f aca="false">IF($A532="",0,$A532-SUMPRODUCT(MIN(($C$8:$C$1007=$C532)*$A$8:$A$1007+($C$8:$C$1007&lt;&gt;$C532)*100000))+1)</f>
        <v>0</v>
      </c>
      <c r="L532" s="19" t="str">
        <f aca="false">IF($A532="","",IF($J532=0,"Sem registro anterior",IF($K532&lt;21,"Histórico insuficiente",IF($J532&lt;0.8,"Subcarga",IF($J532&lt;=1.3,"Zona ideal",IF($J532&lt;=1.5,"Atenção","Risco elevado"))))))</f>
        <v/>
      </c>
      <c r="M532" s="20"/>
    </row>
    <row r="533" customFormat="false" ht="15" hidden="false" customHeight="false" outlineLevel="0" collapsed="false">
      <c r="A533" s="21"/>
      <c r="B533" s="33" t="n">
        <f aca="false">IF($A533="",0,INT(($A533-Macrociclo!$C$11)/7)+1)</f>
        <v>0</v>
      </c>
      <c r="C533" s="20"/>
      <c r="D533" s="20"/>
      <c r="E533" s="22"/>
      <c r="F533" s="22"/>
      <c r="G533" s="48" t="n">
        <f aca="false">IF(OR($E533="",$F533=""),0,$E533*$F533)</f>
        <v>0</v>
      </c>
      <c r="H533" s="48" t="n">
        <f aca="false">IF($A533="",0,SUMIFS($G$8:$G$1007,$C$8:$C$1007,$C533,$A$8:$A$1007,"&gt;="&amp;$A533-6,$A$8:$A$1007,"&lt;="&amp;$A533))</f>
        <v>0</v>
      </c>
      <c r="I533" s="48" t="n">
        <f aca="false">IF($A533="",0,SUMIFS($G$8:$G$1007,$C$8:$C$1007,$C533,$A$8:$A$1007,"&gt;="&amp;$A533-27,$A$8:$A$1007,"&lt;="&amp;$A533)/4)</f>
        <v>0</v>
      </c>
      <c r="J533" s="67" t="n">
        <f aca="false">IF(OR($A533="",$I533=0),0,$H533/$I533)</f>
        <v>0</v>
      </c>
      <c r="K533" s="33" t="n">
        <f aca="false">IF($A533="",0,$A533-SUMPRODUCT(MIN(($C$8:$C$1007=$C533)*$A$8:$A$1007+($C$8:$C$1007&lt;&gt;$C533)*100000))+1)</f>
        <v>0</v>
      </c>
      <c r="L533" s="19" t="str">
        <f aca="false">IF($A533="","",IF($J533=0,"Sem registro anterior",IF($K533&lt;21,"Histórico insuficiente",IF($J533&lt;0.8,"Subcarga",IF($J533&lt;=1.3,"Zona ideal",IF($J533&lt;=1.5,"Atenção","Risco elevado"))))))</f>
        <v/>
      </c>
      <c r="M533" s="20"/>
    </row>
    <row r="534" customFormat="false" ht="15" hidden="false" customHeight="false" outlineLevel="0" collapsed="false">
      <c r="A534" s="21"/>
      <c r="B534" s="33" t="n">
        <f aca="false">IF($A534="",0,INT(($A534-Macrociclo!$C$11)/7)+1)</f>
        <v>0</v>
      </c>
      <c r="C534" s="20"/>
      <c r="D534" s="20"/>
      <c r="E534" s="22"/>
      <c r="F534" s="22"/>
      <c r="G534" s="48" t="n">
        <f aca="false">IF(OR($E534="",$F534=""),0,$E534*$F534)</f>
        <v>0</v>
      </c>
      <c r="H534" s="48" t="n">
        <f aca="false">IF($A534="",0,SUMIFS($G$8:$G$1007,$C$8:$C$1007,$C534,$A$8:$A$1007,"&gt;="&amp;$A534-6,$A$8:$A$1007,"&lt;="&amp;$A534))</f>
        <v>0</v>
      </c>
      <c r="I534" s="48" t="n">
        <f aca="false">IF($A534="",0,SUMIFS($G$8:$G$1007,$C$8:$C$1007,$C534,$A$8:$A$1007,"&gt;="&amp;$A534-27,$A$8:$A$1007,"&lt;="&amp;$A534)/4)</f>
        <v>0</v>
      </c>
      <c r="J534" s="67" t="n">
        <f aca="false">IF(OR($A534="",$I534=0),0,$H534/$I534)</f>
        <v>0</v>
      </c>
      <c r="K534" s="33" t="n">
        <f aca="false">IF($A534="",0,$A534-SUMPRODUCT(MIN(($C$8:$C$1007=$C534)*$A$8:$A$1007+($C$8:$C$1007&lt;&gt;$C534)*100000))+1)</f>
        <v>0</v>
      </c>
      <c r="L534" s="19" t="str">
        <f aca="false">IF($A534="","",IF($J534=0,"Sem registro anterior",IF($K534&lt;21,"Histórico insuficiente",IF($J534&lt;0.8,"Subcarga",IF($J534&lt;=1.3,"Zona ideal",IF($J534&lt;=1.5,"Atenção","Risco elevado"))))))</f>
        <v/>
      </c>
      <c r="M534" s="20"/>
    </row>
    <row r="535" customFormat="false" ht="15" hidden="false" customHeight="false" outlineLevel="0" collapsed="false">
      <c r="A535" s="21"/>
      <c r="B535" s="33" t="n">
        <f aca="false">IF($A535="",0,INT(($A535-Macrociclo!$C$11)/7)+1)</f>
        <v>0</v>
      </c>
      <c r="C535" s="20"/>
      <c r="D535" s="20"/>
      <c r="E535" s="22"/>
      <c r="F535" s="22"/>
      <c r="G535" s="48" t="n">
        <f aca="false">IF(OR($E535="",$F535=""),0,$E535*$F535)</f>
        <v>0</v>
      </c>
      <c r="H535" s="48" t="n">
        <f aca="false">IF($A535="",0,SUMIFS($G$8:$G$1007,$C$8:$C$1007,$C535,$A$8:$A$1007,"&gt;="&amp;$A535-6,$A$8:$A$1007,"&lt;="&amp;$A535))</f>
        <v>0</v>
      </c>
      <c r="I535" s="48" t="n">
        <f aca="false">IF($A535="",0,SUMIFS($G$8:$G$1007,$C$8:$C$1007,$C535,$A$8:$A$1007,"&gt;="&amp;$A535-27,$A$8:$A$1007,"&lt;="&amp;$A535)/4)</f>
        <v>0</v>
      </c>
      <c r="J535" s="67" t="n">
        <f aca="false">IF(OR($A535="",$I535=0),0,$H535/$I535)</f>
        <v>0</v>
      </c>
      <c r="K535" s="33" t="n">
        <f aca="false">IF($A535="",0,$A535-SUMPRODUCT(MIN(($C$8:$C$1007=$C535)*$A$8:$A$1007+($C$8:$C$1007&lt;&gt;$C535)*100000))+1)</f>
        <v>0</v>
      </c>
      <c r="L535" s="19" t="str">
        <f aca="false">IF($A535="","",IF($J535=0,"Sem registro anterior",IF($K535&lt;21,"Histórico insuficiente",IF($J535&lt;0.8,"Subcarga",IF($J535&lt;=1.3,"Zona ideal",IF($J535&lt;=1.5,"Atenção","Risco elevado"))))))</f>
        <v/>
      </c>
      <c r="M535" s="20"/>
    </row>
    <row r="536" customFormat="false" ht="15" hidden="false" customHeight="false" outlineLevel="0" collapsed="false">
      <c r="A536" s="21"/>
      <c r="B536" s="33" t="n">
        <f aca="false">IF($A536="",0,INT(($A536-Macrociclo!$C$11)/7)+1)</f>
        <v>0</v>
      </c>
      <c r="C536" s="20"/>
      <c r="D536" s="20"/>
      <c r="E536" s="22"/>
      <c r="F536" s="22"/>
      <c r="G536" s="48" t="n">
        <f aca="false">IF(OR($E536="",$F536=""),0,$E536*$F536)</f>
        <v>0</v>
      </c>
      <c r="H536" s="48" t="n">
        <f aca="false">IF($A536="",0,SUMIFS($G$8:$G$1007,$C$8:$C$1007,$C536,$A$8:$A$1007,"&gt;="&amp;$A536-6,$A$8:$A$1007,"&lt;="&amp;$A536))</f>
        <v>0</v>
      </c>
      <c r="I536" s="48" t="n">
        <f aca="false">IF($A536="",0,SUMIFS($G$8:$G$1007,$C$8:$C$1007,$C536,$A$8:$A$1007,"&gt;="&amp;$A536-27,$A$8:$A$1007,"&lt;="&amp;$A536)/4)</f>
        <v>0</v>
      </c>
      <c r="J536" s="67" t="n">
        <f aca="false">IF(OR($A536="",$I536=0),0,$H536/$I536)</f>
        <v>0</v>
      </c>
      <c r="K536" s="33" t="n">
        <f aca="false">IF($A536="",0,$A536-SUMPRODUCT(MIN(($C$8:$C$1007=$C536)*$A$8:$A$1007+($C$8:$C$1007&lt;&gt;$C536)*100000))+1)</f>
        <v>0</v>
      </c>
      <c r="L536" s="19" t="str">
        <f aca="false">IF($A536="","",IF($J536=0,"Sem registro anterior",IF($K536&lt;21,"Histórico insuficiente",IF($J536&lt;0.8,"Subcarga",IF($J536&lt;=1.3,"Zona ideal",IF($J536&lt;=1.5,"Atenção","Risco elevado"))))))</f>
        <v/>
      </c>
      <c r="M536" s="20"/>
    </row>
    <row r="537" customFormat="false" ht="15" hidden="false" customHeight="false" outlineLevel="0" collapsed="false">
      <c r="A537" s="21"/>
      <c r="B537" s="33" t="n">
        <f aca="false">IF($A537="",0,INT(($A537-Macrociclo!$C$11)/7)+1)</f>
        <v>0</v>
      </c>
      <c r="C537" s="20"/>
      <c r="D537" s="20"/>
      <c r="E537" s="22"/>
      <c r="F537" s="22"/>
      <c r="G537" s="48" t="n">
        <f aca="false">IF(OR($E537="",$F537=""),0,$E537*$F537)</f>
        <v>0</v>
      </c>
      <c r="H537" s="48" t="n">
        <f aca="false">IF($A537="",0,SUMIFS($G$8:$G$1007,$C$8:$C$1007,$C537,$A$8:$A$1007,"&gt;="&amp;$A537-6,$A$8:$A$1007,"&lt;="&amp;$A537))</f>
        <v>0</v>
      </c>
      <c r="I537" s="48" t="n">
        <f aca="false">IF($A537="",0,SUMIFS($G$8:$G$1007,$C$8:$C$1007,$C537,$A$8:$A$1007,"&gt;="&amp;$A537-27,$A$8:$A$1007,"&lt;="&amp;$A537)/4)</f>
        <v>0</v>
      </c>
      <c r="J537" s="67" t="n">
        <f aca="false">IF(OR($A537="",$I537=0),0,$H537/$I537)</f>
        <v>0</v>
      </c>
      <c r="K537" s="33" t="n">
        <f aca="false">IF($A537="",0,$A537-SUMPRODUCT(MIN(($C$8:$C$1007=$C537)*$A$8:$A$1007+($C$8:$C$1007&lt;&gt;$C537)*100000))+1)</f>
        <v>0</v>
      </c>
      <c r="L537" s="19" t="str">
        <f aca="false">IF($A537="","",IF($J537=0,"Sem registro anterior",IF($K537&lt;21,"Histórico insuficiente",IF($J537&lt;0.8,"Subcarga",IF($J537&lt;=1.3,"Zona ideal",IF($J537&lt;=1.5,"Atenção","Risco elevado"))))))</f>
        <v/>
      </c>
      <c r="M537" s="20"/>
    </row>
    <row r="538" customFormat="false" ht="15" hidden="false" customHeight="false" outlineLevel="0" collapsed="false">
      <c r="A538" s="21"/>
      <c r="B538" s="33" t="n">
        <f aca="false">IF($A538="",0,INT(($A538-Macrociclo!$C$11)/7)+1)</f>
        <v>0</v>
      </c>
      <c r="C538" s="20"/>
      <c r="D538" s="20"/>
      <c r="E538" s="22"/>
      <c r="F538" s="22"/>
      <c r="G538" s="48" t="n">
        <f aca="false">IF(OR($E538="",$F538=""),0,$E538*$F538)</f>
        <v>0</v>
      </c>
      <c r="H538" s="48" t="n">
        <f aca="false">IF($A538="",0,SUMIFS($G$8:$G$1007,$C$8:$C$1007,$C538,$A$8:$A$1007,"&gt;="&amp;$A538-6,$A$8:$A$1007,"&lt;="&amp;$A538))</f>
        <v>0</v>
      </c>
      <c r="I538" s="48" t="n">
        <f aca="false">IF($A538="",0,SUMIFS($G$8:$G$1007,$C$8:$C$1007,$C538,$A$8:$A$1007,"&gt;="&amp;$A538-27,$A$8:$A$1007,"&lt;="&amp;$A538)/4)</f>
        <v>0</v>
      </c>
      <c r="J538" s="67" t="n">
        <f aca="false">IF(OR($A538="",$I538=0),0,$H538/$I538)</f>
        <v>0</v>
      </c>
      <c r="K538" s="33" t="n">
        <f aca="false">IF($A538="",0,$A538-SUMPRODUCT(MIN(($C$8:$C$1007=$C538)*$A$8:$A$1007+($C$8:$C$1007&lt;&gt;$C538)*100000))+1)</f>
        <v>0</v>
      </c>
      <c r="L538" s="19" t="str">
        <f aca="false">IF($A538="","",IF($J538=0,"Sem registro anterior",IF($K538&lt;21,"Histórico insuficiente",IF($J538&lt;0.8,"Subcarga",IF($J538&lt;=1.3,"Zona ideal",IF($J538&lt;=1.5,"Atenção","Risco elevado"))))))</f>
        <v/>
      </c>
      <c r="M538" s="20"/>
    </row>
    <row r="539" customFormat="false" ht="15" hidden="false" customHeight="false" outlineLevel="0" collapsed="false">
      <c r="A539" s="21"/>
      <c r="B539" s="33" t="n">
        <f aca="false">IF($A539="",0,INT(($A539-Macrociclo!$C$11)/7)+1)</f>
        <v>0</v>
      </c>
      <c r="C539" s="20"/>
      <c r="D539" s="20"/>
      <c r="E539" s="22"/>
      <c r="F539" s="22"/>
      <c r="G539" s="48" t="n">
        <f aca="false">IF(OR($E539="",$F539=""),0,$E539*$F539)</f>
        <v>0</v>
      </c>
      <c r="H539" s="48" t="n">
        <f aca="false">IF($A539="",0,SUMIFS($G$8:$G$1007,$C$8:$C$1007,$C539,$A$8:$A$1007,"&gt;="&amp;$A539-6,$A$8:$A$1007,"&lt;="&amp;$A539))</f>
        <v>0</v>
      </c>
      <c r="I539" s="48" t="n">
        <f aca="false">IF($A539="",0,SUMIFS($G$8:$G$1007,$C$8:$C$1007,$C539,$A$8:$A$1007,"&gt;="&amp;$A539-27,$A$8:$A$1007,"&lt;="&amp;$A539)/4)</f>
        <v>0</v>
      </c>
      <c r="J539" s="67" t="n">
        <f aca="false">IF(OR($A539="",$I539=0),0,$H539/$I539)</f>
        <v>0</v>
      </c>
      <c r="K539" s="33" t="n">
        <f aca="false">IF($A539="",0,$A539-SUMPRODUCT(MIN(($C$8:$C$1007=$C539)*$A$8:$A$1007+($C$8:$C$1007&lt;&gt;$C539)*100000))+1)</f>
        <v>0</v>
      </c>
      <c r="L539" s="19" t="str">
        <f aca="false">IF($A539="","",IF($J539=0,"Sem registro anterior",IF($K539&lt;21,"Histórico insuficiente",IF($J539&lt;0.8,"Subcarga",IF($J539&lt;=1.3,"Zona ideal",IF($J539&lt;=1.5,"Atenção","Risco elevado"))))))</f>
        <v/>
      </c>
      <c r="M539" s="20"/>
    </row>
    <row r="540" customFormat="false" ht="15" hidden="false" customHeight="false" outlineLevel="0" collapsed="false">
      <c r="A540" s="21"/>
      <c r="B540" s="33" t="n">
        <f aca="false">IF($A540="",0,INT(($A540-Macrociclo!$C$11)/7)+1)</f>
        <v>0</v>
      </c>
      <c r="C540" s="20"/>
      <c r="D540" s="20"/>
      <c r="E540" s="22"/>
      <c r="F540" s="22"/>
      <c r="G540" s="48" t="n">
        <f aca="false">IF(OR($E540="",$F540=""),0,$E540*$F540)</f>
        <v>0</v>
      </c>
      <c r="H540" s="48" t="n">
        <f aca="false">IF($A540="",0,SUMIFS($G$8:$G$1007,$C$8:$C$1007,$C540,$A$8:$A$1007,"&gt;="&amp;$A540-6,$A$8:$A$1007,"&lt;="&amp;$A540))</f>
        <v>0</v>
      </c>
      <c r="I540" s="48" t="n">
        <f aca="false">IF($A540="",0,SUMIFS($G$8:$G$1007,$C$8:$C$1007,$C540,$A$8:$A$1007,"&gt;="&amp;$A540-27,$A$8:$A$1007,"&lt;="&amp;$A540)/4)</f>
        <v>0</v>
      </c>
      <c r="J540" s="67" t="n">
        <f aca="false">IF(OR($A540="",$I540=0),0,$H540/$I540)</f>
        <v>0</v>
      </c>
      <c r="K540" s="33" t="n">
        <f aca="false">IF($A540="",0,$A540-SUMPRODUCT(MIN(($C$8:$C$1007=$C540)*$A$8:$A$1007+($C$8:$C$1007&lt;&gt;$C540)*100000))+1)</f>
        <v>0</v>
      </c>
      <c r="L540" s="19" t="str">
        <f aca="false">IF($A540="","",IF($J540=0,"Sem registro anterior",IF($K540&lt;21,"Histórico insuficiente",IF($J540&lt;0.8,"Subcarga",IF($J540&lt;=1.3,"Zona ideal",IF($J540&lt;=1.5,"Atenção","Risco elevado"))))))</f>
        <v/>
      </c>
      <c r="M540" s="20"/>
    </row>
    <row r="541" customFormat="false" ht="15" hidden="false" customHeight="false" outlineLevel="0" collapsed="false">
      <c r="A541" s="21"/>
      <c r="B541" s="33" t="n">
        <f aca="false">IF($A541="",0,INT(($A541-Macrociclo!$C$11)/7)+1)</f>
        <v>0</v>
      </c>
      <c r="C541" s="20"/>
      <c r="D541" s="20"/>
      <c r="E541" s="22"/>
      <c r="F541" s="22"/>
      <c r="G541" s="48" t="n">
        <f aca="false">IF(OR($E541="",$F541=""),0,$E541*$F541)</f>
        <v>0</v>
      </c>
      <c r="H541" s="48" t="n">
        <f aca="false">IF($A541="",0,SUMIFS($G$8:$G$1007,$C$8:$C$1007,$C541,$A$8:$A$1007,"&gt;="&amp;$A541-6,$A$8:$A$1007,"&lt;="&amp;$A541))</f>
        <v>0</v>
      </c>
      <c r="I541" s="48" t="n">
        <f aca="false">IF($A541="",0,SUMIFS($G$8:$G$1007,$C$8:$C$1007,$C541,$A$8:$A$1007,"&gt;="&amp;$A541-27,$A$8:$A$1007,"&lt;="&amp;$A541)/4)</f>
        <v>0</v>
      </c>
      <c r="J541" s="67" t="n">
        <f aca="false">IF(OR($A541="",$I541=0),0,$H541/$I541)</f>
        <v>0</v>
      </c>
      <c r="K541" s="33" t="n">
        <f aca="false">IF($A541="",0,$A541-SUMPRODUCT(MIN(($C$8:$C$1007=$C541)*$A$8:$A$1007+($C$8:$C$1007&lt;&gt;$C541)*100000))+1)</f>
        <v>0</v>
      </c>
      <c r="L541" s="19" t="str">
        <f aca="false">IF($A541="","",IF($J541=0,"Sem registro anterior",IF($K541&lt;21,"Histórico insuficiente",IF($J541&lt;0.8,"Subcarga",IF($J541&lt;=1.3,"Zona ideal",IF($J541&lt;=1.5,"Atenção","Risco elevado"))))))</f>
        <v/>
      </c>
      <c r="M541" s="20"/>
    </row>
    <row r="542" customFormat="false" ht="15" hidden="false" customHeight="false" outlineLevel="0" collapsed="false">
      <c r="A542" s="21"/>
      <c r="B542" s="33" t="n">
        <f aca="false">IF($A542="",0,INT(($A542-Macrociclo!$C$11)/7)+1)</f>
        <v>0</v>
      </c>
      <c r="C542" s="20"/>
      <c r="D542" s="20"/>
      <c r="E542" s="22"/>
      <c r="F542" s="22"/>
      <c r="G542" s="48" t="n">
        <f aca="false">IF(OR($E542="",$F542=""),0,$E542*$F542)</f>
        <v>0</v>
      </c>
      <c r="H542" s="48" t="n">
        <f aca="false">IF($A542="",0,SUMIFS($G$8:$G$1007,$C$8:$C$1007,$C542,$A$8:$A$1007,"&gt;="&amp;$A542-6,$A$8:$A$1007,"&lt;="&amp;$A542))</f>
        <v>0</v>
      </c>
      <c r="I542" s="48" t="n">
        <f aca="false">IF($A542="",0,SUMIFS($G$8:$G$1007,$C$8:$C$1007,$C542,$A$8:$A$1007,"&gt;="&amp;$A542-27,$A$8:$A$1007,"&lt;="&amp;$A542)/4)</f>
        <v>0</v>
      </c>
      <c r="J542" s="67" t="n">
        <f aca="false">IF(OR($A542="",$I542=0),0,$H542/$I542)</f>
        <v>0</v>
      </c>
      <c r="K542" s="33" t="n">
        <f aca="false">IF($A542="",0,$A542-SUMPRODUCT(MIN(($C$8:$C$1007=$C542)*$A$8:$A$1007+($C$8:$C$1007&lt;&gt;$C542)*100000))+1)</f>
        <v>0</v>
      </c>
      <c r="L542" s="19" t="str">
        <f aca="false">IF($A542="","",IF($J542=0,"Sem registro anterior",IF($K542&lt;21,"Histórico insuficiente",IF($J542&lt;0.8,"Subcarga",IF($J542&lt;=1.3,"Zona ideal",IF($J542&lt;=1.5,"Atenção","Risco elevado"))))))</f>
        <v/>
      </c>
      <c r="M542" s="20"/>
    </row>
    <row r="543" customFormat="false" ht="15" hidden="false" customHeight="false" outlineLevel="0" collapsed="false">
      <c r="A543" s="21"/>
      <c r="B543" s="33" t="n">
        <f aca="false">IF($A543="",0,INT(($A543-Macrociclo!$C$11)/7)+1)</f>
        <v>0</v>
      </c>
      <c r="C543" s="20"/>
      <c r="D543" s="20"/>
      <c r="E543" s="22"/>
      <c r="F543" s="22"/>
      <c r="G543" s="48" t="n">
        <f aca="false">IF(OR($E543="",$F543=""),0,$E543*$F543)</f>
        <v>0</v>
      </c>
      <c r="H543" s="48" t="n">
        <f aca="false">IF($A543="",0,SUMIFS($G$8:$G$1007,$C$8:$C$1007,$C543,$A$8:$A$1007,"&gt;="&amp;$A543-6,$A$8:$A$1007,"&lt;="&amp;$A543))</f>
        <v>0</v>
      </c>
      <c r="I543" s="48" t="n">
        <f aca="false">IF($A543="",0,SUMIFS($G$8:$G$1007,$C$8:$C$1007,$C543,$A$8:$A$1007,"&gt;="&amp;$A543-27,$A$8:$A$1007,"&lt;="&amp;$A543)/4)</f>
        <v>0</v>
      </c>
      <c r="J543" s="67" t="n">
        <f aca="false">IF(OR($A543="",$I543=0),0,$H543/$I543)</f>
        <v>0</v>
      </c>
      <c r="K543" s="33" t="n">
        <f aca="false">IF($A543="",0,$A543-SUMPRODUCT(MIN(($C$8:$C$1007=$C543)*$A$8:$A$1007+($C$8:$C$1007&lt;&gt;$C543)*100000))+1)</f>
        <v>0</v>
      </c>
      <c r="L543" s="19" t="str">
        <f aca="false">IF($A543="","",IF($J543=0,"Sem registro anterior",IF($K543&lt;21,"Histórico insuficiente",IF($J543&lt;0.8,"Subcarga",IF($J543&lt;=1.3,"Zona ideal",IF($J543&lt;=1.5,"Atenção","Risco elevado"))))))</f>
        <v/>
      </c>
      <c r="M543" s="20"/>
    </row>
    <row r="544" customFormat="false" ht="15" hidden="false" customHeight="false" outlineLevel="0" collapsed="false">
      <c r="A544" s="21"/>
      <c r="B544" s="33" t="n">
        <f aca="false">IF($A544="",0,INT(($A544-Macrociclo!$C$11)/7)+1)</f>
        <v>0</v>
      </c>
      <c r="C544" s="20"/>
      <c r="D544" s="20"/>
      <c r="E544" s="22"/>
      <c r="F544" s="22"/>
      <c r="G544" s="48" t="n">
        <f aca="false">IF(OR($E544="",$F544=""),0,$E544*$F544)</f>
        <v>0</v>
      </c>
      <c r="H544" s="48" t="n">
        <f aca="false">IF($A544="",0,SUMIFS($G$8:$G$1007,$C$8:$C$1007,$C544,$A$8:$A$1007,"&gt;="&amp;$A544-6,$A$8:$A$1007,"&lt;="&amp;$A544))</f>
        <v>0</v>
      </c>
      <c r="I544" s="48" t="n">
        <f aca="false">IF($A544="",0,SUMIFS($G$8:$G$1007,$C$8:$C$1007,$C544,$A$8:$A$1007,"&gt;="&amp;$A544-27,$A$8:$A$1007,"&lt;="&amp;$A544)/4)</f>
        <v>0</v>
      </c>
      <c r="J544" s="67" t="n">
        <f aca="false">IF(OR($A544="",$I544=0),0,$H544/$I544)</f>
        <v>0</v>
      </c>
      <c r="K544" s="33" t="n">
        <f aca="false">IF($A544="",0,$A544-SUMPRODUCT(MIN(($C$8:$C$1007=$C544)*$A$8:$A$1007+($C$8:$C$1007&lt;&gt;$C544)*100000))+1)</f>
        <v>0</v>
      </c>
      <c r="L544" s="19" t="str">
        <f aca="false">IF($A544="","",IF($J544=0,"Sem registro anterior",IF($K544&lt;21,"Histórico insuficiente",IF($J544&lt;0.8,"Subcarga",IF($J544&lt;=1.3,"Zona ideal",IF($J544&lt;=1.5,"Atenção","Risco elevado"))))))</f>
        <v/>
      </c>
      <c r="M544" s="20"/>
    </row>
    <row r="545" customFormat="false" ht="15" hidden="false" customHeight="false" outlineLevel="0" collapsed="false">
      <c r="A545" s="21"/>
      <c r="B545" s="33" t="n">
        <f aca="false">IF($A545="",0,INT(($A545-Macrociclo!$C$11)/7)+1)</f>
        <v>0</v>
      </c>
      <c r="C545" s="20"/>
      <c r="D545" s="20"/>
      <c r="E545" s="22"/>
      <c r="F545" s="22"/>
      <c r="G545" s="48" t="n">
        <f aca="false">IF(OR($E545="",$F545=""),0,$E545*$F545)</f>
        <v>0</v>
      </c>
      <c r="H545" s="48" t="n">
        <f aca="false">IF($A545="",0,SUMIFS($G$8:$G$1007,$C$8:$C$1007,$C545,$A$8:$A$1007,"&gt;="&amp;$A545-6,$A$8:$A$1007,"&lt;="&amp;$A545))</f>
        <v>0</v>
      </c>
      <c r="I545" s="48" t="n">
        <f aca="false">IF($A545="",0,SUMIFS($G$8:$G$1007,$C$8:$C$1007,$C545,$A$8:$A$1007,"&gt;="&amp;$A545-27,$A$8:$A$1007,"&lt;="&amp;$A545)/4)</f>
        <v>0</v>
      </c>
      <c r="J545" s="67" t="n">
        <f aca="false">IF(OR($A545="",$I545=0),0,$H545/$I545)</f>
        <v>0</v>
      </c>
      <c r="K545" s="33" t="n">
        <f aca="false">IF($A545="",0,$A545-SUMPRODUCT(MIN(($C$8:$C$1007=$C545)*$A$8:$A$1007+($C$8:$C$1007&lt;&gt;$C545)*100000))+1)</f>
        <v>0</v>
      </c>
      <c r="L545" s="19" t="str">
        <f aca="false">IF($A545="","",IF($J545=0,"Sem registro anterior",IF($K545&lt;21,"Histórico insuficiente",IF($J545&lt;0.8,"Subcarga",IF($J545&lt;=1.3,"Zona ideal",IF($J545&lt;=1.5,"Atenção","Risco elevado"))))))</f>
        <v/>
      </c>
      <c r="M545" s="20"/>
    </row>
    <row r="546" customFormat="false" ht="15" hidden="false" customHeight="false" outlineLevel="0" collapsed="false">
      <c r="A546" s="21"/>
      <c r="B546" s="33" t="n">
        <f aca="false">IF($A546="",0,INT(($A546-Macrociclo!$C$11)/7)+1)</f>
        <v>0</v>
      </c>
      <c r="C546" s="20"/>
      <c r="D546" s="20"/>
      <c r="E546" s="22"/>
      <c r="F546" s="22"/>
      <c r="G546" s="48" t="n">
        <f aca="false">IF(OR($E546="",$F546=""),0,$E546*$F546)</f>
        <v>0</v>
      </c>
      <c r="H546" s="48" t="n">
        <f aca="false">IF($A546="",0,SUMIFS($G$8:$G$1007,$C$8:$C$1007,$C546,$A$8:$A$1007,"&gt;="&amp;$A546-6,$A$8:$A$1007,"&lt;="&amp;$A546))</f>
        <v>0</v>
      </c>
      <c r="I546" s="48" t="n">
        <f aca="false">IF($A546="",0,SUMIFS($G$8:$G$1007,$C$8:$C$1007,$C546,$A$8:$A$1007,"&gt;="&amp;$A546-27,$A$8:$A$1007,"&lt;="&amp;$A546)/4)</f>
        <v>0</v>
      </c>
      <c r="J546" s="67" t="n">
        <f aca="false">IF(OR($A546="",$I546=0),0,$H546/$I546)</f>
        <v>0</v>
      </c>
      <c r="K546" s="33" t="n">
        <f aca="false">IF($A546="",0,$A546-SUMPRODUCT(MIN(($C$8:$C$1007=$C546)*$A$8:$A$1007+($C$8:$C$1007&lt;&gt;$C546)*100000))+1)</f>
        <v>0</v>
      </c>
      <c r="L546" s="19" t="str">
        <f aca="false">IF($A546="","",IF($J546=0,"Sem registro anterior",IF($K546&lt;21,"Histórico insuficiente",IF($J546&lt;0.8,"Subcarga",IF($J546&lt;=1.3,"Zona ideal",IF($J546&lt;=1.5,"Atenção","Risco elevado"))))))</f>
        <v/>
      </c>
      <c r="M546" s="20"/>
    </row>
    <row r="547" customFormat="false" ht="15" hidden="false" customHeight="false" outlineLevel="0" collapsed="false">
      <c r="A547" s="21"/>
      <c r="B547" s="33" t="n">
        <f aca="false">IF($A547="",0,INT(($A547-Macrociclo!$C$11)/7)+1)</f>
        <v>0</v>
      </c>
      <c r="C547" s="20"/>
      <c r="D547" s="20"/>
      <c r="E547" s="22"/>
      <c r="F547" s="22"/>
      <c r="G547" s="48" t="n">
        <f aca="false">IF(OR($E547="",$F547=""),0,$E547*$F547)</f>
        <v>0</v>
      </c>
      <c r="H547" s="48" t="n">
        <f aca="false">IF($A547="",0,SUMIFS($G$8:$G$1007,$C$8:$C$1007,$C547,$A$8:$A$1007,"&gt;="&amp;$A547-6,$A$8:$A$1007,"&lt;="&amp;$A547))</f>
        <v>0</v>
      </c>
      <c r="I547" s="48" t="n">
        <f aca="false">IF($A547="",0,SUMIFS($G$8:$G$1007,$C$8:$C$1007,$C547,$A$8:$A$1007,"&gt;="&amp;$A547-27,$A$8:$A$1007,"&lt;="&amp;$A547)/4)</f>
        <v>0</v>
      </c>
      <c r="J547" s="67" t="n">
        <f aca="false">IF(OR($A547="",$I547=0),0,$H547/$I547)</f>
        <v>0</v>
      </c>
      <c r="K547" s="33" t="n">
        <f aca="false">IF($A547="",0,$A547-SUMPRODUCT(MIN(($C$8:$C$1007=$C547)*$A$8:$A$1007+($C$8:$C$1007&lt;&gt;$C547)*100000))+1)</f>
        <v>0</v>
      </c>
      <c r="L547" s="19" t="str">
        <f aca="false">IF($A547="","",IF($J547=0,"Sem registro anterior",IF($K547&lt;21,"Histórico insuficiente",IF($J547&lt;0.8,"Subcarga",IF($J547&lt;=1.3,"Zona ideal",IF($J547&lt;=1.5,"Atenção","Risco elevado"))))))</f>
        <v/>
      </c>
      <c r="M547" s="20"/>
    </row>
    <row r="548" customFormat="false" ht="15" hidden="false" customHeight="false" outlineLevel="0" collapsed="false">
      <c r="A548" s="21"/>
      <c r="B548" s="33" t="n">
        <f aca="false">IF($A548="",0,INT(($A548-Macrociclo!$C$11)/7)+1)</f>
        <v>0</v>
      </c>
      <c r="C548" s="20"/>
      <c r="D548" s="20"/>
      <c r="E548" s="22"/>
      <c r="F548" s="22"/>
      <c r="G548" s="48" t="n">
        <f aca="false">IF(OR($E548="",$F548=""),0,$E548*$F548)</f>
        <v>0</v>
      </c>
      <c r="H548" s="48" t="n">
        <f aca="false">IF($A548="",0,SUMIFS($G$8:$G$1007,$C$8:$C$1007,$C548,$A$8:$A$1007,"&gt;="&amp;$A548-6,$A$8:$A$1007,"&lt;="&amp;$A548))</f>
        <v>0</v>
      </c>
      <c r="I548" s="48" t="n">
        <f aca="false">IF($A548="",0,SUMIFS($G$8:$G$1007,$C$8:$C$1007,$C548,$A$8:$A$1007,"&gt;="&amp;$A548-27,$A$8:$A$1007,"&lt;="&amp;$A548)/4)</f>
        <v>0</v>
      </c>
      <c r="J548" s="67" t="n">
        <f aca="false">IF(OR($A548="",$I548=0),0,$H548/$I548)</f>
        <v>0</v>
      </c>
      <c r="K548" s="33" t="n">
        <f aca="false">IF($A548="",0,$A548-SUMPRODUCT(MIN(($C$8:$C$1007=$C548)*$A$8:$A$1007+($C$8:$C$1007&lt;&gt;$C548)*100000))+1)</f>
        <v>0</v>
      </c>
      <c r="L548" s="19" t="str">
        <f aca="false">IF($A548="","",IF($J548=0,"Sem registro anterior",IF($K548&lt;21,"Histórico insuficiente",IF($J548&lt;0.8,"Subcarga",IF($J548&lt;=1.3,"Zona ideal",IF($J548&lt;=1.5,"Atenção","Risco elevado"))))))</f>
        <v/>
      </c>
      <c r="M548" s="20"/>
    </row>
    <row r="549" customFormat="false" ht="15" hidden="false" customHeight="false" outlineLevel="0" collapsed="false">
      <c r="A549" s="21"/>
      <c r="B549" s="33" t="n">
        <f aca="false">IF($A549="",0,INT(($A549-Macrociclo!$C$11)/7)+1)</f>
        <v>0</v>
      </c>
      <c r="C549" s="20"/>
      <c r="D549" s="20"/>
      <c r="E549" s="22"/>
      <c r="F549" s="22"/>
      <c r="G549" s="48" t="n">
        <f aca="false">IF(OR($E549="",$F549=""),0,$E549*$F549)</f>
        <v>0</v>
      </c>
      <c r="H549" s="48" t="n">
        <f aca="false">IF($A549="",0,SUMIFS($G$8:$G$1007,$C$8:$C$1007,$C549,$A$8:$A$1007,"&gt;="&amp;$A549-6,$A$8:$A$1007,"&lt;="&amp;$A549))</f>
        <v>0</v>
      </c>
      <c r="I549" s="48" t="n">
        <f aca="false">IF($A549="",0,SUMIFS($G$8:$G$1007,$C$8:$C$1007,$C549,$A$8:$A$1007,"&gt;="&amp;$A549-27,$A$8:$A$1007,"&lt;="&amp;$A549)/4)</f>
        <v>0</v>
      </c>
      <c r="J549" s="67" t="n">
        <f aca="false">IF(OR($A549="",$I549=0),0,$H549/$I549)</f>
        <v>0</v>
      </c>
      <c r="K549" s="33" t="n">
        <f aca="false">IF($A549="",0,$A549-SUMPRODUCT(MIN(($C$8:$C$1007=$C549)*$A$8:$A$1007+($C$8:$C$1007&lt;&gt;$C549)*100000))+1)</f>
        <v>0</v>
      </c>
      <c r="L549" s="19" t="str">
        <f aca="false">IF($A549="","",IF($J549=0,"Sem registro anterior",IF($K549&lt;21,"Histórico insuficiente",IF($J549&lt;0.8,"Subcarga",IF($J549&lt;=1.3,"Zona ideal",IF($J549&lt;=1.5,"Atenção","Risco elevado"))))))</f>
        <v/>
      </c>
      <c r="M549" s="20"/>
    </row>
    <row r="550" customFormat="false" ht="15" hidden="false" customHeight="false" outlineLevel="0" collapsed="false">
      <c r="A550" s="21"/>
      <c r="B550" s="33" t="n">
        <f aca="false">IF($A550="",0,INT(($A550-Macrociclo!$C$11)/7)+1)</f>
        <v>0</v>
      </c>
      <c r="C550" s="20"/>
      <c r="D550" s="20"/>
      <c r="E550" s="22"/>
      <c r="F550" s="22"/>
      <c r="G550" s="48" t="n">
        <f aca="false">IF(OR($E550="",$F550=""),0,$E550*$F550)</f>
        <v>0</v>
      </c>
      <c r="H550" s="48" t="n">
        <f aca="false">IF($A550="",0,SUMIFS($G$8:$G$1007,$C$8:$C$1007,$C550,$A$8:$A$1007,"&gt;="&amp;$A550-6,$A$8:$A$1007,"&lt;="&amp;$A550))</f>
        <v>0</v>
      </c>
      <c r="I550" s="48" t="n">
        <f aca="false">IF($A550="",0,SUMIFS($G$8:$G$1007,$C$8:$C$1007,$C550,$A$8:$A$1007,"&gt;="&amp;$A550-27,$A$8:$A$1007,"&lt;="&amp;$A550)/4)</f>
        <v>0</v>
      </c>
      <c r="J550" s="67" t="n">
        <f aca="false">IF(OR($A550="",$I550=0),0,$H550/$I550)</f>
        <v>0</v>
      </c>
      <c r="K550" s="33" t="n">
        <f aca="false">IF($A550="",0,$A550-SUMPRODUCT(MIN(($C$8:$C$1007=$C550)*$A$8:$A$1007+($C$8:$C$1007&lt;&gt;$C550)*100000))+1)</f>
        <v>0</v>
      </c>
      <c r="L550" s="19" t="str">
        <f aca="false">IF($A550="","",IF($J550=0,"Sem registro anterior",IF($K550&lt;21,"Histórico insuficiente",IF($J550&lt;0.8,"Subcarga",IF($J550&lt;=1.3,"Zona ideal",IF($J550&lt;=1.5,"Atenção","Risco elevado"))))))</f>
        <v/>
      </c>
      <c r="M550" s="20"/>
    </row>
    <row r="551" customFormat="false" ht="15" hidden="false" customHeight="false" outlineLevel="0" collapsed="false">
      <c r="A551" s="21"/>
      <c r="B551" s="33" t="n">
        <f aca="false">IF($A551="",0,INT(($A551-Macrociclo!$C$11)/7)+1)</f>
        <v>0</v>
      </c>
      <c r="C551" s="20"/>
      <c r="D551" s="20"/>
      <c r="E551" s="22"/>
      <c r="F551" s="22"/>
      <c r="G551" s="48" t="n">
        <f aca="false">IF(OR($E551="",$F551=""),0,$E551*$F551)</f>
        <v>0</v>
      </c>
      <c r="H551" s="48" t="n">
        <f aca="false">IF($A551="",0,SUMIFS($G$8:$G$1007,$C$8:$C$1007,$C551,$A$8:$A$1007,"&gt;="&amp;$A551-6,$A$8:$A$1007,"&lt;="&amp;$A551))</f>
        <v>0</v>
      </c>
      <c r="I551" s="48" t="n">
        <f aca="false">IF($A551="",0,SUMIFS($G$8:$G$1007,$C$8:$C$1007,$C551,$A$8:$A$1007,"&gt;="&amp;$A551-27,$A$8:$A$1007,"&lt;="&amp;$A551)/4)</f>
        <v>0</v>
      </c>
      <c r="J551" s="67" t="n">
        <f aca="false">IF(OR($A551="",$I551=0),0,$H551/$I551)</f>
        <v>0</v>
      </c>
      <c r="K551" s="33" t="n">
        <f aca="false">IF($A551="",0,$A551-SUMPRODUCT(MIN(($C$8:$C$1007=$C551)*$A$8:$A$1007+($C$8:$C$1007&lt;&gt;$C551)*100000))+1)</f>
        <v>0</v>
      </c>
      <c r="L551" s="19" t="str">
        <f aca="false">IF($A551="","",IF($J551=0,"Sem registro anterior",IF($K551&lt;21,"Histórico insuficiente",IF($J551&lt;0.8,"Subcarga",IF($J551&lt;=1.3,"Zona ideal",IF($J551&lt;=1.5,"Atenção","Risco elevado"))))))</f>
        <v/>
      </c>
      <c r="M551" s="20"/>
    </row>
    <row r="552" customFormat="false" ht="15" hidden="false" customHeight="false" outlineLevel="0" collapsed="false">
      <c r="A552" s="21"/>
      <c r="B552" s="33" t="n">
        <f aca="false">IF($A552="",0,INT(($A552-Macrociclo!$C$11)/7)+1)</f>
        <v>0</v>
      </c>
      <c r="C552" s="20"/>
      <c r="D552" s="20"/>
      <c r="E552" s="22"/>
      <c r="F552" s="22"/>
      <c r="G552" s="48" t="n">
        <f aca="false">IF(OR($E552="",$F552=""),0,$E552*$F552)</f>
        <v>0</v>
      </c>
      <c r="H552" s="48" t="n">
        <f aca="false">IF($A552="",0,SUMIFS($G$8:$G$1007,$C$8:$C$1007,$C552,$A$8:$A$1007,"&gt;="&amp;$A552-6,$A$8:$A$1007,"&lt;="&amp;$A552))</f>
        <v>0</v>
      </c>
      <c r="I552" s="48" t="n">
        <f aca="false">IF($A552="",0,SUMIFS($G$8:$G$1007,$C$8:$C$1007,$C552,$A$8:$A$1007,"&gt;="&amp;$A552-27,$A$8:$A$1007,"&lt;="&amp;$A552)/4)</f>
        <v>0</v>
      </c>
      <c r="J552" s="67" t="n">
        <f aca="false">IF(OR($A552="",$I552=0),0,$H552/$I552)</f>
        <v>0</v>
      </c>
      <c r="K552" s="33" t="n">
        <f aca="false">IF($A552="",0,$A552-SUMPRODUCT(MIN(($C$8:$C$1007=$C552)*$A$8:$A$1007+($C$8:$C$1007&lt;&gt;$C552)*100000))+1)</f>
        <v>0</v>
      </c>
      <c r="L552" s="19" t="str">
        <f aca="false">IF($A552="","",IF($J552=0,"Sem registro anterior",IF($K552&lt;21,"Histórico insuficiente",IF($J552&lt;0.8,"Subcarga",IF($J552&lt;=1.3,"Zona ideal",IF($J552&lt;=1.5,"Atenção","Risco elevado"))))))</f>
        <v/>
      </c>
      <c r="M552" s="20"/>
    </row>
    <row r="553" customFormat="false" ht="15" hidden="false" customHeight="false" outlineLevel="0" collapsed="false">
      <c r="A553" s="21"/>
      <c r="B553" s="33" t="n">
        <f aca="false">IF($A553="",0,INT(($A553-Macrociclo!$C$11)/7)+1)</f>
        <v>0</v>
      </c>
      <c r="C553" s="20"/>
      <c r="D553" s="20"/>
      <c r="E553" s="22"/>
      <c r="F553" s="22"/>
      <c r="G553" s="48" t="n">
        <f aca="false">IF(OR($E553="",$F553=""),0,$E553*$F553)</f>
        <v>0</v>
      </c>
      <c r="H553" s="48" t="n">
        <f aca="false">IF($A553="",0,SUMIFS($G$8:$G$1007,$C$8:$C$1007,$C553,$A$8:$A$1007,"&gt;="&amp;$A553-6,$A$8:$A$1007,"&lt;="&amp;$A553))</f>
        <v>0</v>
      </c>
      <c r="I553" s="48" t="n">
        <f aca="false">IF($A553="",0,SUMIFS($G$8:$G$1007,$C$8:$C$1007,$C553,$A$8:$A$1007,"&gt;="&amp;$A553-27,$A$8:$A$1007,"&lt;="&amp;$A553)/4)</f>
        <v>0</v>
      </c>
      <c r="J553" s="67" t="n">
        <f aca="false">IF(OR($A553="",$I553=0),0,$H553/$I553)</f>
        <v>0</v>
      </c>
      <c r="K553" s="33" t="n">
        <f aca="false">IF($A553="",0,$A553-SUMPRODUCT(MIN(($C$8:$C$1007=$C553)*$A$8:$A$1007+($C$8:$C$1007&lt;&gt;$C553)*100000))+1)</f>
        <v>0</v>
      </c>
      <c r="L553" s="19" t="str">
        <f aca="false">IF($A553="","",IF($J553=0,"Sem registro anterior",IF($K553&lt;21,"Histórico insuficiente",IF($J553&lt;0.8,"Subcarga",IF($J553&lt;=1.3,"Zona ideal",IF($J553&lt;=1.5,"Atenção","Risco elevado"))))))</f>
        <v/>
      </c>
      <c r="M553" s="20"/>
    </row>
    <row r="554" customFormat="false" ht="15" hidden="false" customHeight="false" outlineLevel="0" collapsed="false">
      <c r="A554" s="21"/>
      <c r="B554" s="33" t="n">
        <f aca="false">IF($A554="",0,INT(($A554-Macrociclo!$C$11)/7)+1)</f>
        <v>0</v>
      </c>
      <c r="C554" s="20"/>
      <c r="D554" s="20"/>
      <c r="E554" s="22"/>
      <c r="F554" s="22"/>
      <c r="G554" s="48" t="n">
        <f aca="false">IF(OR($E554="",$F554=""),0,$E554*$F554)</f>
        <v>0</v>
      </c>
      <c r="H554" s="48" t="n">
        <f aca="false">IF($A554="",0,SUMIFS($G$8:$G$1007,$C$8:$C$1007,$C554,$A$8:$A$1007,"&gt;="&amp;$A554-6,$A$8:$A$1007,"&lt;="&amp;$A554))</f>
        <v>0</v>
      </c>
      <c r="I554" s="48" t="n">
        <f aca="false">IF($A554="",0,SUMIFS($G$8:$G$1007,$C$8:$C$1007,$C554,$A$8:$A$1007,"&gt;="&amp;$A554-27,$A$8:$A$1007,"&lt;="&amp;$A554)/4)</f>
        <v>0</v>
      </c>
      <c r="J554" s="67" t="n">
        <f aca="false">IF(OR($A554="",$I554=0),0,$H554/$I554)</f>
        <v>0</v>
      </c>
      <c r="K554" s="33" t="n">
        <f aca="false">IF($A554="",0,$A554-SUMPRODUCT(MIN(($C$8:$C$1007=$C554)*$A$8:$A$1007+($C$8:$C$1007&lt;&gt;$C554)*100000))+1)</f>
        <v>0</v>
      </c>
      <c r="L554" s="19" t="str">
        <f aca="false">IF($A554="","",IF($J554=0,"Sem registro anterior",IF($K554&lt;21,"Histórico insuficiente",IF($J554&lt;0.8,"Subcarga",IF($J554&lt;=1.3,"Zona ideal",IF($J554&lt;=1.5,"Atenção","Risco elevado"))))))</f>
        <v/>
      </c>
      <c r="M554" s="20"/>
    </row>
    <row r="555" customFormat="false" ht="15" hidden="false" customHeight="false" outlineLevel="0" collapsed="false">
      <c r="A555" s="21"/>
      <c r="B555" s="33" t="n">
        <f aca="false">IF($A555="",0,INT(($A555-Macrociclo!$C$11)/7)+1)</f>
        <v>0</v>
      </c>
      <c r="C555" s="20"/>
      <c r="D555" s="20"/>
      <c r="E555" s="22"/>
      <c r="F555" s="22"/>
      <c r="G555" s="48" t="n">
        <f aca="false">IF(OR($E555="",$F555=""),0,$E555*$F555)</f>
        <v>0</v>
      </c>
      <c r="H555" s="48" t="n">
        <f aca="false">IF($A555="",0,SUMIFS($G$8:$G$1007,$C$8:$C$1007,$C555,$A$8:$A$1007,"&gt;="&amp;$A555-6,$A$8:$A$1007,"&lt;="&amp;$A555))</f>
        <v>0</v>
      </c>
      <c r="I555" s="48" t="n">
        <f aca="false">IF($A555="",0,SUMIFS($G$8:$G$1007,$C$8:$C$1007,$C555,$A$8:$A$1007,"&gt;="&amp;$A555-27,$A$8:$A$1007,"&lt;="&amp;$A555)/4)</f>
        <v>0</v>
      </c>
      <c r="J555" s="67" t="n">
        <f aca="false">IF(OR($A555="",$I555=0),0,$H555/$I555)</f>
        <v>0</v>
      </c>
      <c r="K555" s="33" t="n">
        <f aca="false">IF($A555="",0,$A555-SUMPRODUCT(MIN(($C$8:$C$1007=$C555)*$A$8:$A$1007+($C$8:$C$1007&lt;&gt;$C555)*100000))+1)</f>
        <v>0</v>
      </c>
      <c r="L555" s="19" t="str">
        <f aca="false">IF($A555="","",IF($J555=0,"Sem registro anterior",IF($K555&lt;21,"Histórico insuficiente",IF($J555&lt;0.8,"Subcarga",IF($J555&lt;=1.3,"Zona ideal",IF($J555&lt;=1.5,"Atenção","Risco elevado"))))))</f>
        <v/>
      </c>
      <c r="M555" s="20"/>
    </row>
    <row r="556" customFormat="false" ht="15" hidden="false" customHeight="false" outlineLevel="0" collapsed="false">
      <c r="A556" s="21"/>
      <c r="B556" s="33" t="n">
        <f aca="false">IF($A556="",0,INT(($A556-Macrociclo!$C$11)/7)+1)</f>
        <v>0</v>
      </c>
      <c r="C556" s="20"/>
      <c r="D556" s="20"/>
      <c r="E556" s="22"/>
      <c r="F556" s="22"/>
      <c r="G556" s="48" t="n">
        <f aca="false">IF(OR($E556="",$F556=""),0,$E556*$F556)</f>
        <v>0</v>
      </c>
      <c r="H556" s="48" t="n">
        <f aca="false">IF($A556="",0,SUMIFS($G$8:$G$1007,$C$8:$C$1007,$C556,$A$8:$A$1007,"&gt;="&amp;$A556-6,$A$8:$A$1007,"&lt;="&amp;$A556))</f>
        <v>0</v>
      </c>
      <c r="I556" s="48" t="n">
        <f aca="false">IF($A556="",0,SUMIFS($G$8:$G$1007,$C$8:$C$1007,$C556,$A$8:$A$1007,"&gt;="&amp;$A556-27,$A$8:$A$1007,"&lt;="&amp;$A556)/4)</f>
        <v>0</v>
      </c>
      <c r="J556" s="67" t="n">
        <f aca="false">IF(OR($A556="",$I556=0),0,$H556/$I556)</f>
        <v>0</v>
      </c>
      <c r="K556" s="33" t="n">
        <f aca="false">IF($A556="",0,$A556-SUMPRODUCT(MIN(($C$8:$C$1007=$C556)*$A$8:$A$1007+($C$8:$C$1007&lt;&gt;$C556)*100000))+1)</f>
        <v>0</v>
      </c>
      <c r="L556" s="19" t="str">
        <f aca="false">IF($A556="","",IF($J556=0,"Sem registro anterior",IF($K556&lt;21,"Histórico insuficiente",IF($J556&lt;0.8,"Subcarga",IF($J556&lt;=1.3,"Zona ideal",IF($J556&lt;=1.5,"Atenção","Risco elevado"))))))</f>
        <v/>
      </c>
      <c r="M556" s="20"/>
    </row>
    <row r="557" customFormat="false" ht="15" hidden="false" customHeight="false" outlineLevel="0" collapsed="false">
      <c r="A557" s="21"/>
      <c r="B557" s="33" t="n">
        <f aca="false">IF($A557="",0,INT(($A557-Macrociclo!$C$11)/7)+1)</f>
        <v>0</v>
      </c>
      <c r="C557" s="20"/>
      <c r="D557" s="20"/>
      <c r="E557" s="22"/>
      <c r="F557" s="22"/>
      <c r="G557" s="48" t="n">
        <f aca="false">IF(OR($E557="",$F557=""),0,$E557*$F557)</f>
        <v>0</v>
      </c>
      <c r="H557" s="48" t="n">
        <f aca="false">IF($A557="",0,SUMIFS($G$8:$G$1007,$C$8:$C$1007,$C557,$A$8:$A$1007,"&gt;="&amp;$A557-6,$A$8:$A$1007,"&lt;="&amp;$A557))</f>
        <v>0</v>
      </c>
      <c r="I557" s="48" t="n">
        <f aca="false">IF($A557="",0,SUMIFS($G$8:$G$1007,$C$8:$C$1007,$C557,$A$8:$A$1007,"&gt;="&amp;$A557-27,$A$8:$A$1007,"&lt;="&amp;$A557)/4)</f>
        <v>0</v>
      </c>
      <c r="J557" s="67" t="n">
        <f aca="false">IF(OR($A557="",$I557=0),0,$H557/$I557)</f>
        <v>0</v>
      </c>
      <c r="K557" s="33" t="n">
        <f aca="false">IF($A557="",0,$A557-SUMPRODUCT(MIN(($C$8:$C$1007=$C557)*$A$8:$A$1007+($C$8:$C$1007&lt;&gt;$C557)*100000))+1)</f>
        <v>0</v>
      </c>
      <c r="L557" s="19" t="str">
        <f aca="false">IF($A557="","",IF($J557=0,"Sem registro anterior",IF($K557&lt;21,"Histórico insuficiente",IF($J557&lt;0.8,"Subcarga",IF($J557&lt;=1.3,"Zona ideal",IF($J557&lt;=1.5,"Atenção","Risco elevado"))))))</f>
        <v/>
      </c>
      <c r="M557" s="20"/>
    </row>
    <row r="558" customFormat="false" ht="15" hidden="false" customHeight="false" outlineLevel="0" collapsed="false">
      <c r="A558" s="21"/>
      <c r="B558" s="33" t="n">
        <f aca="false">IF($A558="",0,INT(($A558-Macrociclo!$C$11)/7)+1)</f>
        <v>0</v>
      </c>
      <c r="C558" s="20"/>
      <c r="D558" s="20"/>
      <c r="E558" s="22"/>
      <c r="F558" s="22"/>
      <c r="G558" s="48" t="n">
        <f aca="false">IF(OR($E558="",$F558=""),0,$E558*$F558)</f>
        <v>0</v>
      </c>
      <c r="H558" s="48" t="n">
        <f aca="false">IF($A558="",0,SUMIFS($G$8:$G$1007,$C$8:$C$1007,$C558,$A$8:$A$1007,"&gt;="&amp;$A558-6,$A$8:$A$1007,"&lt;="&amp;$A558))</f>
        <v>0</v>
      </c>
      <c r="I558" s="48" t="n">
        <f aca="false">IF($A558="",0,SUMIFS($G$8:$G$1007,$C$8:$C$1007,$C558,$A$8:$A$1007,"&gt;="&amp;$A558-27,$A$8:$A$1007,"&lt;="&amp;$A558)/4)</f>
        <v>0</v>
      </c>
      <c r="J558" s="67" t="n">
        <f aca="false">IF(OR($A558="",$I558=0),0,$H558/$I558)</f>
        <v>0</v>
      </c>
      <c r="K558" s="33" t="n">
        <f aca="false">IF($A558="",0,$A558-SUMPRODUCT(MIN(($C$8:$C$1007=$C558)*$A$8:$A$1007+($C$8:$C$1007&lt;&gt;$C558)*100000))+1)</f>
        <v>0</v>
      </c>
      <c r="L558" s="19" t="str">
        <f aca="false">IF($A558="","",IF($J558=0,"Sem registro anterior",IF($K558&lt;21,"Histórico insuficiente",IF($J558&lt;0.8,"Subcarga",IF($J558&lt;=1.3,"Zona ideal",IF($J558&lt;=1.5,"Atenção","Risco elevado"))))))</f>
        <v/>
      </c>
      <c r="M558" s="20"/>
    </row>
    <row r="559" customFormat="false" ht="15" hidden="false" customHeight="false" outlineLevel="0" collapsed="false">
      <c r="A559" s="21"/>
      <c r="B559" s="33" t="n">
        <f aca="false">IF($A559="",0,INT(($A559-Macrociclo!$C$11)/7)+1)</f>
        <v>0</v>
      </c>
      <c r="C559" s="20"/>
      <c r="D559" s="20"/>
      <c r="E559" s="22"/>
      <c r="F559" s="22"/>
      <c r="G559" s="48" t="n">
        <f aca="false">IF(OR($E559="",$F559=""),0,$E559*$F559)</f>
        <v>0</v>
      </c>
      <c r="H559" s="48" t="n">
        <f aca="false">IF($A559="",0,SUMIFS($G$8:$G$1007,$C$8:$C$1007,$C559,$A$8:$A$1007,"&gt;="&amp;$A559-6,$A$8:$A$1007,"&lt;="&amp;$A559))</f>
        <v>0</v>
      </c>
      <c r="I559" s="48" t="n">
        <f aca="false">IF($A559="",0,SUMIFS($G$8:$G$1007,$C$8:$C$1007,$C559,$A$8:$A$1007,"&gt;="&amp;$A559-27,$A$8:$A$1007,"&lt;="&amp;$A559)/4)</f>
        <v>0</v>
      </c>
      <c r="J559" s="67" t="n">
        <f aca="false">IF(OR($A559="",$I559=0),0,$H559/$I559)</f>
        <v>0</v>
      </c>
      <c r="K559" s="33" t="n">
        <f aca="false">IF($A559="",0,$A559-SUMPRODUCT(MIN(($C$8:$C$1007=$C559)*$A$8:$A$1007+($C$8:$C$1007&lt;&gt;$C559)*100000))+1)</f>
        <v>0</v>
      </c>
      <c r="L559" s="19" t="str">
        <f aca="false">IF($A559="","",IF($J559=0,"Sem registro anterior",IF($K559&lt;21,"Histórico insuficiente",IF($J559&lt;0.8,"Subcarga",IF($J559&lt;=1.3,"Zona ideal",IF($J559&lt;=1.5,"Atenção","Risco elevado"))))))</f>
        <v/>
      </c>
      <c r="M559" s="20"/>
    </row>
    <row r="560" customFormat="false" ht="15" hidden="false" customHeight="false" outlineLevel="0" collapsed="false">
      <c r="A560" s="21"/>
      <c r="B560" s="33" t="n">
        <f aca="false">IF($A560="",0,INT(($A560-Macrociclo!$C$11)/7)+1)</f>
        <v>0</v>
      </c>
      <c r="C560" s="20"/>
      <c r="D560" s="20"/>
      <c r="E560" s="22"/>
      <c r="F560" s="22"/>
      <c r="G560" s="48" t="n">
        <f aca="false">IF(OR($E560="",$F560=""),0,$E560*$F560)</f>
        <v>0</v>
      </c>
      <c r="H560" s="48" t="n">
        <f aca="false">IF($A560="",0,SUMIFS($G$8:$G$1007,$C$8:$C$1007,$C560,$A$8:$A$1007,"&gt;="&amp;$A560-6,$A$8:$A$1007,"&lt;="&amp;$A560))</f>
        <v>0</v>
      </c>
      <c r="I560" s="48" t="n">
        <f aca="false">IF($A560="",0,SUMIFS($G$8:$G$1007,$C$8:$C$1007,$C560,$A$8:$A$1007,"&gt;="&amp;$A560-27,$A$8:$A$1007,"&lt;="&amp;$A560)/4)</f>
        <v>0</v>
      </c>
      <c r="J560" s="67" t="n">
        <f aca="false">IF(OR($A560="",$I560=0),0,$H560/$I560)</f>
        <v>0</v>
      </c>
      <c r="K560" s="33" t="n">
        <f aca="false">IF($A560="",0,$A560-SUMPRODUCT(MIN(($C$8:$C$1007=$C560)*$A$8:$A$1007+($C$8:$C$1007&lt;&gt;$C560)*100000))+1)</f>
        <v>0</v>
      </c>
      <c r="L560" s="19" t="str">
        <f aca="false">IF($A560="","",IF($J560=0,"Sem registro anterior",IF($K560&lt;21,"Histórico insuficiente",IF($J560&lt;0.8,"Subcarga",IF($J560&lt;=1.3,"Zona ideal",IF($J560&lt;=1.5,"Atenção","Risco elevado"))))))</f>
        <v/>
      </c>
      <c r="M560" s="20"/>
    </row>
    <row r="561" customFormat="false" ht="15" hidden="false" customHeight="false" outlineLevel="0" collapsed="false">
      <c r="A561" s="21"/>
      <c r="B561" s="33" t="n">
        <f aca="false">IF($A561="",0,INT(($A561-Macrociclo!$C$11)/7)+1)</f>
        <v>0</v>
      </c>
      <c r="C561" s="20"/>
      <c r="D561" s="20"/>
      <c r="E561" s="22"/>
      <c r="F561" s="22"/>
      <c r="G561" s="48" t="n">
        <f aca="false">IF(OR($E561="",$F561=""),0,$E561*$F561)</f>
        <v>0</v>
      </c>
      <c r="H561" s="48" t="n">
        <f aca="false">IF($A561="",0,SUMIFS($G$8:$G$1007,$C$8:$C$1007,$C561,$A$8:$A$1007,"&gt;="&amp;$A561-6,$A$8:$A$1007,"&lt;="&amp;$A561))</f>
        <v>0</v>
      </c>
      <c r="I561" s="48" t="n">
        <f aca="false">IF($A561="",0,SUMIFS($G$8:$G$1007,$C$8:$C$1007,$C561,$A$8:$A$1007,"&gt;="&amp;$A561-27,$A$8:$A$1007,"&lt;="&amp;$A561)/4)</f>
        <v>0</v>
      </c>
      <c r="J561" s="67" t="n">
        <f aca="false">IF(OR($A561="",$I561=0),0,$H561/$I561)</f>
        <v>0</v>
      </c>
      <c r="K561" s="33" t="n">
        <f aca="false">IF($A561="",0,$A561-SUMPRODUCT(MIN(($C$8:$C$1007=$C561)*$A$8:$A$1007+($C$8:$C$1007&lt;&gt;$C561)*100000))+1)</f>
        <v>0</v>
      </c>
      <c r="L561" s="19" t="str">
        <f aca="false">IF($A561="","",IF($J561=0,"Sem registro anterior",IF($K561&lt;21,"Histórico insuficiente",IF($J561&lt;0.8,"Subcarga",IF($J561&lt;=1.3,"Zona ideal",IF($J561&lt;=1.5,"Atenção","Risco elevado"))))))</f>
        <v/>
      </c>
      <c r="M561" s="20"/>
    </row>
    <row r="562" customFormat="false" ht="15" hidden="false" customHeight="false" outlineLevel="0" collapsed="false">
      <c r="A562" s="21"/>
      <c r="B562" s="33" t="n">
        <f aca="false">IF($A562="",0,INT(($A562-Macrociclo!$C$11)/7)+1)</f>
        <v>0</v>
      </c>
      <c r="C562" s="20"/>
      <c r="D562" s="20"/>
      <c r="E562" s="22"/>
      <c r="F562" s="22"/>
      <c r="G562" s="48" t="n">
        <f aca="false">IF(OR($E562="",$F562=""),0,$E562*$F562)</f>
        <v>0</v>
      </c>
      <c r="H562" s="48" t="n">
        <f aca="false">IF($A562="",0,SUMIFS($G$8:$G$1007,$C$8:$C$1007,$C562,$A$8:$A$1007,"&gt;="&amp;$A562-6,$A$8:$A$1007,"&lt;="&amp;$A562))</f>
        <v>0</v>
      </c>
      <c r="I562" s="48" t="n">
        <f aca="false">IF($A562="",0,SUMIFS($G$8:$G$1007,$C$8:$C$1007,$C562,$A$8:$A$1007,"&gt;="&amp;$A562-27,$A$8:$A$1007,"&lt;="&amp;$A562)/4)</f>
        <v>0</v>
      </c>
      <c r="J562" s="67" t="n">
        <f aca="false">IF(OR($A562="",$I562=0),0,$H562/$I562)</f>
        <v>0</v>
      </c>
      <c r="K562" s="33" t="n">
        <f aca="false">IF($A562="",0,$A562-SUMPRODUCT(MIN(($C$8:$C$1007=$C562)*$A$8:$A$1007+($C$8:$C$1007&lt;&gt;$C562)*100000))+1)</f>
        <v>0</v>
      </c>
      <c r="L562" s="19" t="str">
        <f aca="false">IF($A562="","",IF($J562=0,"Sem registro anterior",IF($K562&lt;21,"Histórico insuficiente",IF($J562&lt;0.8,"Subcarga",IF($J562&lt;=1.3,"Zona ideal",IF($J562&lt;=1.5,"Atenção","Risco elevado"))))))</f>
        <v/>
      </c>
      <c r="M562" s="20"/>
    </row>
    <row r="563" customFormat="false" ht="15" hidden="false" customHeight="false" outlineLevel="0" collapsed="false">
      <c r="A563" s="21"/>
      <c r="B563" s="33" t="n">
        <f aca="false">IF($A563="",0,INT(($A563-Macrociclo!$C$11)/7)+1)</f>
        <v>0</v>
      </c>
      <c r="C563" s="20"/>
      <c r="D563" s="20"/>
      <c r="E563" s="22"/>
      <c r="F563" s="22"/>
      <c r="G563" s="48" t="n">
        <f aca="false">IF(OR($E563="",$F563=""),0,$E563*$F563)</f>
        <v>0</v>
      </c>
      <c r="H563" s="48" t="n">
        <f aca="false">IF($A563="",0,SUMIFS($G$8:$G$1007,$C$8:$C$1007,$C563,$A$8:$A$1007,"&gt;="&amp;$A563-6,$A$8:$A$1007,"&lt;="&amp;$A563))</f>
        <v>0</v>
      </c>
      <c r="I563" s="48" t="n">
        <f aca="false">IF($A563="",0,SUMIFS($G$8:$G$1007,$C$8:$C$1007,$C563,$A$8:$A$1007,"&gt;="&amp;$A563-27,$A$8:$A$1007,"&lt;="&amp;$A563)/4)</f>
        <v>0</v>
      </c>
      <c r="J563" s="67" t="n">
        <f aca="false">IF(OR($A563="",$I563=0),0,$H563/$I563)</f>
        <v>0</v>
      </c>
      <c r="K563" s="33" t="n">
        <f aca="false">IF($A563="",0,$A563-SUMPRODUCT(MIN(($C$8:$C$1007=$C563)*$A$8:$A$1007+($C$8:$C$1007&lt;&gt;$C563)*100000))+1)</f>
        <v>0</v>
      </c>
      <c r="L563" s="19" t="str">
        <f aca="false">IF($A563="","",IF($J563=0,"Sem registro anterior",IF($K563&lt;21,"Histórico insuficiente",IF($J563&lt;0.8,"Subcarga",IF($J563&lt;=1.3,"Zona ideal",IF($J563&lt;=1.5,"Atenção","Risco elevado"))))))</f>
        <v/>
      </c>
      <c r="M563" s="20"/>
    </row>
    <row r="564" customFormat="false" ht="15" hidden="false" customHeight="false" outlineLevel="0" collapsed="false">
      <c r="A564" s="21"/>
      <c r="B564" s="33" t="n">
        <f aca="false">IF($A564="",0,INT(($A564-Macrociclo!$C$11)/7)+1)</f>
        <v>0</v>
      </c>
      <c r="C564" s="20"/>
      <c r="D564" s="20"/>
      <c r="E564" s="22"/>
      <c r="F564" s="22"/>
      <c r="G564" s="48" t="n">
        <f aca="false">IF(OR($E564="",$F564=""),0,$E564*$F564)</f>
        <v>0</v>
      </c>
      <c r="H564" s="48" t="n">
        <f aca="false">IF($A564="",0,SUMIFS($G$8:$G$1007,$C$8:$C$1007,$C564,$A$8:$A$1007,"&gt;="&amp;$A564-6,$A$8:$A$1007,"&lt;="&amp;$A564))</f>
        <v>0</v>
      </c>
      <c r="I564" s="48" t="n">
        <f aca="false">IF($A564="",0,SUMIFS($G$8:$G$1007,$C$8:$C$1007,$C564,$A$8:$A$1007,"&gt;="&amp;$A564-27,$A$8:$A$1007,"&lt;="&amp;$A564)/4)</f>
        <v>0</v>
      </c>
      <c r="J564" s="67" t="n">
        <f aca="false">IF(OR($A564="",$I564=0),0,$H564/$I564)</f>
        <v>0</v>
      </c>
      <c r="K564" s="33" t="n">
        <f aca="false">IF($A564="",0,$A564-SUMPRODUCT(MIN(($C$8:$C$1007=$C564)*$A$8:$A$1007+($C$8:$C$1007&lt;&gt;$C564)*100000))+1)</f>
        <v>0</v>
      </c>
      <c r="L564" s="19" t="str">
        <f aca="false">IF($A564="","",IF($J564=0,"Sem registro anterior",IF($K564&lt;21,"Histórico insuficiente",IF($J564&lt;0.8,"Subcarga",IF($J564&lt;=1.3,"Zona ideal",IF($J564&lt;=1.5,"Atenção","Risco elevado"))))))</f>
        <v/>
      </c>
      <c r="M564" s="20"/>
    </row>
    <row r="565" customFormat="false" ht="15" hidden="false" customHeight="false" outlineLevel="0" collapsed="false">
      <c r="A565" s="21"/>
      <c r="B565" s="33" t="n">
        <f aca="false">IF($A565="",0,INT(($A565-Macrociclo!$C$11)/7)+1)</f>
        <v>0</v>
      </c>
      <c r="C565" s="20"/>
      <c r="D565" s="20"/>
      <c r="E565" s="22"/>
      <c r="F565" s="22"/>
      <c r="G565" s="48" t="n">
        <f aca="false">IF(OR($E565="",$F565=""),0,$E565*$F565)</f>
        <v>0</v>
      </c>
      <c r="H565" s="48" t="n">
        <f aca="false">IF($A565="",0,SUMIFS($G$8:$G$1007,$C$8:$C$1007,$C565,$A$8:$A$1007,"&gt;="&amp;$A565-6,$A$8:$A$1007,"&lt;="&amp;$A565))</f>
        <v>0</v>
      </c>
      <c r="I565" s="48" t="n">
        <f aca="false">IF($A565="",0,SUMIFS($G$8:$G$1007,$C$8:$C$1007,$C565,$A$8:$A$1007,"&gt;="&amp;$A565-27,$A$8:$A$1007,"&lt;="&amp;$A565)/4)</f>
        <v>0</v>
      </c>
      <c r="J565" s="67" t="n">
        <f aca="false">IF(OR($A565="",$I565=0),0,$H565/$I565)</f>
        <v>0</v>
      </c>
      <c r="K565" s="33" t="n">
        <f aca="false">IF($A565="",0,$A565-SUMPRODUCT(MIN(($C$8:$C$1007=$C565)*$A$8:$A$1007+($C$8:$C$1007&lt;&gt;$C565)*100000))+1)</f>
        <v>0</v>
      </c>
      <c r="L565" s="19" t="str">
        <f aca="false">IF($A565="","",IF($J565=0,"Sem registro anterior",IF($K565&lt;21,"Histórico insuficiente",IF($J565&lt;0.8,"Subcarga",IF($J565&lt;=1.3,"Zona ideal",IF($J565&lt;=1.5,"Atenção","Risco elevado"))))))</f>
        <v/>
      </c>
      <c r="M565" s="20"/>
    </row>
    <row r="566" customFormat="false" ht="15" hidden="false" customHeight="false" outlineLevel="0" collapsed="false">
      <c r="A566" s="21"/>
      <c r="B566" s="33" t="n">
        <f aca="false">IF($A566="",0,INT(($A566-Macrociclo!$C$11)/7)+1)</f>
        <v>0</v>
      </c>
      <c r="C566" s="20"/>
      <c r="D566" s="20"/>
      <c r="E566" s="22"/>
      <c r="F566" s="22"/>
      <c r="G566" s="48" t="n">
        <f aca="false">IF(OR($E566="",$F566=""),0,$E566*$F566)</f>
        <v>0</v>
      </c>
      <c r="H566" s="48" t="n">
        <f aca="false">IF($A566="",0,SUMIFS($G$8:$G$1007,$C$8:$C$1007,$C566,$A$8:$A$1007,"&gt;="&amp;$A566-6,$A$8:$A$1007,"&lt;="&amp;$A566))</f>
        <v>0</v>
      </c>
      <c r="I566" s="48" t="n">
        <f aca="false">IF($A566="",0,SUMIFS($G$8:$G$1007,$C$8:$C$1007,$C566,$A$8:$A$1007,"&gt;="&amp;$A566-27,$A$8:$A$1007,"&lt;="&amp;$A566)/4)</f>
        <v>0</v>
      </c>
      <c r="J566" s="67" t="n">
        <f aca="false">IF(OR($A566="",$I566=0),0,$H566/$I566)</f>
        <v>0</v>
      </c>
      <c r="K566" s="33" t="n">
        <f aca="false">IF($A566="",0,$A566-SUMPRODUCT(MIN(($C$8:$C$1007=$C566)*$A$8:$A$1007+($C$8:$C$1007&lt;&gt;$C566)*100000))+1)</f>
        <v>0</v>
      </c>
      <c r="L566" s="19" t="str">
        <f aca="false">IF($A566="","",IF($J566=0,"Sem registro anterior",IF($K566&lt;21,"Histórico insuficiente",IF($J566&lt;0.8,"Subcarga",IF($J566&lt;=1.3,"Zona ideal",IF($J566&lt;=1.5,"Atenção","Risco elevado"))))))</f>
        <v/>
      </c>
      <c r="M566" s="20"/>
    </row>
    <row r="567" customFormat="false" ht="15" hidden="false" customHeight="false" outlineLevel="0" collapsed="false">
      <c r="A567" s="21"/>
      <c r="B567" s="33" t="n">
        <f aca="false">IF($A567="",0,INT(($A567-Macrociclo!$C$11)/7)+1)</f>
        <v>0</v>
      </c>
      <c r="C567" s="20"/>
      <c r="D567" s="20"/>
      <c r="E567" s="22"/>
      <c r="F567" s="22"/>
      <c r="G567" s="48" t="n">
        <f aca="false">IF(OR($E567="",$F567=""),0,$E567*$F567)</f>
        <v>0</v>
      </c>
      <c r="H567" s="48" t="n">
        <f aca="false">IF($A567="",0,SUMIFS($G$8:$G$1007,$C$8:$C$1007,$C567,$A$8:$A$1007,"&gt;="&amp;$A567-6,$A$8:$A$1007,"&lt;="&amp;$A567))</f>
        <v>0</v>
      </c>
      <c r="I567" s="48" t="n">
        <f aca="false">IF($A567="",0,SUMIFS($G$8:$G$1007,$C$8:$C$1007,$C567,$A$8:$A$1007,"&gt;="&amp;$A567-27,$A$8:$A$1007,"&lt;="&amp;$A567)/4)</f>
        <v>0</v>
      </c>
      <c r="J567" s="67" t="n">
        <f aca="false">IF(OR($A567="",$I567=0),0,$H567/$I567)</f>
        <v>0</v>
      </c>
      <c r="K567" s="33" t="n">
        <f aca="false">IF($A567="",0,$A567-SUMPRODUCT(MIN(($C$8:$C$1007=$C567)*$A$8:$A$1007+($C$8:$C$1007&lt;&gt;$C567)*100000))+1)</f>
        <v>0</v>
      </c>
      <c r="L567" s="19" t="str">
        <f aca="false">IF($A567="","",IF($J567=0,"Sem registro anterior",IF($K567&lt;21,"Histórico insuficiente",IF($J567&lt;0.8,"Subcarga",IF($J567&lt;=1.3,"Zona ideal",IF($J567&lt;=1.5,"Atenção","Risco elevado"))))))</f>
        <v/>
      </c>
      <c r="M567" s="20"/>
    </row>
    <row r="568" customFormat="false" ht="15" hidden="false" customHeight="false" outlineLevel="0" collapsed="false">
      <c r="A568" s="21"/>
      <c r="B568" s="33" t="n">
        <f aca="false">IF($A568="",0,INT(($A568-Macrociclo!$C$11)/7)+1)</f>
        <v>0</v>
      </c>
      <c r="C568" s="20"/>
      <c r="D568" s="20"/>
      <c r="E568" s="22"/>
      <c r="F568" s="22"/>
      <c r="G568" s="48" t="n">
        <f aca="false">IF(OR($E568="",$F568=""),0,$E568*$F568)</f>
        <v>0</v>
      </c>
      <c r="H568" s="48" t="n">
        <f aca="false">IF($A568="",0,SUMIFS($G$8:$G$1007,$C$8:$C$1007,$C568,$A$8:$A$1007,"&gt;="&amp;$A568-6,$A$8:$A$1007,"&lt;="&amp;$A568))</f>
        <v>0</v>
      </c>
      <c r="I568" s="48" t="n">
        <f aca="false">IF($A568="",0,SUMIFS($G$8:$G$1007,$C$8:$C$1007,$C568,$A$8:$A$1007,"&gt;="&amp;$A568-27,$A$8:$A$1007,"&lt;="&amp;$A568)/4)</f>
        <v>0</v>
      </c>
      <c r="J568" s="67" t="n">
        <f aca="false">IF(OR($A568="",$I568=0),0,$H568/$I568)</f>
        <v>0</v>
      </c>
      <c r="K568" s="33" t="n">
        <f aca="false">IF($A568="",0,$A568-SUMPRODUCT(MIN(($C$8:$C$1007=$C568)*$A$8:$A$1007+($C$8:$C$1007&lt;&gt;$C568)*100000))+1)</f>
        <v>0</v>
      </c>
      <c r="L568" s="19" t="str">
        <f aca="false">IF($A568="","",IF($J568=0,"Sem registro anterior",IF($K568&lt;21,"Histórico insuficiente",IF($J568&lt;0.8,"Subcarga",IF($J568&lt;=1.3,"Zona ideal",IF($J568&lt;=1.5,"Atenção","Risco elevado"))))))</f>
        <v/>
      </c>
      <c r="M568" s="20"/>
    </row>
    <row r="569" customFormat="false" ht="15" hidden="false" customHeight="false" outlineLevel="0" collapsed="false">
      <c r="A569" s="21"/>
      <c r="B569" s="33" t="n">
        <f aca="false">IF($A569="",0,INT(($A569-Macrociclo!$C$11)/7)+1)</f>
        <v>0</v>
      </c>
      <c r="C569" s="20"/>
      <c r="D569" s="20"/>
      <c r="E569" s="22"/>
      <c r="F569" s="22"/>
      <c r="G569" s="48" t="n">
        <f aca="false">IF(OR($E569="",$F569=""),0,$E569*$F569)</f>
        <v>0</v>
      </c>
      <c r="H569" s="48" t="n">
        <f aca="false">IF($A569="",0,SUMIFS($G$8:$G$1007,$C$8:$C$1007,$C569,$A$8:$A$1007,"&gt;="&amp;$A569-6,$A$8:$A$1007,"&lt;="&amp;$A569))</f>
        <v>0</v>
      </c>
      <c r="I569" s="48" t="n">
        <f aca="false">IF($A569="",0,SUMIFS($G$8:$G$1007,$C$8:$C$1007,$C569,$A$8:$A$1007,"&gt;="&amp;$A569-27,$A$8:$A$1007,"&lt;="&amp;$A569)/4)</f>
        <v>0</v>
      </c>
      <c r="J569" s="67" t="n">
        <f aca="false">IF(OR($A569="",$I569=0),0,$H569/$I569)</f>
        <v>0</v>
      </c>
      <c r="K569" s="33" t="n">
        <f aca="false">IF($A569="",0,$A569-SUMPRODUCT(MIN(($C$8:$C$1007=$C569)*$A$8:$A$1007+($C$8:$C$1007&lt;&gt;$C569)*100000))+1)</f>
        <v>0</v>
      </c>
      <c r="L569" s="19" t="str">
        <f aca="false">IF($A569="","",IF($J569=0,"Sem registro anterior",IF($K569&lt;21,"Histórico insuficiente",IF($J569&lt;0.8,"Subcarga",IF($J569&lt;=1.3,"Zona ideal",IF($J569&lt;=1.5,"Atenção","Risco elevado"))))))</f>
        <v/>
      </c>
      <c r="M569" s="20"/>
    </row>
    <row r="570" customFormat="false" ht="15" hidden="false" customHeight="false" outlineLevel="0" collapsed="false">
      <c r="A570" s="21"/>
      <c r="B570" s="33" t="n">
        <f aca="false">IF($A570="",0,INT(($A570-Macrociclo!$C$11)/7)+1)</f>
        <v>0</v>
      </c>
      <c r="C570" s="20"/>
      <c r="D570" s="20"/>
      <c r="E570" s="22"/>
      <c r="F570" s="22"/>
      <c r="G570" s="48" t="n">
        <f aca="false">IF(OR($E570="",$F570=""),0,$E570*$F570)</f>
        <v>0</v>
      </c>
      <c r="H570" s="48" t="n">
        <f aca="false">IF($A570="",0,SUMIFS($G$8:$G$1007,$C$8:$C$1007,$C570,$A$8:$A$1007,"&gt;="&amp;$A570-6,$A$8:$A$1007,"&lt;="&amp;$A570))</f>
        <v>0</v>
      </c>
      <c r="I570" s="48" t="n">
        <f aca="false">IF($A570="",0,SUMIFS($G$8:$G$1007,$C$8:$C$1007,$C570,$A$8:$A$1007,"&gt;="&amp;$A570-27,$A$8:$A$1007,"&lt;="&amp;$A570)/4)</f>
        <v>0</v>
      </c>
      <c r="J570" s="67" t="n">
        <f aca="false">IF(OR($A570="",$I570=0),0,$H570/$I570)</f>
        <v>0</v>
      </c>
      <c r="K570" s="33" t="n">
        <f aca="false">IF($A570="",0,$A570-SUMPRODUCT(MIN(($C$8:$C$1007=$C570)*$A$8:$A$1007+($C$8:$C$1007&lt;&gt;$C570)*100000))+1)</f>
        <v>0</v>
      </c>
      <c r="L570" s="19" t="str">
        <f aca="false">IF($A570="","",IF($J570=0,"Sem registro anterior",IF($K570&lt;21,"Histórico insuficiente",IF($J570&lt;0.8,"Subcarga",IF($J570&lt;=1.3,"Zona ideal",IF($J570&lt;=1.5,"Atenção","Risco elevado"))))))</f>
        <v/>
      </c>
      <c r="M570" s="20"/>
    </row>
    <row r="571" customFormat="false" ht="15" hidden="false" customHeight="false" outlineLevel="0" collapsed="false">
      <c r="A571" s="21"/>
      <c r="B571" s="33" t="n">
        <f aca="false">IF($A571="",0,INT(($A571-Macrociclo!$C$11)/7)+1)</f>
        <v>0</v>
      </c>
      <c r="C571" s="20"/>
      <c r="D571" s="20"/>
      <c r="E571" s="22"/>
      <c r="F571" s="22"/>
      <c r="G571" s="48" t="n">
        <f aca="false">IF(OR($E571="",$F571=""),0,$E571*$F571)</f>
        <v>0</v>
      </c>
      <c r="H571" s="48" t="n">
        <f aca="false">IF($A571="",0,SUMIFS($G$8:$G$1007,$C$8:$C$1007,$C571,$A$8:$A$1007,"&gt;="&amp;$A571-6,$A$8:$A$1007,"&lt;="&amp;$A571))</f>
        <v>0</v>
      </c>
      <c r="I571" s="48" t="n">
        <f aca="false">IF($A571="",0,SUMIFS($G$8:$G$1007,$C$8:$C$1007,$C571,$A$8:$A$1007,"&gt;="&amp;$A571-27,$A$8:$A$1007,"&lt;="&amp;$A571)/4)</f>
        <v>0</v>
      </c>
      <c r="J571" s="67" t="n">
        <f aca="false">IF(OR($A571="",$I571=0),0,$H571/$I571)</f>
        <v>0</v>
      </c>
      <c r="K571" s="33" t="n">
        <f aca="false">IF($A571="",0,$A571-SUMPRODUCT(MIN(($C$8:$C$1007=$C571)*$A$8:$A$1007+($C$8:$C$1007&lt;&gt;$C571)*100000))+1)</f>
        <v>0</v>
      </c>
      <c r="L571" s="19" t="str">
        <f aca="false">IF($A571="","",IF($J571=0,"Sem registro anterior",IF($K571&lt;21,"Histórico insuficiente",IF($J571&lt;0.8,"Subcarga",IF($J571&lt;=1.3,"Zona ideal",IF($J571&lt;=1.5,"Atenção","Risco elevado"))))))</f>
        <v/>
      </c>
      <c r="M571" s="20"/>
    </row>
    <row r="572" customFormat="false" ht="15" hidden="false" customHeight="false" outlineLevel="0" collapsed="false">
      <c r="A572" s="21"/>
      <c r="B572" s="33" t="n">
        <f aca="false">IF($A572="",0,INT(($A572-Macrociclo!$C$11)/7)+1)</f>
        <v>0</v>
      </c>
      <c r="C572" s="20"/>
      <c r="D572" s="20"/>
      <c r="E572" s="22"/>
      <c r="F572" s="22"/>
      <c r="G572" s="48" t="n">
        <f aca="false">IF(OR($E572="",$F572=""),0,$E572*$F572)</f>
        <v>0</v>
      </c>
      <c r="H572" s="48" t="n">
        <f aca="false">IF($A572="",0,SUMIFS($G$8:$G$1007,$C$8:$C$1007,$C572,$A$8:$A$1007,"&gt;="&amp;$A572-6,$A$8:$A$1007,"&lt;="&amp;$A572))</f>
        <v>0</v>
      </c>
      <c r="I572" s="48" t="n">
        <f aca="false">IF($A572="",0,SUMIFS($G$8:$G$1007,$C$8:$C$1007,$C572,$A$8:$A$1007,"&gt;="&amp;$A572-27,$A$8:$A$1007,"&lt;="&amp;$A572)/4)</f>
        <v>0</v>
      </c>
      <c r="J572" s="67" t="n">
        <f aca="false">IF(OR($A572="",$I572=0),0,$H572/$I572)</f>
        <v>0</v>
      </c>
      <c r="K572" s="33" t="n">
        <f aca="false">IF($A572="",0,$A572-SUMPRODUCT(MIN(($C$8:$C$1007=$C572)*$A$8:$A$1007+($C$8:$C$1007&lt;&gt;$C572)*100000))+1)</f>
        <v>0</v>
      </c>
      <c r="L572" s="19" t="str">
        <f aca="false">IF($A572="","",IF($J572=0,"Sem registro anterior",IF($K572&lt;21,"Histórico insuficiente",IF($J572&lt;0.8,"Subcarga",IF($J572&lt;=1.3,"Zona ideal",IF($J572&lt;=1.5,"Atenção","Risco elevado"))))))</f>
        <v/>
      </c>
      <c r="M572" s="20"/>
    </row>
    <row r="573" customFormat="false" ht="15" hidden="false" customHeight="false" outlineLevel="0" collapsed="false">
      <c r="A573" s="21"/>
      <c r="B573" s="33" t="n">
        <f aca="false">IF($A573="",0,INT(($A573-Macrociclo!$C$11)/7)+1)</f>
        <v>0</v>
      </c>
      <c r="C573" s="20"/>
      <c r="D573" s="20"/>
      <c r="E573" s="22"/>
      <c r="F573" s="22"/>
      <c r="G573" s="48" t="n">
        <f aca="false">IF(OR($E573="",$F573=""),0,$E573*$F573)</f>
        <v>0</v>
      </c>
      <c r="H573" s="48" t="n">
        <f aca="false">IF($A573="",0,SUMIFS($G$8:$G$1007,$C$8:$C$1007,$C573,$A$8:$A$1007,"&gt;="&amp;$A573-6,$A$8:$A$1007,"&lt;="&amp;$A573))</f>
        <v>0</v>
      </c>
      <c r="I573" s="48" t="n">
        <f aca="false">IF($A573="",0,SUMIFS($G$8:$G$1007,$C$8:$C$1007,$C573,$A$8:$A$1007,"&gt;="&amp;$A573-27,$A$8:$A$1007,"&lt;="&amp;$A573)/4)</f>
        <v>0</v>
      </c>
      <c r="J573" s="67" t="n">
        <f aca="false">IF(OR($A573="",$I573=0),0,$H573/$I573)</f>
        <v>0</v>
      </c>
      <c r="K573" s="33" t="n">
        <f aca="false">IF($A573="",0,$A573-SUMPRODUCT(MIN(($C$8:$C$1007=$C573)*$A$8:$A$1007+($C$8:$C$1007&lt;&gt;$C573)*100000))+1)</f>
        <v>0</v>
      </c>
      <c r="L573" s="19" t="str">
        <f aca="false">IF($A573="","",IF($J573=0,"Sem registro anterior",IF($K573&lt;21,"Histórico insuficiente",IF($J573&lt;0.8,"Subcarga",IF($J573&lt;=1.3,"Zona ideal",IF($J573&lt;=1.5,"Atenção","Risco elevado"))))))</f>
        <v/>
      </c>
      <c r="M573" s="20"/>
    </row>
    <row r="574" customFormat="false" ht="15" hidden="false" customHeight="false" outlineLevel="0" collapsed="false">
      <c r="A574" s="21"/>
      <c r="B574" s="33" t="n">
        <f aca="false">IF($A574="",0,INT(($A574-Macrociclo!$C$11)/7)+1)</f>
        <v>0</v>
      </c>
      <c r="C574" s="20"/>
      <c r="D574" s="20"/>
      <c r="E574" s="22"/>
      <c r="F574" s="22"/>
      <c r="G574" s="48" t="n">
        <f aca="false">IF(OR($E574="",$F574=""),0,$E574*$F574)</f>
        <v>0</v>
      </c>
      <c r="H574" s="48" t="n">
        <f aca="false">IF($A574="",0,SUMIFS($G$8:$G$1007,$C$8:$C$1007,$C574,$A$8:$A$1007,"&gt;="&amp;$A574-6,$A$8:$A$1007,"&lt;="&amp;$A574))</f>
        <v>0</v>
      </c>
      <c r="I574" s="48" t="n">
        <f aca="false">IF($A574="",0,SUMIFS($G$8:$G$1007,$C$8:$C$1007,$C574,$A$8:$A$1007,"&gt;="&amp;$A574-27,$A$8:$A$1007,"&lt;="&amp;$A574)/4)</f>
        <v>0</v>
      </c>
      <c r="J574" s="67" t="n">
        <f aca="false">IF(OR($A574="",$I574=0),0,$H574/$I574)</f>
        <v>0</v>
      </c>
      <c r="K574" s="33" t="n">
        <f aca="false">IF($A574="",0,$A574-SUMPRODUCT(MIN(($C$8:$C$1007=$C574)*$A$8:$A$1007+($C$8:$C$1007&lt;&gt;$C574)*100000))+1)</f>
        <v>0</v>
      </c>
      <c r="L574" s="19" t="str">
        <f aca="false">IF($A574="","",IF($J574=0,"Sem registro anterior",IF($K574&lt;21,"Histórico insuficiente",IF($J574&lt;0.8,"Subcarga",IF($J574&lt;=1.3,"Zona ideal",IF($J574&lt;=1.5,"Atenção","Risco elevado"))))))</f>
        <v/>
      </c>
      <c r="M574" s="20"/>
    </row>
    <row r="575" customFormat="false" ht="15" hidden="false" customHeight="false" outlineLevel="0" collapsed="false">
      <c r="A575" s="21"/>
      <c r="B575" s="33" t="n">
        <f aca="false">IF($A575="",0,INT(($A575-Macrociclo!$C$11)/7)+1)</f>
        <v>0</v>
      </c>
      <c r="C575" s="20"/>
      <c r="D575" s="20"/>
      <c r="E575" s="22"/>
      <c r="F575" s="22"/>
      <c r="G575" s="48" t="n">
        <f aca="false">IF(OR($E575="",$F575=""),0,$E575*$F575)</f>
        <v>0</v>
      </c>
      <c r="H575" s="48" t="n">
        <f aca="false">IF($A575="",0,SUMIFS($G$8:$G$1007,$C$8:$C$1007,$C575,$A$8:$A$1007,"&gt;="&amp;$A575-6,$A$8:$A$1007,"&lt;="&amp;$A575))</f>
        <v>0</v>
      </c>
      <c r="I575" s="48" t="n">
        <f aca="false">IF($A575="",0,SUMIFS($G$8:$G$1007,$C$8:$C$1007,$C575,$A$8:$A$1007,"&gt;="&amp;$A575-27,$A$8:$A$1007,"&lt;="&amp;$A575)/4)</f>
        <v>0</v>
      </c>
      <c r="J575" s="67" t="n">
        <f aca="false">IF(OR($A575="",$I575=0),0,$H575/$I575)</f>
        <v>0</v>
      </c>
      <c r="K575" s="33" t="n">
        <f aca="false">IF($A575="",0,$A575-SUMPRODUCT(MIN(($C$8:$C$1007=$C575)*$A$8:$A$1007+($C$8:$C$1007&lt;&gt;$C575)*100000))+1)</f>
        <v>0</v>
      </c>
      <c r="L575" s="19" t="str">
        <f aca="false">IF($A575="","",IF($J575=0,"Sem registro anterior",IF($K575&lt;21,"Histórico insuficiente",IF($J575&lt;0.8,"Subcarga",IF($J575&lt;=1.3,"Zona ideal",IF($J575&lt;=1.5,"Atenção","Risco elevado"))))))</f>
        <v/>
      </c>
      <c r="M575" s="20"/>
    </row>
    <row r="576" customFormat="false" ht="15" hidden="false" customHeight="false" outlineLevel="0" collapsed="false">
      <c r="A576" s="21"/>
      <c r="B576" s="33" t="n">
        <f aca="false">IF($A576="",0,INT(($A576-Macrociclo!$C$11)/7)+1)</f>
        <v>0</v>
      </c>
      <c r="C576" s="20"/>
      <c r="D576" s="20"/>
      <c r="E576" s="22"/>
      <c r="F576" s="22"/>
      <c r="G576" s="48" t="n">
        <f aca="false">IF(OR($E576="",$F576=""),0,$E576*$F576)</f>
        <v>0</v>
      </c>
      <c r="H576" s="48" t="n">
        <f aca="false">IF($A576="",0,SUMIFS($G$8:$G$1007,$C$8:$C$1007,$C576,$A$8:$A$1007,"&gt;="&amp;$A576-6,$A$8:$A$1007,"&lt;="&amp;$A576))</f>
        <v>0</v>
      </c>
      <c r="I576" s="48" t="n">
        <f aca="false">IF($A576="",0,SUMIFS($G$8:$G$1007,$C$8:$C$1007,$C576,$A$8:$A$1007,"&gt;="&amp;$A576-27,$A$8:$A$1007,"&lt;="&amp;$A576)/4)</f>
        <v>0</v>
      </c>
      <c r="J576" s="67" t="n">
        <f aca="false">IF(OR($A576="",$I576=0),0,$H576/$I576)</f>
        <v>0</v>
      </c>
      <c r="K576" s="33" t="n">
        <f aca="false">IF($A576="",0,$A576-SUMPRODUCT(MIN(($C$8:$C$1007=$C576)*$A$8:$A$1007+($C$8:$C$1007&lt;&gt;$C576)*100000))+1)</f>
        <v>0</v>
      </c>
      <c r="L576" s="19" t="str">
        <f aca="false">IF($A576="","",IF($J576=0,"Sem registro anterior",IF($K576&lt;21,"Histórico insuficiente",IF($J576&lt;0.8,"Subcarga",IF($J576&lt;=1.3,"Zona ideal",IF($J576&lt;=1.5,"Atenção","Risco elevado"))))))</f>
        <v/>
      </c>
      <c r="M576" s="20"/>
    </row>
    <row r="577" customFormat="false" ht="15" hidden="false" customHeight="false" outlineLevel="0" collapsed="false">
      <c r="A577" s="21"/>
      <c r="B577" s="33" t="n">
        <f aca="false">IF($A577="",0,INT(($A577-Macrociclo!$C$11)/7)+1)</f>
        <v>0</v>
      </c>
      <c r="C577" s="20"/>
      <c r="D577" s="20"/>
      <c r="E577" s="22"/>
      <c r="F577" s="22"/>
      <c r="G577" s="48" t="n">
        <f aca="false">IF(OR($E577="",$F577=""),0,$E577*$F577)</f>
        <v>0</v>
      </c>
      <c r="H577" s="48" t="n">
        <f aca="false">IF($A577="",0,SUMIFS($G$8:$G$1007,$C$8:$C$1007,$C577,$A$8:$A$1007,"&gt;="&amp;$A577-6,$A$8:$A$1007,"&lt;="&amp;$A577))</f>
        <v>0</v>
      </c>
      <c r="I577" s="48" t="n">
        <f aca="false">IF($A577="",0,SUMIFS($G$8:$G$1007,$C$8:$C$1007,$C577,$A$8:$A$1007,"&gt;="&amp;$A577-27,$A$8:$A$1007,"&lt;="&amp;$A577)/4)</f>
        <v>0</v>
      </c>
      <c r="J577" s="67" t="n">
        <f aca="false">IF(OR($A577="",$I577=0),0,$H577/$I577)</f>
        <v>0</v>
      </c>
      <c r="K577" s="33" t="n">
        <f aca="false">IF($A577="",0,$A577-SUMPRODUCT(MIN(($C$8:$C$1007=$C577)*$A$8:$A$1007+($C$8:$C$1007&lt;&gt;$C577)*100000))+1)</f>
        <v>0</v>
      </c>
      <c r="L577" s="19" t="str">
        <f aca="false">IF($A577="","",IF($J577=0,"Sem registro anterior",IF($K577&lt;21,"Histórico insuficiente",IF($J577&lt;0.8,"Subcarga",IF($J577&lt;=1.3,"Zona ideal",IF($J577&lt;=1.5,"Atenção","Risco elevado"))))))</f>
        <v/>
      </c>
      <c r="M577" s="20"/>
    </row>
    <row r="578" customFormat="false" ht="15" hidden="false" customHeight="false" outlineLevel="0" collapsed="false">
      <c r="A578" s="21"/>
      <c r="B578" s="33" t="n">
        <f aca="false">IF($A578="",0,INT(($A578-Macrociclo!$C$11)/7)+1)</f>
        <v>0</v>
      </c>
      <c r="C578" s="20"/>
      <c r="D578" s="20"/>
      <c r="E578" s="22"/>
      <c r="F578" s="22"/>
      <c r="G578" s="48" t="n">
        <f aca="false">IF(OR($E578="",$F578=""),0,$E578*$F578)</f>
        <v>0</v>
      </c>
      <c r="H578" s="48" t="n">
        <f aca="false">IF($A578="",0,SUMIFS($G$8:$G$1007,$C$8:$C$1007,$C578,$A$8:$A$1007,"&gt;="&amp;$A578-6,$A$8:$A$1007,"&lt;="&amp;$A578))</f>
        <v>0</v>
      </c>
      <c r="I578" s="48" t="n">
        <f aca="false">IF($A578="",0,SUMIFS($G$8:$G$1007,$C$8:$C$1007,$C578,$A$8:$A$1007,"&gt;="&amp;$A578-27,$A$8:$A$1007,"&lt;="&amp;$A578)/4)</f>
        <v>0</v>
      </c>
      <c r="J578" s="67" t="n">
        <f aca="false">IF(OR($A578="",$I578=0),0,$H578/$I578)</f>
        <v>0</v>
      </c>
      <c r="K578" s="33" t="n">
        <f aca="false">IF($A578="",0,$A578-SUMPRODUCT(MIN(($C$8:$C$1007=$C578)*$A$8:$A$1007+($C$8:$C$1007&lt;&gt;$C578)*100000))+1)</f>
        <v>0</v>
      </c>
      <c r="L578" s="19" t="str">
        <f aca="false">IF($A578="","",IF($J578=0,"Sem registro anterior",IF($K578&lt;21,"Histórico insuficiente",IF($J578&lt;0.8,"Subcarga",IF($J578&lt;=1.3,"Zona ideal",IF($J578&lt;=1.5,"Atenção","Risco elevado"))))))</f>
        <v/>
      </c>
      <c r="M578" s="20"/>
    </row>
    <row r="579" customFormat="false" ht="15" hidden="false" customHeight="false" outlineLevel="0" collapsed="false">
      <c r="A579" s="21"/>
      <c r="B579" s="33" t="n">
        <f aca="false">IF($A579="",0,INT(($A579-Macrociclo!$C$11)/7)+1)</f>
        <v>0</v>
      </c>
      <c r="C579" s="20"/>
      <c r="D579" s="20"/>
      <c r="E579" s="22"/>
      <c r="F579" s="22"/>
      <c r="G579" s="48" t="n">
        <f aca="false">IF(OR($E579="",$F579=""),0,$E579*$F579)</f>
        <v>0</v>
      </c>
      <c r="H579" s="48" t="n">
        <f aca="false">IF($A579="",0,SUMIFS($G$8:$G$1007,$C$8:$C$1007,$C579,$A$8:$A$1007,"&gt;="&amp;$A579-6,$A$8:$A$1007,"&lt;="&amp;$A579))</f>
        <v>0</v>
      </c>
      <c r="I579" s="48" t="n">
        <f aca="false">IF($A579="",0,SUMIFS($G$8:$G$1007,$C$8:$C$1007,$C579,$A$8:$A$1007,"&gt;="&amp;$A579-27,$A$8:$A$1007,"&lt;="&amp;$A579)/4)</f>
        <v>0</v>
      </c>
      <c r="J579" s="67" t="n">
        <f aca="false">IF(OR($A579="",$I579=0),0,$H579/$I579)</f>
        <v>0</v>
      </c>
      <c r="K579" s="33" t="n">
        <f aca="false">IF($A579="",0,$A579-SUMPRODUCT(MIN(($C$8:$C$1007=$C579)*$A$8:$A$1007+($C$8:$C$1007&lt;&gt;$C579)*100000))+1)</f>
        <v>0</v>
      </c>
      <c r="L579" s="19" t="str">
        <f aca="false">IF($A579="","",IF($J579=0,"Sem registro anterior",IF($K579&lt;21,"Histórico insuficiente",IF($J579&lt;0.8,"Subcarga",IF($J579&lt;=1.3,"Zona ideal",IF($J579&lt;=1.5,"Atenção","Risco elevado"))))))</f>
        <v/>
      </c>
      <c r="M579" s="20"/>
    </row>
    <row r="580" customFormat="false" ht="15" hidden="false" customHeight="false" outlineLevel="0" collapsed="false">
      <c r="A580" s="21"/>
      <c r="B580" s="33" t="n">
        <f aca="false">IF($A580="",0,INT(($A580-Macrociclo!$C$11)/7)+1)</f>
        <v>0</v>
      </c>
      <c r="C580" s="20"/>
      <c r="D580" s="20"/>
      <c r="E580" s="22"/>
      <c r="F580" s="22"/>
      <c r="G580" s="48" t="n">
        <f aca="false">IF(OR($E580="",$F580=""),0,$E580*$F580)</f>
        <v>0</v>
      </c>
      <c r="H580" s="48" t="n">
        <f aca="false">IF($A580="",0,SUMIFS($G$8:$G$1007,$C$8:$C$1007,$C580,$A$8:$A$1007,"&gt;="&amp;$A580-6,$A$8:$A$1007,"&lt;="&amp;$A580))</f>
        <v>0</v>
      </c>
      <c r="I580" s="48" t="n">
        <f aca="false">IF($A580="",0,SUMIFS($G$8:$G$1007,$C$8:$C$1007,$C580,$A$8:$A$1007,"&gt;="&amp;$A580-27,$A$8:$A$1007,"&lt;="&amp;$A580)/4)</f>
        <v>0</v>
      </c>
      <c r="J580" s="67" t="n">
        <f aca="false">IF(OR($A580="",$I580=0),0,$H580/$I580)</f>
        <v>0</v>
      </c>
      <c r="K580" s="33" t="n">
        <f aca="false">IF($A580="",0,$A580-SUMPRODUCT(MIN(($C$8:$C$1007=$C580)*$A$8:$A$1007+($C$8:$C$1007&lt;&gt;$C580)*100000))+1)</f>
        <v>0</v>
      </c>
      <c r="L580" s="19" t="str">
        <f aca="false">IF($A580="","",IF($J580=0,"Sem registro anterior",IF($K580&lt;21,"Histórico insuficiente",IF($J580&lt;0.8,"Subcarga",IF($J580&lt;=1.3,"Zona ideal",IF($J580&lt;=1.5,"Atenção","Risco elevado"))))))</f>
        <v/>
      </c>
      <c r="M580" s="20"/>
    </row>
    <row r="581" customFormat="false" ht="15" hidden="false" customHeight="false" outlineLevel="0" collapsed="false">
      <c r="A581" s="21"/>
      <c r="B581" s="33" t="n">
        <f aca="false">IF($A581="",0,INT(($A581-Macrociclo!$C$11)/7)+1)</f>
        <v>0</v>
      </c>
      <c r="C581" s="20"/>
      <c r="D581" s="20"/>
      <c r="E581" s="22"/>
      <c r="F581" s="22"/>
      <c r="G581" s="48" t="n">
        <f aca="false">IF(OR($E581="",$F581=""),0,$E581*$F581)</f>
        <v>0</v>
      </c>
      <c r="H581" s="48" t="n">
        <f aca="false">IF($A581="",0,SUMIFS($G$8:$G$1007,$C$8:$C$1007,$C581,$A$8:$A$1007,"&gt;="&amp;$A581-6,$A$8:$A$1007,"&lt;="&amp;$A581))</f>
        <v>0</v>
      </c>
      <c r="I581" s="48" t="n">
        <f aca="false">IF($A581="",0,SUMIFS($G$8:$G$1007,$C$8:$C$1007,$C581,$A$8:$A$1007,"&gt;="&amp;$A581-27,$A$8:$A$1007,"&lt;="&amp;$A581)/4)</f>
        <v>0</v>
      </c>
      <c r="J581" s="67" t="n">
        <f aca="false">IF(OR($A581="",$I581=0),0,$H581/$I581)</f>
        <v>0</v>
      </c>
      <c r="K581" s="33" t="n">
        <f aca="false">IF($A581="",0,$A581-SUMPRODUCT(MIN(($C$8:$C$1007=$C581)*$A$8:$A$1007+($C$8:$C$1007&lt;&gt;$C581)*100000))+1)</f>
        <v>0</v>
      </c>
      <c r="L581" s="19" t="str">
        <f aca="false">IF($A581="","",IF($J581=0,"Sem registro anterior",IF($K581&lt;21,"Histórico insuficiente",IF($J581&lt;0.8,"Subcarga",IF($J581&lt;=1.3,"Zona ideal",IF($J581&lt;=1.5,"Atenção","Risco elevado"))))))</f>
        <v/>
      </c>
      <c r="M581" s="20"/>
    </row>
    <row r="582" customFormat="false" ht="15" hidden="false" customHeight="false" outlineLevel="0" collapsed="false">
      <c r="A582" s="21"/>
      <c r="B582" s="33" t="n">
        <f aca="false">IF($A582="",0,INT(($A582-Macrociclo!$C$11)/7)+1)</f>
        <v>0</v>
      </c>
      <c r="C582" s="20"/>
      <c r="D582" s="20"/>
      <c r="E582" s="22"/>
      <c r="F582" s="22"/>
      <c r="G582" s="48" t="n">
        <f aca="false">IF(OR($E582="",$F582=""),0,$E582*$F582)</f>
        <v>0</v>
      </c>
      <c r="H582" s="48" t="n">
        <f aca="false">IF($A582="",0,SUMIFS($G$8:$G$1007,$C$8:$C$1007,$C582,$A$8:$A$1007,"&gt;="&amp;$A582-6,$A$8:$A$1007,"&lt;="&amp;$A582))</f>
        <v>0</v>
      </c>
      <c r="I582" s="48" t="n">
        <f aca="false">IF($A582="",0,SUMIFS($G$8:$G$1007,$C$8:$C$1007,$C582,$A$8:$A$1007,"&gt;="&amp;$A582-27,$A$8:$A$1007,"&lt;="&amp;$A582)/4)</f>
        <v>0</v>
      </c>
      <c r="J582" s="67" t="n">
        <f aca="false">IF(OR($A582="",$I582=0),0,$H582/$I582)</f>
        <v>0</v>
      </c>
      <c r="K582" s="33" t="n">
        <f aca="false">IF($A582="",0,$A582-SUMPRODUCT(MIN(($C$8:$C$1007=$C582)*$A$8:$A$1007+($C$8:$C$1007&lt;&gt;$C582)*100000))+1)</f>
        <v>0</v>
      </c>
      <c r="L582" s="19" t="str">
        <f aca="false">IF($A582="","",IF($J582=0,"Sem registro anterior",IF($K582&lt;21,"Histórico insuficiente",IF($J582&lt;0.8,"Subcarga",IF($J582&lt;=1.3,"Zona ideal",IF($J582&lt;=1.5,"Atenção","Risco elevado"))))))</f>
        <v/>
      </c>
      <c r="M582" s="20"/>
    </row>
    <row r="583" customFormat="false" ht="15" hidden="false" customHeight="false" outlineLevel="0" collapsed="false">
      <c r="A583" s="21"/>
      <c r="B583" s="33" t="n">
        <f aca="false">IF($A583="",0,INT(($A583-Macrociclo!$C$11)/7)+1)</f>
        <v>0</v>
      </c>
      <c r="C583" s="20"/>
      <c r="D583" s="20"/>
      <c r="E583" s="22"/>
      <c r="F583" s="22"/>
      <c r="G583" s="48" t="n">
        <f aca="false">IF(OR($E583="",$F583=""),0,$E583*$F583)</f>
        <v>0</v>
      </c>
      <c r="H583" s="48" t="n">
        <f aca="false">IF($A583="",0,SUMIFS($G$8:$G$1007,$C$8:$C$1007,$C583,$A$8:$A$1007,"&gt;="&amp;$A583-6,$A$8:$A$1007,"&lt;="&amp;$A583))</f>
        <v>0</v>
      </c>
      <c r="I583" s="48" t="n">
        <f aca="false">IF($A583="",0,SUMIFS($G$8:$G$1007,$C$8:$C$1007,$C583,$A$8:$A$1007,"&gt;="&amp;$A583-27,$A$8:$A$1007,"&lt;="&amp;$A583)/4)</f>
        <v>0</v>
      </c>
      <c r="J583" s="67" t="n">
        <f aca="false">IF(OR($A583="",$I583=0),0,$H583/$I583)</f>
        <v>0</v>
      </c>
      <c r="K583" s="33" t="n">
        <f aca="false">IF($A583="",0,$A583-SUMPRODUCT(MIN(($C$8:$C$1007=$C583)*$A$8:$A$1007+($C$8:$C$1007&lt;&gt;$C583)*100000))+1)</f>
        <v>0</v>
      </c>
      <c r="L583" s="19" t="str">
        <f aca="false">IF($A583="","",IF($J583=0,"Sem registro anterior",IF($K583&lt;21,"Histórico insuficiente",IF($J583&lt;0.8,"Subcarga",IF($J583&lt;=1.3,"Zona ideal",IF($J583&lt;=1.5,"Atenção","Risco elevado"))))))</f>
        <v/>
      </c>
      <c r="M583" s="20"/>
    </row>
    <row r="584" customFormat="false" ht="15" hidden="false" customHeight="false" outlineLevel="0" collapsed="false">
      <c r="A584" s="21"/>
      <c r="B584" s="33" t="n">
        <f aca="false">IF($A584="",0,INT(($A584-Macrociclo!$C$11)/7)+1)</f>
        <v>0</v>
      </c>
      <c r="C584" s="20"/>
      <c r="D584" s="20"/>
      <c r="E584" s="22"/>
      <c r="F584" s="22"/>
      <c r="G584" s="48" t="n">
        <f aca="false">IF(OR($E584="",$F584=""),0,$E584*$F584)</f>
        <v>0</v>
      </c>
      <c r="H584" s="48" t="n">
        <f aca="false">IF($A584="",0,SUMIFS($G$8:$G$1007,$C$8:$C$1007,$C584,$A$8:$A$1007,"&gt;="&amp;$A584-6,$A$8:$A$1007,"&lt;="&amp;$A584))</f>
        <v>0</v>
      </c>
      <c r="I584" s="48" t="n">
        <f aca="false">IF($A584="",0,SUMIFS($G$8:$G$1007,$C$8:$C$1007,$C584,$A$8:$A$1007,"&gt;="&amp;$A584-27,$A$8:$A$1007,"&lt;="&amp;$A584)/4)</f>
        <v>0</v>
      </c>
      <c r="J584" s="67" t="n">
        <f aca="false">IF(OR($A584="",$I584=0),0,$H584/$I584)</f>
        <v>0</v>
      </c>
      <c r="K584" s="33" t="n">
        <f aca="false">IF($A584="",0,$A584-SUMPRODUCT(MIN(($C$8:$C$1007=$C584)*$A$8:$A$1007+($C$8:$C$1007&lt;&gt;$C584)*100000))+1)</f>
        <v>0</v>
      </c>
      <c r="L584" s="19" t="str">
        <f aca="false">IF($A584="","",IF($J584=0,"Sem registro anterior",IF($K584&lt;21,"Histórico insuficiente",IF($J584&lt;0.8,"Subcarga",IF($J584&lt;=1.3,"Zona ideal",IF($J584&lt;=1.5,"Atenção","Risco elevado"))))))</f>
        <v/>
      </c>
      <c r="M584" s="20"/>
    </row>
    <row r="585" customFormat="false" ht="15" hidden="false" customHeight="false" outlineLevel="0" collapsed="false">
      <c r="A585" s="21"/>
      <c r="B585" s="33" t="n">
        <f aca="false">IF($A585="",0,INT(($A585-Macrociclo!$C$11)/7)+1)</f>
        <v>0</v>
      </c>
      <c r="C585" s="20"/>
      <c r="D585" s="20"/>
      <c r="E585" s="22"/>
      <c r="F585" s="22"/>
      <c r="G585" s="48" t="n">
        <f aca="false">IF(OR($E585="",$F585=""),0,$E585*$F585)</f>
        <v>0</v>
      </c>
      <c r="H585" s="48" t="n">
        <f aca="false">IF($A585="",0,SUMIFS($G$8:$G$1007,$C$8:$C$1007,$C585,$A$8:$A$1007,"&gt;="&amp;$A585-6,$A$8:$A$1007,"&lt;="&amp;$A585))</f>
        <v>0</v>
      </c>
      <c r="I585" s="48" t="n">
        <f aca="false">IF($A585="",0,SUMIFS($G$8:$G$1007,$C$8:$C$1007,$C585,$A$8:$A$1007,"&gt;="&amp;$A585-27,$A$8:$A$1007,"&lt;="&amp;$A585)/4)</f>
        <v>0</v>
      </c>
      <c r="J585" s="67" t="n">
        <f aca="false">IF(OR($A585="",$I585=0),0,$H585/$I585)</f>
        <v>0</v>
      </c>
      <c r="K585" s="33" t="n">
        <f aca="false">IF($A585="",0,$A585-SUMPRODUCT(MIN(($C$8:$C$1007=$C585)*$A$8:$A$1007+($C$8:$C$1007&lt;&gt;$C585)*100000))+1)</f>
        <v>0</v>
      </c>
      <c r="L585" s="19" t="str">
        <f aca="false">IF($A585="","",IF($J585=0,"Sem registro anterior",IF($K585&lt;21,"Histórico insuficiente",IF($J585&lt;0.8,"Subcarga",IF($J585&lt;=1.3,"Zona ideal",IF($J585&lt;=1.5,"Atenção","Risco elevado"))))))</f>
        <v/>
      </c>
      <c r="M585" s="20"/>
    </row>
    <row r="586" customFormat="false" ht="15" hidden="false" customHeight="false" outlineLevel="0" collapsed="false">
      <c r="A586" s="21"/>
      <c r="B586" s="33" t="n">
        <f aca="false">IF($A586="",0,INT(($A586-Macrociclo!$C$11)/7)+1)</f>
        <v>0</v>
      </c>
      <c r="C586" s="20"/>
      <c r="D586" s="20"/>
      <c r="E586" s="22"/>
      <c r="F586" s="22"/>
      <c r="G586" s="48" t="n">
        <f aca="false">IF(OR($E586="",$F586=""),0,$E586*$F586)</f>
        <v>0</v>
      </c>
      <c r="H586" s="48" t="n">
        <f aca="false">IF($A586="",0,SUMIFS($G$8:$G$1007,$C$8:$C$1007,$C586,$A$8:$A$1007,"&gt;="&amp;$A586-6,$A$8:$A$1007,"&lt;="&amp;$A586))</f>
        <v>0</v>
      </c>
      <c r="I586" s="48" t="n">
        <f aca="false">IF($A586="",0,SUMIFS($G$8:$G$1007,$C$8:$C$1007,$C586,$A$8:$A$1007,"&gt;="&amp;$A586-27,$A$8:$A$1007,"&lt;="&amp;$A586)/4)</f>
        <v>0</v>
      </c>
      <c r="J586" s="67" t="n">
        <f aca="false">IF(OR($A586="",$I586=0),0,$H586/$I586)</f>
        <v>0</v>
      </c>
      <c r="K586" s="33" t="n">
        <f aca="false">IF($A586="",0,$A586-SUMPRODUCT(MIN(($C$8:$C$1007=$C586)*$A$8:$A$1007+($C$8:$C$1007&lt;&gt;$C586)*100000))+1)</f>
        <v>0</v>
      </c>
      <c r="L586" s="19" t="str">
        <f aca="false">IF($A586="","",IF($J586=0,"Sem registro anterior",IF($K586&lt;21,"Histórico insuficiente",IF($J586&lt;0.8,"Subcarga",IF($J586&lt;=1.3,"Zona ideal",IF($J586&lt;=1.5,"Atenção","Risco elevado"))))))</f>
        <v/>
      </c>
      <c r="M586" s="20"/>
    </row>
    <row r="587" customFormat="false" ht="15" hidden="false" customHeight="false" outlineLevel="0" collapsed="false">
      <c r="A587" s="21"/>
      <c r="B587" s="33" t="n">
        <f aca="false">IF($A587="",0,INT(($A587-Macrociclo!$C$11)/7)+1)</f>
        <v>0</v>
      </c>
      <c r="C587" s="20"/>
      <c r="D587" s="20"/>
      <c r="E587" s="22"/>
      <c r="F587" s="22"/>
      <c r="G587" s="48" t="n">
        <f aca="false">IF(OR($E587="",$F587=""),0,$E587*$F587)</f>
        <v>0</v>
      </c>
      <c r="H587" s="48" t="n">
        <f aca="false">IF($A587="",0,SUMIFS($G$8:$G$1007,$C$8:$C$1007,$C587,$A$8:$A$1007,"&gt;="&amp;$A587-6,$A$8:$A$1007,"&lt;="&amp;$A587))</f>
        <v>0</v>
      </c>
      <c r="I587" s="48" t="n">
        <f aca="false">IF($A587="",0,SUMIFS($G$8:$G$1007,$C$8:$C$1007,$C587,$A$8:$A$1007,"&gt;="&amp;$A587-27,$A$8:$A$1007,"&lt;="&amp;$A587)/4)</f>
        <v>0</v>
      </c>
      <c r="J587" s="67" t="n">
        <f aca="false">IF(OR($A587="",$I587=0),0,$H587/$I587)</f>
        <v>0</v>
      </c>
      <c r="K587" s="33" t="n">
        <f aca="false">IF($A587="",0,$A587-SUMPRODUCT(MIN(($C$8:$C$1007=$C587)*$A$8:$A$1007+($C$8:$C$1007&lt;&gt;$C587)*100000))+1)</f>
        <v>0</v>
      </c>
      <c r="L587" s="19" t="str">
        <f aca="false">IF($A587="","",IF($J587=0,"Sem registro anterior",IF($K587&lt;21,"Histórico insuficiente",IF($J587&lt;0.8,"Subcarga",IF($J587&lt;=1.3,"Zona ideal",IF($J587&lt;=1.5,"Atenção","Risco elevado"))))))</f>
        <v/>
      </c>
      <c r="M587" s="20"/>
    </row>
    <row r="588" customFormat="false" ht="15" hidden="false" customHeight="false" outlineLevel="0" collapsed="false">
      <c r="A588" s="21"/>
      <c r="B588" s="33" t="n">
        <f aca="false">IF($A588="",0,INT(($A588-Macrociclo!$C$11)/7)+1)</f>
        <v>0</v>
      </c>
      <c r="C588" s="20"/>
      <c r="D588" s="20"/>
      <c r="E588" s="22"/>
      <c r="F588" s="22"/>
      <c r="G588" s="48" t="n">
        <f aca="false">IF(OR($E588="",$F588=""),0,$E588*$F588)</f>
        <v>0</v>
      </c>
      <c r="H588" s="48" t="n">
        <f aca="false">IF($A588="",0,SUMIFS($G$8:$G$1007,$C$8:$C$1007,$C588,$A$8:$A$1007,"&gt;="&amp;$A588-6,$A$8:$A$1007,"&lt;="&amp;$A588))</f>
        <v>0</v>
      </c>
      <c r="I588" s="48" t="n">
        <f aca="false">IF($A588="",0,SUMIFS($G$8:$G$1007,$C$8:$C$1007,$C588,$A$8:$A$1007,"&gt;="&amp;$A588-27,$A$8:$A$1007,"&lt;="&amp;$A588)/4)</f>
        <v>0</v>
      </c>
      <c r="J588" s="67" t="n">
        <f aca="false">IF(OR($A588="",$I588=0),0,$H588/$I588)</f>
        <v>0</v>
      </c>
      <c r="K588" s="33" t="n">
        <f aca="false">IF($A588="",0,$A588-SUMPRODUCT(MIN(($C$8:$C$1007=$C588)*$A$8:$A$1007+($C$8:$C$1007&lt;&gt;$C588)*100000))+1)</f>
        <v>0</v>
      </c>
      <c r="L588" s="19" t="str">
        <f aca="false">IF($A588="","",IF($J588=0,"Sem registro anterior",IF($K588&lt;21,"Histórico insuficiente",IF($J588&lt;0.8,"Subcarga",IF($J588&lt;=1.3,"Zona ideal",IF($J588&lt;=1.5,"Atenção","Risco elevado"))))))</f>
        <v/>
      </c>
      <c r="M588" s="20"/>
    </row>
    <row r="589" customFormat="false" ht="15" hidden="false" customHeight="false" outlineLevel="0" collapsed="false">
      <c r="A589" s="21"/>
      <c r="B589" s="33" t="n">
        <f aca="false">IF($A589="",0,INT(($A589-Macrociclo!$C$11)/7)+1)</f>
        <v>0</v>
      </c>
      <c r="C589" s="20"/>
      <c r="D589" s="20"/>
      <c r="E589" s="22"/>
      <c r="F589" s="22"/>
      <c r="G589" s="48" t="n">
        <f aca="false">IF(OR($E589="",$F589=""),0,$E589*$F589)</f>
        <v>0</v>
      </c>
      <c r="H589" s="48" t="n">
        <f aca="false">IF($A589="",0,SUMIFS($G$8:$G$1007,$C$8:$C$1007,$C589,$A$8:$A$1007,"&gt;="&amp;$A589-6,$A$8:$A$1007,"&lt;="&amp;$A589))</f>
        <v>0</v>
      </c>
      <c r="I589" s="48" t="n">
        <f aca="false">IF($A589="",0,SUMIFS($G$8:$G$1007,$C$8:$C$1007,$C589,$A$8:$A$1007,"&gt;="&amp;$A589-27,$A$8:$A$1007,"&lt;="&amp;$A589)/4)</f>
        <v>0</v>
      </c>
      <c r="J589" s="67" t="n">
        <f aca="false">IF(OR($A589="",$I589=0),0,$H589/$I589)</f>
        <v>0</v>
      </c>
      <c r="K589" s="33" t="n">
        <f aca="false">IF($A589="",0,$A589-SUMPRODUCT(MIN(($C$8:$C$1007=$C589)*$A$8:$A$1007+($C$8:$C$1007&lt;&gt;$C589)*100000))+1)</f>
        <v>0</v>
      </c>
      <c r="L589" s="19" t="str">
        <f aca="false">IF($A589="","",IF($J589=0,"Sem registro anterior",IF($K589&lt;21,"Histórico insuficiente",IF($J589&lt;0.8,"Subcarga",IF($J589&lt;=1.3,"Zona ideal",IF($J589&lt;=1.5,"Atenção","Risco elevado"))))))</f>
        <v/>
      </c>
      <c r="M589" s="20"/>
    </row>
    <row r="590" customFormat="false" ht="15" hidden="false" customHeight="false" outlineLevel="0" collapsed="false">
      <c r="A590" s="21"/>
      <c r="B590" s="33" t="n">
        <f aca="false">IF($A590="",0,INT(($A590-Macrociclo!$C$11)/7)+1)</f>
        <v>0</v>
      </c>
      <c r="C590" s="20"/>
      <c r="D590" s="20"/>
      <c r="E590" s="22"/>
      <c r="F590" s="22"/>
      <c r="G590" s="48" t="n">
        <f aca="false">IF(OR($E590="",$F590=""),0,$E590*$F590)</f>
        <v>0</v>
      </c>
      <c r="H590" s="48" t="n">
        <f aca="false">IF($A590="",0,SUMIFS($G$8:$G$1007,$C$8:$C$1007,$C590,$A$8:$A$1007,"&gt;="&amp;$A590-6,$A$8:$A$1007,"&lt;="&amp;$A590))</f>
        <v>0</v>
      </c>
      <c r="I590" s="48" t="n">
        <f aca="false">IF($A590="",0,SUMIFS($G$8:$G$1007,$C$8:$C$1007,$C590,$A$8:$A$1007,"&gt;="&amp;$A590-27,$A$8:$A$1007,"&lt;="&amp;$A590)/4)</f>
        <v>0</v>
      </c>
      <c r="J590" s="67" t="n">
        <f aca="false">IF(OR($A590="",$I590=0),0,$H590/$I590)</f>
        <v>0</v>
      </c>
      <c r="K590" s="33" t="n">
        <f aca="false">IF($A590="",0,$A590-SUMPRODUCT(MIN(($C$8:$C$1007=$C590)*$A$8:$A$1007+($C$8:$C$1007&lt;&gt;$C590)*100000))+1)</f>
        <v>0</v>
      </c>
      <c r="L590" s="19" t="str">
        <f aca="false">IF($A590="","",IF($J590=0,"Sem registro anterior",IF($K590&lt;21,"Histórico insuficiente",IF($J590&lt;0.8,"Subcarga",IF($J590&lt;=1.3,"Zona ideal",IF($J590&lt;=1.5,"Atenção","Risco elevado"))))))</f>
        <v/>
      </c>
      <c r="M590" s="20"/>
    </row>
    <row r="591" customFormat="false" ht="15" hidden="false" customHeight="false" outlineLevel="0" collapsed="false">
      <c r="A591" s="21"/>
      <c r="B591" s="33" t="n">
        <f aca="false">IF($A591="",0,INT(($A591-Macrociclo!$C$11)/7)+1)</f>
        <v>0</v>
      </c>
      <c r="C591" s="20"/>
      <c r="D591" s="20"/>
      <c r="E591" s="22"/>
      <c r="F591" s="22"/>
      <c r="G591" s="48" t="n">
        <f aca="false">IF(OR($E591="",$F591=""),0,$E591*$F591)</f>
        <v>0</v>
      </c>
      <c r="H591" s="48" t="n">
        <f aca="false">IF($A591="",0,SUMIFS($G$8:$G$1007,$C$8:$C$1007,$C591,$A$8:$A$1007,"&gt;="&amp;$A591-6,$A$8:$A$1007,"&lt;="&amp;$A591))</f>
        <v>0</v>
      </c>
      <c r="I591" s="48" t="n">
        <f aca="false">IF($A591="",0,SUMIFS($G$8:$G$1007,$C$8:$C$1007,$C591,$A$8:$A$1007,"&gt;="&amp;$A591-27,$A$8:$A$1007,"&lt;="&amp;$A591)/4)</f>
        <v>0</v>
      </c>
      <c r="J591" s="67" t="n">
        <f aca="false">IF(OR($A591="",$I591=0),0,$H591/$I591)</f>
        <v>0</v>
      </c>
      <c r="K591" s="33" t="n">
        <f aca="false">IF($A591="",0,$A591-SUMPRODUCT(MIN(($C$8:$C$1007=$C591)*$A$8:$A$1007+($C$8:$C$1007&lt;&gt;$C591)*100000))+1)</f>
        <v>0</v>
      </c>
      <c r="L591" s="19" t="str">
        <f aca="false">IF($A591="","",IF($J591=0,"Sem registro anterior",IF($K591&lt;21,"Histórico insuficiente",IF($J591&lt;0.8,"Subcarga",IF($J591&lt;=1.3,"Zona ideal",IF($J591&lt;=1.5,"Atenção","Risco elevado"))))))</f>
        <v/>
      </c>
      <c r="M591" s="20"/>
    </row>
    <row r="592" customFormat="false" ht="15" hidden="false" customHeight="false" outlineLevel="0" collapsed="false">
      <c r="A592" s="21"/>
      <c r="B592" s="33" t="n">
        <f aca="false">IF($A592="",0,INT(($A592-Macrociclo!$C$11)/7)+1)</f>
        <v>0</v>
      </c>
      <c r="C592" s="20"/>
      <c r="D592" s="20"/>
      <c r="E592" s="22"/>
      <c r="F592" s="22"/>
      <c r="G592" s="48" t="n">
        <f aca="false">IF(OR($E592="",$F592=""),0,$E592*$F592)</f>
        <v>0</v>
      </c>
      <c r="H592" s="48" t="n">
        <f aca="false">IF($A592="",0,SUMIFS($G$8:$G$1007,$C$8:$C$1007,$C592,$A$8:$A$1007,"&gt;="&amp;$A592-6,$A$8:$A$1007,"&lt;="&amp;$A592))</f>
        <v>0</v>
      </c>
      <c r="I592" s="48" t="n">
        <f aca="false">IF($A592="",0,SUMIFS($G$8:$G$1007,$C$8:$C$1007,$C592,$A$8:$A$1007,"&gt;="&amp;$A592-27,$A$8:$A$1007,"&lt;="&amp;$A592)/4)</f>
        <v>0</v>
      </c>
      <c r="J592" s="67" t="n">
        <f aca="false">IF(OR($A592="",$I592=0),0,$H592/$I592)</f>
        <v>0</v>
      </c>
      <c r="K592" s="33" t="n">
        <f aca="false">IF($A592="",0,$A592-SUMPRODUCT(MIN(($C$8:$C$1007=$C592)*$A$8:$A$1007+($C$8:$C$1007&lt;&gt;$C592)*100000))+1)</f>
        <v>0</v>
      </c>
      <c r="L592" s="19" t="str">
        <f aca="false">IF($A592="","",IF($J592=0,"Sem registro anterior",IF($K592&lt;21,"Histórico insuficiente",IF($J592&lt;0.8,"Subcarga",IF($J592&lt;=1.3,"Zona ideal",IF($J592&lt;=1.5,"Atenção","Risco elevado"))))))</f>
        <v/>
      </c>
      <c r="M592" s="20"/>
    </row>
    <row r="593" customFormat="false" ht="15" hidden="false" customHeight="false" outlineLevel="0" collapsed="false">
      <c r="A593" s="21"/>
      <c r="B593" s="33" t="n">
        <f aca="false">IF($A593="",0,INT(($A593-Macrociclo!$C$11)/7)+1)</f>
        <v>0</v>
      </c>
      <c r="C593" s="20"/>
      <c r="D593" s="20"/>
      <c r="E593" s="22"/>
      <c r="F593" s="22"/>
      <c r="G593" s="48" t="n">
        <f aca="false">IF(OR($E593="",$F593=""),0,$E593*$F593)</f>
        <v>0</v>
      </c>
      <c r="H593" s="48" t="n">
        <f aca="false">IF($A593="",0,SUMIFS($G$8:$G$1007,$C$8:$C$1007,$C593,$A$8:$A$1007,"&gt;="&amp;$A593-6,$A$8:$A$1007,"&lt;="&amp;$A593))</f>
        <v>0</v>
      </c>
      <c r="I593" s="48" t="n">
        <f aca="false">IF($A593="",0,SUMIFS($G$8:$G$1007,$C$8:$C$1007,$C593,$A$8:$A$1007,"&gt;="&amp;$A593-27,$A$8:$A$1007,"&lt;="&amp;$A593)/4)</f>
        <v>0</v>
      </c>
      <c r="J593" s="67" t="n">
        <f aca="false">IF(OR($A593="",$I593=0),0,$H593/$I593)</f>
        <v>0</v>
      </c>
      <c r="K593" s="33" t="n">
        <f aca="false">IF($A593="",0,$A593-SUMPRODUCT(MIN(($C$8:$C$1007=$C593)*$A$8:$A$1007+($C$8:$C$1007&lt;&gt;$C593)*100000))+1)</f>
        <v>0</v>
      </c>
      <c r="L593" s="19" t="str">
        <f aca="false">IF($A593="","",IF($J593=0,"Sem registro anterior",IF($K593&lt;21,"Histórico insuficiente",IF($J593&lt;0.8,"Subcarga",IF($J593&lt;=1.3,"Zona ideal",IF($J593&lt;=1.5,"Atenção","Risco elevado"))))))</f>
        <v/>
      </c>
      <c r="M593" s="20"/>
    </row>
    <row r="594" customFormat="false" ht="15" hidden="false" customHeight="false" outlineLevel="0" collapsed="false">
      <c r="A594" s="21"/>
      <c r="B594" s="33" t="n">
        <f aca="false">IF($A594="",0,INT(($A594-Macrociclo!$C$11)/7)+1)</f>
        <v>0</v>
      </c>
      <c r="C594" s="20"/>
      <c r="D594" s="20"/>
      <c r="E594" s="22"/>
      <c r="F594" s="22"/>
      <c r="G594" s="48" t="n">
        <f aca="false">IF(OR($E594="",$F594=""),0,$E594*$F594)</f>
        <v>0</v>
      </c>
      <c r="H594" s="48" t="n">
        <f aca="false">IF($A594="",0,SUMIFS($G$8:$G$1007,$C$8:$C$1007,$C594,$A$8:$A$1007,"&gt;="&amp;$A594-6,$A$8:$A$1007,"&lt;="&amp;$A594))</f>
        <v>0</v>
      </c>
      <c r="I594" s="48" t="n">
        <f aca="false">IF($A594="",0,SUMIFS($G$8:$G$1007,$C$8:$C$1007,$C594,$A$8:$A$1007,"&gt;="&amp;$A594-27,$A$8:$A$1007,"&lt;="&amp;$A594)/4)</f>
        <v>0</v>
      </c>
      <c r="J594" s="67" t="n">
        <f aca="false">IF(OR($A594="",$I594=0),0,$H594/$I594)</f>
        <v>0</v>
      </c>
      <c r="K594" s="33" t="n">
        <f aca="false">IF($A594="",0,$A594-SUMPRODUCT(MIN(($C$8:$C$1007=$C594)*$A$8:$A$1007+($C$8:$C$1007&lt;&gt;$C594)*100000))+1)</f>
        <v>0</v>
      </c>
      <c r="L594" s="19" t="str">
        <f aca="false">IF($A594="","",IF($J594=0,"Sem registro anterior",IF($K594&lt;21,"Histórico insuficiente",IF($J594&lt;0.8,"Subcarga",IF($J594&lt;=1.3,"Zona ideal",IF($J594&lt;=1.5,"Atenção","Risco elevado"))))))</f>
        <v/>
      </c>
      <c r="M594" s="20"/>
    </row>
    <row r="595" customFormat="false" ht="15" hidden="false" customHeight="false" outlineLevel="0" collapsed="false">
      <c r="A595" s="21"/>
      <c r="B595" s="33" t="n">
        <f aca="false">IF($A595="",0,INT(($A595-Macrociclo!$C$11)/7)+1)</f>
        <v>0</v>
      </c>
      <c r="C595" s="20"/>
      <c r="D595" s="20"/>
      <c r="E595" s="22"/>
      <c r="F595" s="22"/>
      <c r="G595" s="48" t="n">
        <f aca="false">IF(OR($E595="",$F595=""),0,$E595*$F595)</f>
        <v>0</v>
      </c>
      <c r="H595" s="48" t="n">
        <f aca="false">IF($A595="",0,SUMIFS($G$8:$G$1007,$C$8:$C$1007,$C595,$A$8:$A$1007,"&gt;="&amp;$A595-6,$A$8:$A$1007,"&lt;="&amp;$A595))</f>
        <v>0</v>
      </c>
      <c r="I595" s="48" t="n">
        <f aca="false">IF($A595="",0,SUMIFS($G$8:$G$1007,$C$8:$C$1007,$C595,$A$8:$A$1007,"&gt;="&amp;$A595-27,$A$8:$A$1007,"&lt;="&amp;$A595)/4)</f>
        <v>0</v>
      </c>
      <c r="J595" s="67" t="n">
        <f aca="false">IF(OR($A595="",$I595=0),0,$H595/$I595)</f>
        <v>0</v>
      </c>
      <c r="K595" s="33" t="n">
        <f aca="false">IF($A595="",0,$A595-SUMPRODUCT(MIN(($C$8:$C$1007=$C595)*$A$8:$A$1007+($C$8:$C$1007&lt;&gt;$C595)*100000))+1)</f>
        <v>0</v>
      </c>
      <c r="L595" s="19" t="str">
        <f aca="false">IF($A595="","",IF($J595=0,"Sem registro anterior",IF($K595&lt;21,"Histórico insuficiente",IF($J595&lt;0.8,"Subcarga",IF($J595&lt;=1.3,"Zona ideal",IF($J595&lt;=1.5,"Atenção","Risco elevado"))))))</f>
        <v/>
      </c>
      <c r="M595" s="20"/>
    </row>
    <row r="596" customFormat="false" ht="15" hidden="false" customHeight="false" outlineLevel="0" collapsed="false">
      <c r="A596" s="21"/>
      <c r="B596" s="33" t="n">
        <f aca="false">IF($A596="",0,INT(($A596-Macrociclo!$C$11)/7)+1)</f>
        <v>0</v>
      </c>
      <c r="C596" s="20"/>
      <c r="D596" s="20"/>
      <c r="E596" s="22"/>
      <c r="F596" s="22"/>
      <c r="G596" s="48" t="n">
        <f aca="false">IF(OR($E596="",$F596=""),0,$E596*$F596)</f>
        <v>0</v>
      </c>
      <c r="H596" s="48" t="n">
        <f aca="false">IF($A596="",0,SUMIFS($G$8:$G$1007,$C$8:$C$1007,$C596,$A$8:$A$1007,"&gt;="&amp;$A596-6,$A$8:$A$1007,"&lt;="&amp;$A596))</f>
        <v>0</v>
      </c>
      <c r="I596" s="48" t="n">
        <f aca="false">IF($A596="",0,SUMIFS($G$8:$G$1007,$C$8:$C$1007,$C596,$A$8:$A$1007,"&gt;="&amp;$A596-27,$A$8:$A$1007,"&lt;="&amp;$A596)/4)</f>
        <v>0</v>
      </c>
      <c r="J596" s="67" t="n">
        <f aca="false">IF(OR($A596="",$I596=0),0,$H596/$I596)</f>
        <v>0</v>
      </c>
      <c r="K596" s="33" t="n">
        <f aca="false">IF($A596="",0,$A596-SUMPRODUCT(MIN(($C$8:$C$1007=$C596)*$A$8:$A$1007+($C$8:$C$1007&lt;&gt;$C596)*100000))+1)</f>
        <v>0</v>
      </c>
      <c r="L596" s="19" t="str">
        <f aca="false">IF($A596="","",IF($J596=0,"Sem registro anterior",IF($K596&lt;21,"Histórico insuficiente",IF($J596&lt;0.8,"Subcarga",IF($J596&lt;=1.3,"Zona ideal",IF($J596&lt;=1.5,"Atenção","Risco elevado"))))))</f>
        <v/>
      </c>
      <c r="M596" s="20"/>
    </row>
    <row r="597" customFormat="false" ht="15" hidden="false" customHeight="false" outlineLevel="0" collapsed="false">
      <c r="A597" s="21"/>
      <c r="B597" s="33" t="n">
        <f aca="false">IF($A597="",0,INT(($A597-Macrociclo!$C$11)/7)+1)</f>
        <v>0</v>
      </c>
      <c r="C597" s="20"/>
      <c r="D597" s="20"/>
      <c r="E597" s="22"/>
      <c r="F597" s="22"/>
      <c r="G597" s="48" t="n">
        <f aca="false">IF(OR($E597="",$F597=""),0,$E597*$F597)</f>
        <v>0</v>
      </c>
      <c r="H597" s="48" t="n">
        <f aca="false">IF($A597="",0,SUMIFS($G$8:$G$1007,$C$8:$C$1007,$C597,$A$8:$A$1007,"&gt;="&amp;$A597-6,$A$8:$A$1007,"&lt;="&amp;$A597))</f>
        <v>0</v>
      </c>
      <c r="I597" s="48" t="n">
        <f aca="false">IF($A597="",0,SUMIFS($G$8:$G$1007,$C$8:$C$1007,$C597,$A$8:$A$1007,"&gt;="&amp;$A597-27,$A$8:$A$1007,"&lt;="&amp;$A597)/4)</f>
        <v>0</v>
      </c>
      <c r="J597" s="67" t="n">
        <f aca="false">IF(OR($A597="",$I597=0),0,$H597/$I597)</f>
        <v>0</v>
      </c>
      <c r="K597" s="33" t="n">
        <f aca="false">IF($A597="",0,$A597-SUMPRODUCT(MIN(($C$8:$C$1007=$C597)*$A$8:$A$1007+($C$8:$C$1007&lt;&gt;$C597)*100000))+1)</f>
        <v>0</v>
      </c>
      <c r="L597" s="19" t="str">
        <f aca="false">IF($A597="","",IF($J597=0,"Sem registro anterior",IF($K597&lt;21,"Histórico insuficiente",IF($J597&lt;0.8,"Subcarga",IF($J597&lt;=1.3,"Zona ideal",IF($J597&lt;=1.5,"Atenção","Risco elevado"))))))</f>
        <v/>
      </c>
      <c r="M597" s="20"/>
    </row>
    <row r="598" customFormat="false" ht="15" hidden="false" customHeight="false" outlineLevel="0" collapsed="false">
      <c r="A598" s="21"/>
      <c r="B598" s="33" t="n">
        <f aca="false">IF($A598="",0,INT(($A598-Macrociclo!$C$11)/7)+1)</f>
        <v>0</v>
      </c>
      <c r="C598" s="20"/>
      <c r="D598" s="20"/>
      <c r="E598" s="22"/>
      <c r="F598" s="22"/>
      <c r="G598" s="48" t="n">
        <f aca="false">IF(OR($E598="",$F598=""),0,$E598*$F598)</f>
        <v>0</v>
      </c>
      <c r="H598" s="48" t="n">
        <f aca="false">IF($A598="",0,SUMIFS($G$8:$G$1007,$C$8:$C$1007,$C598,$A$8:$A$1007,"&gt;="&amp;$A598-6,$A$8:$A$1007,"&lt;="&amp;$A598))</f>
        <v>0</v>
      </c>
      <c r="I598" s="48" t="n">
        <f aca="false">IF($A598="",0,SUMIFS($G$8:$G$1007,$C$8:$C$1007,$C598,$A$8:$A$1007,"&gt;="&amp;$A598-27,$A$8:$A$1007,"&lt;="&amp;$A598)/4)</f>
        <v>0</v>
      </c>
      <c r="J598" s="67" t="n">
        <f aca="false">IF(OR($A598="",$I598=0),0,$H598/$I598)</f>
        <v>0</v>
      </c>
      <c r="K598" s="33" t="n">
        <f aca="false">IF($A598="",0,$A598-SUMPRODUCT(MIN(($C$8:$C$1007=$C598)*$A$8:$A$1007+($C$8:$C$1007&lt;&gt;$C598)*100000))+1)</f>
        <v>0</v>
      </c>
      <c r="L598" s="19" t="str">
        <f aca="false">IF($A598="","",IF($J598=0,"Sem registro anterior",IF($K598&lt;21,"Histórico insuficiente",IF($J598&lt;0.8,"Subcarga",IF($J598&lt;=1.3,"Zona ideal",IF($J598&lt;=1.5,"Atenção","Risco elevado"))))))</f>
        <v/>
      </c>
      <c r="M598" s="20"/>
    </row>
    <row r="599" customFormat="false" ht="15" hidden="false" customHeight="false" outlineLevel="0" collapsed="false">
      <c r="A599" s="21"/>
      <c r="B599" s="33" t="n">
        <f aca="false">IF($A599="",0,INT(($A599-Macrociclo!$C$11)/7)+1)</f>
        <v>0</v>
      </c>
      <c r="C599" s="20"/>
      <c r="D599" s="20"/>
      <c r="E599" s="22"/>
      <c r="F599" s="22"/>
      <c r="G599" s="48" t="n">
        <f aca="false">IF(OR($E599="",$F599=""),0,$E599*$F599)</f>
        <v>0</v>
      </c>
      <c r="H599" s="48" t="n">
        <f aca="false">IF($A599="",0,SUMIFS($G$8:$G$1007,$C$8:$C$1007,$C599,$A$8:$A$1007,"&gt;="&amp;$A599-6,$A$8:$A$1007,"&lt;="&amp;$A599))</f>
        <v>0</v>
      </c>
      <c r="I599" s="48" t="n">
        <f aca="false">IF($A599="",0,SUMIFS($G$8:$G$1007,$C$8:$C$1007,$C599,$A$8:$A$1007,"&gt;="&amp;$A599-27,$A$8:$A$1007,"&lt;="&amp;$A599)/4)</f>
        <v>0</v>
      </c>
      <c r="J599" s="67" t="n">
        <f aca="false">IF(OR($A599="",$I599=0),0,$H599/$I599)</f>
        <v>0</v>
      </c>
      <c r="K599" s="33" t="n">
        <f aca="false">IF($A599="",0,$A599-SUMPRODUCT(MIN(($C$8:$C$1007=$C599)*$A$8:$A$1007+($C$8:$C$1007&lt;&gt;$C599)*100000))+1)</f>
        <v>0</v>
      </c>
      <c r="L599" s="19" t="str">
        <f aca="false">IF($A599="","",IF($J599=0,"Sem registro anterior",IF($K599&lt;21,"Histórico insuficiente",IF($J599&lt;0.8,"Subcarga",IF($J599&lt;=1.3,"Zona ideal",IF($J599&lt;=1.5,"Atenção","Risco elevado"))))))</f>
        <v/>
      </c>
      <c r="M599" s="20"/>
    </row>
    <row r="600" customFormat="false" ht="15" hidden="false" customHeight="false" outlineLevel="0" collapsed="false">
      <c r="A600" s="21"/>
      <c r="B600" s="33" t="n">
        <f aca="false">IF($A600="",0,INT(($A600-Macrociclo!$C$11)/7)+1)</f>
        <v>0</v>
      </c>
      <c r="C600" s="20"/>
      <c r="D600" s="20"/>
      <c r="E600" s="22"/>
      <c r="F600" s="22"/>
      <c r="G600" s="48" t="n">
        <f aca="false">IF(OR($E600="",$F600=""),0,$E600*$F600)</f>
        <v>0</v>
      </c>
      <c r="H600" s="48" t="n">
        <f aca="false">IF($A600="",0,SUMIFS($G$8:$G$1007,$C$8:$C$1007,$C600,$A$8:$A$1007,"&gt;="&amp;$A600-6,$A$8:$A$1007,"&lt;="&amp;$A600))</f>
        <v>0</v>
      </c>
      <c r="I600" s="48" t="n">
        <f aca="false">IF($A600="",0,SUMIFS($G$8:$G$1007,$C$8:$C$1007,$C600,$A$8:$A$1007,"&gt;="&amp;$A600-27,$A$8:$A$1007,"&lt;="&amp;$A600)/4)</f>
        <v>0</v>
      </c>
      <c r="J600" s="67" t="n">
        <f aca="false">IF(OR($A600="",$I600=0),0,$H600/$I600)</f>
        <v>0</v>
      </c>
      <c r="K600" s="33" t="n">
        <f aca="false">IF($A600="",0,$A600-SUMPRODUCT(MIN(($C$8:$C$1007=$C600)*$A$8:$A$1007+($C$8:$C$1007&lt;&gt;$C600)*100000))+1)</f>
        <v>0</v>
      </c>
      <c r="L600" s="19" t="str">
        <f aca="false">IF($A600="","",IF($J600=0,"Sem registro anterior",IF($K600&lt;21,"Histórico insuficiente",IF($J600&lt;0.8,"Subcarga",IF($J600&lt;=1.3,"Zona ideal",IF($J600&lt;=1.5,"Atenção","Risco elevado"))))))</f>
        <v/>
      </c>
      <c r="M600" s="20"/>
    </row>
    <row r="601" customFormat="false" ht="15" hidden="false" customHeight="false" outlineLevel="0" collapsed="false">
      <c r="A601" s="21"/>
      <c r="B601" s="33" t="n">
        <f aca="false">IF($A601="",0,INT(($A601-Macrociclo!$C$11)/7)+1)</f>
        <v>0</v>
      </c>
      <c r="C601" s="20"/>
      <c r="D601" s="20"/>
      <c r="E601" s="22"/>
      <c r="F601" s="22"/>
      <c r="G601" s="48" t="n">
        <f aca="false">IF(OR($E601="",$F601=""),0,$E601*$F601)</f>
        <v>0</v>
      </c>
      <c r="H601" s="48" t="n">
        <f aca="false">IF($A601="",0,SUMIFS($G$8:$G$1007,$C$8:$C$1007,$C601,$A$8:$A$1007,"&gt;="&amp;$A601-6,$A$8:$A$1007,"&lt;="&amp;$A601))</f>
        <v>0</v>
      </c>
      <c r="I601" s="48" t="n">
        <f aca="false">IF($A601="",0,SUMIFS($G$8:$G$1007,$C$8:$C$1007,$C601,$A$8:$A$1007,"&gt;="&amp;$A601-27,$A$8:$A$1007,"&lt;="&amp;$A601)/4)</f>
        <v>0</v>
      </c>
      <c r="J601" s="67" t="n">
        <f aca="false">IF(OR($A601="",$I601=0),0,$H601/$I601)</f>
        <v>0</v>
      </c>
      <c r="K601" s="33" t="n">
        <f aca="false">IF($A601="",0,$A601-SUMPRODUCT(MIN(($C$8:$C$1007=$C601)*$A$8:$A$1007+($C$8:$C$1007&lt;&gt;$C601)*100000))+1)</f>
        <v>0</v>
      </c>
      <c r="L601" s="19" t="str">
        <f aca="false">IF($A601="","",IF($J601=0,"Sem registro anterior",IF($K601&lt;21,"Histórico insuficiente",IF($J601&lt;0.8,"Subcarga",IF($J601&lt;=1.3,"Zona ideal",IF($J601&lt;=1.5,"Atenção","Risco elevado"))))))</f>
        <v/>
      </c>
      <c r="M601" s="20"/>
    </row>
    <row r="602" customFormat="false" ht="15" hidden="false" customHeight="false" outlineLevel="0" collapsed="false">
      <c r="A602" s="21"/>
      <c r="B602" s="33" t="n">
        <f aca="false">IF($A602="",0,INT(($A602-Macrociclo!$C$11)/7)+1)</f>
        <v>0</v>
      </c>
      <c r="C602" s="20"/>
      <c r="D602" s="20"/>
      <c r="E602" s="22"/>
      <c r="F602" s="22"/>
      <c r="G602" s="48" t="n">
        <f aca="false">IF(OR($E602="",$F602=""),0,$E602*$F602)</f>
        <v>0</v>
      </c>
      <c r="H602" s="48" t="n">
        <f aca="false">IF($A602="",0,SUMIFS($G$8:$G$1007,$C$8:$C$1007,$C602,$A$8:$A$1007,"&gt;="&amp;$A602-6,$A$8:$A$1007,"&lt;="&amp;$A602))</f>
        <v>0</v>
      </c>
      <c r="I602" s="48" t="n">
        <f aca="false">IF($A602="",0,SUMIFS($G$8:$G$1007,$C$8:$C$1007,$C602,$A$8:$A$1007,"&gt;="&amp;$A602-27,$A$8:$A$1007,"&lt;="&amp;$A602)/4)</f>
        <v>0</v>
      </c>
      <c r="J602" s="67" t="n">
        <f aca="false">IF(OR($A602="",$I602=0),0,$H602/$I602)</f>
        <v>0</v>
      </c>
      <c r="K602" s="33" t="n">
        <f aca="false">IF($A602="",0,$A602-SUMPRODUCT(MIN(($C$8:$C$1007=$C602)*$A$8:$A$1007+($C$8:$C$1007&lt;&gt;$C602)*100000))+1)</f>
        <v>0</v>
      </c>
      <c r="L602" s="19" t="str">
        <f aca="false">IF($A602="","",IF($J602=0,"Sem registro anterior",IF($K602&lt;21,"Histórico insuficiente",IF($J602&lt;0.8,"Subcarga",IF($J602&lt;=1.3,"Zona ideal",IF($J602&lt;=1.5,"Atenção","Risco elevado"))))))</f>
        <v/>
      </c>
      <c r="M602" s="20"/>
    </row>
    <row r="603" customFormat="false" ht="15" hidden="false" customHeight="false" outlineLevel="0" collapsed="false">
      <c r="A603" s="21"/>
      <c r="B603" s="33" t="n">
        <f aca="false">IF($A603="",0,INT(($A603-Macrociclo!$C$11)/7)+1)</f>
        <v>0</v>
      </c>
      <c r="C603" s="20"/>
      <c r="D603" s="20"/>
      <c r="E603" s="22"/>
      <c r="F603" s="22"/>
      <c r="G603" s="48" t="n">
        <f aca="false">IF(OR($E603="",$F603=""),0,$E603*$F603)</f>
        <v>0</v>
      </c>
      <c r="H603" s="48" t="n">
        <f aca="false">IF($A603="",0,SUMIFS($G$8:$G$1007,$C$8:$C$1007,$C603,$A$8:$A$1007,"&gt;="&amp;$A603-6,$A$8:$A$1007,"&lt;="&amp;$A603))</f>
        <v>0</v>
      </c>
      <c r="I603" s="48" t="n">
        <f aca="false">IF($A603="",0,SUMIFS($G$8:$G$1007,$C$8:$C$1007,$C603,$A$8:$A$1007,"&gt;="&amp;$A603-27,$A$8:$A$1007,"&lt;="&amp;$A603)/4)</f>
        <v>0</v>
      </c>
      <c r="J603" s="67" t="n">
        <f aca="false">IF(OR($A603="",$I603=0),0,$H603/$I603)</f>
        <v>0</v>
      </c>
      <c r="K603" s="33" t="n">
        <f aca="false">IF($A603="",0,$A603-SUMPRODUCT(MIN(($C$8:$C$1007=$C603)*$A$8:$A$1007+($C$8:$C$1007&lt;&gt;$C603)*100000))+1)</f>
        <v>0</v>
      </c>
      <c r="L603" s="19" t="str">
        <f aca="false">IF($A603="","",IF($J603=0,"Sem registro anterior",IF($K603&lt;21,"Histórico insuficiente",IF($J603&lt;0.8,"Subcarga",IF($J603&lt;=1.3,"Zona ideal",IF($J603&lt;=1.5,"Atenção","Risco elevado"))))))</f>
        <v/>
      </c>
      <c r="M603" s="20"/>
    </row>
    <row r="604" customFormat="false" ht="15" hidden="false" customHeight="false" outlineLevel="0" collapsed="false">
      <c r="A604" s="21"/>
      <c r="B604" s="33" t="n">
        <f aca="false">IF($A604="",0,INT(($A604-Macrociclo!$C$11)/7)+1)</f>
        <v>0</v>
      </c>
      <c r="C604" s="20"/>
      <c r="D604" s="20"/>
      <c r="E604" s="22"/>
      <c r="F604" s="22"/>
      <c r="G604" s="48" t="n">
        <f aca="false">IF(OR($E604="",$F604=""),0,$E604*$F604)</f>
        <v>0</v>
      </c>
      <c r="H604" s="48" t="n">
        <f aca="false">IF($A604="",0,SUMIFS($G$8:$G$1007,$C$8:$C$1007,$C604,$A$8:$A$1007,"&gt;="&amp;$A604-6,$A$8:$A$1007,"&lt;="&amp;$A604))</f>
        <v>0</v>
      </c>
      <c r="I604" s="48" t="n">
        <f aca="false">IF($A604="",0,SUMIFS($G$8:$G$1007,$C$8:$C$1007,$C604,$A$8:$A$1007,"&gt;="&amp;$A604-27,$A$8:$A$1007,"&lt;="&amp;$A604)/4)</f>
        <v>0</v>
      </c>
      <c r="J604" s="67" t="n">
        <f aca="false">IF(OR($A604="",$I604=0),0,$H604/$I604)</f>
        <v>0</v>
      </c>
      <c r="K604" s="33" t="n">
        <f aca="false">IF($A604="",0,$A604-SUMPRODUCT(MIN(($C$8:$C$1007=$C604)*$A$8:$A$1007+($C$8:$C$1007&lt;&gt;$C604)*100000))+1)</f>
        <v>0</v>
      </c>
      <c r="L604" s="19" t="str">
        <f aca="false">IF($A604="","",IF($J604=0,"Sem registro anterior",IF($K604&lt;21,"Histórico insuficiente",IF($J604&lt;0.8,"Subcarga",IF($J604&lt;=1.3,"Zona ideal",IF($J604&lt;=1.5,"Atenção","Risco elevado"))))))</f>
        <v/>
      </c>
      <c r="M604" s="20"/>
    </row>
    <row r="605" customFormat="false" ht="15" hidden="false" customHeight="false" outlineLevel="0" collapsed="false">
      <c r="A605" s="21"/>
      <c r="B605" s="33" t="n">
        <f aca="false">IF($A605="",0,INT(($A605-Macrociclo!$C$11)/7)+1)</f>
        <v>0</v>
      </c>
      <c r="C605" s="20"/>
      <c r="D605" s="20"/>
      <c r="E605" s="22"/>
      <c r="F605" s="22"/>
      <c r="G605" s="48" t="n">
        <f aca="false">IF(OR($E605="",$F605=""),0,$E605*$F605)</f>
        <v>0</v>
      </c>
      <c r="H605" s="48" t="n">
        <f aca="false">IF($A605="",0,SUMIFS($G$8:$G$1007,$C$8:$C$1007,$C605,$A$8:$A$1007,"&gt;="&amp;$A605-6,$A$8:$A$1007,"&lt;="&amp;$A605))</f>
        <v>0</v>
      </c>
      <c r="I605" s="48" t="n">
        <f aca="false">IF($A605="",0,SUMIFS($G$8:$G$1007,$C$8:$C$1007,$C605,$A$8:$A$1007,"&gt;="&amp;$A605-27,$A$8:$A$1007,"&lt;="&amp;$A605)/4)</f>
        <v>0</v>
      </c>
      <c r="J605" s="67" t="n">
        <f aca="false">IF(OR($A605="",$I605=0),0,$H605/$I605)</f>
        <v>0</v>
      </c>
      <c r="K605" s="33" t="n">
        <f aca="false">IF($A605="",0,$A605-SUMPRODUCT(MIN(($C$8:$C$1007=$C605)*$A$8:$A$1007+($C$8:$C$1007&lt;&gt;$C605)*100000))+1)</f>
        <v>0</v>
      </c>
      <c r="L605" s="19" t="str">
        <f aca="false">IF($A605="","",IF($J605=0,"Sem registro anterior",IF($K605&lt;21,"Histórico insuficiente",IF($J605&lt;0.8,"Subcarga",IF($J605&lt;=1.3,"Zona ideal",IF($J605&lt;=1.5,"Atenção","Risco elevado"))))))</f>
        <v/>
      </c>
      <c r="M605" s="20"/>
    </row>
    <row r="606" customFormat="false" ht="15" hidden="false" customHeight="false" outlineLevel="0" collapsed="false">
      <c r="A606" s="21"/>
      <c r="B606" s="33" t="n">
        <f aca="false">IF($A606="",0,INT(($A606-Macrociclo!$C$11)/7)+1)</f>
        <v>0</v>
      </c>
      <c r="C606" s="20"/>
      <c r="D606" s="20"/>
      <c r="E606" s="22"/>
      <c r="F606" s="22"/>
      <c r="G606" s="48" t="n">
        <f aca="false">IF(OR($E606="",$F606=""),0,$E606*$F606)</f>
        <v>0</v>
      </c>
      <c r="H606" s="48" t="n">
        <f aca="false">IF($A606="",0,SUMIFS($G$8:$G$1007,$C$8:$C$1007,$C606,$A$8:$A$1007,"&gt;="&amp;$A606-6,$A$8:$A$1007,"&lt;="&amp;$A606))</f>
        <v>0</v>
      </c>
      <c r="I606" s="48" t="n">
        <f aca="false">IF($A606="",0,SUMIFS($G$8:$G$1007,$C$8:$C$1007,$C606,$A$8:$A$1007,"&gt;="&amp;$A606-27,$A$8:$A$1007,"&lt;="&amp;$A606)/4)</f>
        <v>0</v>
      </c>
      <c r="J606" s="67" t="n">
        <f aca="false">IF(OR($A606="",$I606=0),0,$H606/$I606)</f>
        <v>0</v>
      </c>
      <c r="K606" s="33" t="n">
        <f aca="false">IF($A606="",0,$A606-SUMPRODUCT(MIN(($C$8:$C$1007=$C606)*$A$8:$A$1007+($C$8:$C$1007&lt;&gt;$C606)*100000))+1)</f>
        <v>0</v>
      </c>
      <c r="L606" s="19" t="str">
        <f aca="false">IF($A606="","",IF($J606=0,"Sem registro anterior",IF($K606&lt;21,"Histórico insuficiente",IF($J606&lt;0.8,"Subcarga",IF($J606&lt;=1.3,"Zona ideal",IF($J606&lt;=1.5,"Atenção","Risco elevado"))))))</f>
        <v/>
      </c>
      <c r="M606" s="20"/>
    </row>
    <row r="607" customFormat="false" ht="15" hidden="false" customHeight="false" outlineLevel="0" collapsed="false">
      <c r="A607" s="21"/>
      <c r="B607" s="33" t="n">
        <f aca="false">IF($A607="",0,INT(($A607-Macrociclo!$C$11)/7)+1)</f>
        <v>0</v>
      </c>
      <c r="C607" s="20"/>
      <c r="D607" s="20"/>
      <c r="E607" s="22"/>
      <c r="F607" s="22"/>
      <c r="G607" s="48" t="n">
        <f aca="false">IF(OR($E607="",$F607=""),0,$E607*$F607)</f>
        <v>0</v>
      </c>
      <c r="H607" s="48" t="n">
        <f aca="false">IF($A607="",0,SUMIFS($G$8:$G$1007,$C$8:$C$1007,$C607,$A$8:$A$1007,"&gt;="&amp;$A607-6,$A$8:$A$1007,"&lt;="&amp;$A607))</f>
        <v>0</v>
      </c>
      <c r="I607" s="48" t="n">
        <f aca="false">IF($A607="",0,SUMIFS($G$8:$G$1007,$C$8:$C$1007,$C607,$A$8:$A$1007,"&gt;="&amp;$A607-27,$A$8:$A$1007,"&lt;="&amp;$A607)/4)</f>
        <v>0</v>
      </c>
      <c r="J607" s="67" t="n">
        <f aca="false">IF(OR($A607="",$I607=0),0,$H607/$I607)</f>
        <v>0</v>
      </c>
      <c r="K607" s="33" t="n">
        <f aca="false">IF($A607="",0,$A607-SUMPRODUCT(MIN(($C$8:$C$1007=$C607)*$A$8:$A$1007+($C$8:$C$1007&lt;&gt;$C607)*100000))+1)</f>
        <v>0</v>
      </c>
      <c r="L607" s="19" t="str">
        <f aca="false">IF($A607="","",IF($J607=0,"Sem registro anterior",IF($K607&lt;21,"Histórico insuficiente",IF($J607&lt;0.8,"Subcarga",IF($J607&lt;=1.3,"Zona ideal",IF($J607&lt;=1.5,"Atenção","Risco elevado"))))))</f>
        <v/>
      </c>
      <c r="M607" s="20"/>
    </row>
    <row r="608" customFormat="false" ht="15" hidden="false" customHeight="false" outlineLevel="0" collapsed="false">
      <c r="A608" s="21"/>
      <c r="B608" s="33" t="n">
        <f aca="false">IF($A608="",0,INT(($A608-Macrociclo!$C$11)/7)+1)</f>
        <v>0</v>
      </c>
      <c r="C608" s="20"/>
      <c r="D608" s="20"/>
      <c r="E608" s="22"/>
      <c r="F608" s="22"/>
      <c r="G608" s="48" t="n">
        <f aca="false">IF(OR($E608="",$F608=""),0,$E608*$F608)</f>
        <v>0</v>
      </c>
      <c r="H608" s="48" t="n">
        <f aca="false">IF($A608="",0,SUMIFS($G$8:$G$1007,$C$8:$C$1007,$C608,$A$8:$A$1007,"&gt;="&amp;$A608-6,$A$8:$A$1007,"&lt;="&amp;$A608))</f>
        <v>0</v>
      </c>
      <c r="I608" s="48" t="n">
        <f aca="false">IF($A608="",0,SUMIFS($G$8:$G$1007,$C$8:$C$1007,$C608,$A$8:$A$1007,"&gt;="&amp;$A608-27,$A$8:$A$1007,"&lt;="&amp;$A608)/4)</f>
        <v>0</v>
      </c>
      <c r="J608" s="67" t="n">
        <f aca="false">IF(OR($A608="",$I608=0),0,$H608/$I608)</f>
        <v>0</v>
      </c>
      <c r="K608" s="33" t="n">
        <f aca="false">IF($A608="",0,$A608-SUMPRODUCT(MIN(($C$8:$C$1007=$C608)*$A$8:$A$1007+($C$8:$C$1007&lt;&gt;$C608)*100000))+1)</f>
        <v>0</v>
      </c>
      <c r="L608" s="19" t="str">
        <f aca="false">IF($A608="","",IF($J608=0,"Sem registro anterior",IF($K608&lt;21,"Histórico insuficiente",IF($J608&lt;0.8,"Subcarga",IF($J608&lt;=1.3,"Zona ideal",IF($J608&lt;=1.5,"Atenção","Risco elevado"))))))</f>
        <v/>
      </c>
      <c r="M608" s="20"/>
    </row>
    <row r="609" customFormat="false" ht="15" hidden="false" customHeight="false" outlineLevel="0" collapsed="false">
      <c r="A609" s="21"/>
      <c r="B609" s="33" t="n">
        <f aca="false">IF($A609="",0,INT(($A609-Macrociclo!$C$11)/7)+1)</f>
        <v>0</v>
      </c>
      <c r="C609" s="20"/>
      <c r="D609" s="20"/>
      <c r="E609" s="22"/>
      <c r="F609" s="22"/>
      <c r="G609" s="48" t="n">
        <f aca="false">IF(OR($E609="",$F609=""),0,$E609*$F609)</f>
        <v>0</v>
      </c>
      <c r="H609" s="48" t="n">
        <f aca="false">IF($A609="",0,SUMIFS($G$8:$G$1007,$C$8:$C$1007,$C609,$A$8:$A$1007,"&gt;="&amp;$A609-6,$A$8:$A$1007,"&lt;="&amp;$A609))</f>
        <v>0</v>
      </c>
      <c r="I609" s="48" t="n">
        <f aca="false">IF($A609="",0,SUMIFS($G$8:$G$1007,$C$8:$C$1007,$C609,$A$8:$A$1007,"&gt;="&amp;$A609-27,$A$8:$A$1007,"&lt;="&amp;$A609)/4)</f>
        <v>0</v>
      </c>
      <c r="J609" s="67" t="n">
        <f aca="false">IF(OR($A609="",$I609=0),0,$H609/$I609)</f>
        <v>0</v>
      </c>
      <c r="K609" s="33" t="n">
        <f aca="false">IF($A609="",0,$A609-SUMPRODUCT(MIN(($C$8:$C$1007=$C609)*$A$8:$A$1007+($C$8:$C$1007&lt;&gt;$C609)*100000))+1)</f>
        <v>0</v>
      </c>
      <c r="L609" s="19" t="str">
        <f aca="false">IF($A609="","",IF($J609=0,"Sem registro anterior",IF($K609&lt;21,"Histórico insuficiente",IF($J609&lt;0.8,"Subcarga",IF($J609&lt;=1.3,"Zona ideal",IF($J609&lt;=1.5,"Atenção","Risco elevado"))))))</f>
        <v/>
      </c>
      <c r="M609" s="20"/>
    </row>
    <row r="610" customFormat="false" ht="15" hidden="false" customHeight="false" outlineLevel="0" collapsed="false">
      <c r="A610" s="21"/>
      <c r="B610" s="33" t="n">
        <f aca="false">IF($A610="",0,INT(($A610-Macrociclo!$C$11)/7)+1)</f>
        <v>0</v>
      </c>
      <c r="C610" s="20"/>
      <c r="D610" s="20"/>
      <c r="E610" s="22"/>
      <c r="F610" s="22"/>
      <c r="G610" s="48" t="n">
        <f aca="false">IF(OR($E610="",$F610=""),0,$E610*$F610)</f>
        <v>0</v>
      </c>
      <c r="H610" s="48" t="n">
        <f aca="false">IF($A610="",0,SUMIFS($G$8:$G$1007,$C$8:$C$1007,$C610,$A$8:$A$1007,"&gt;="&amp;$A610-6,$A$8:$A$1007,"&lt;="&amp;$A610))</f>
        <v>0</v>
      </c>
      <c r="I610" s="48" t="n">
        <f aca="false">IF($A610="",0,SUMIFS($G$8:$G$1007,$C$8:$C$1007,$C610,$A$8:$A$1007,"&gt;="&amp;$A610-27,$A$8:$A$1007,"&lt;="&amp;$A610)/4)</f>
        <v>0</v>
      </c>
      <c r="J610" s="67" t="n">
        <f aca="false">IF(OR($A610="",$I610=0),0,$H610/$I610)</f>
        <v>0</v>
      </c>
      <c r="K610" s="33" t="n">
        <f aca="false">IF($A610="",0,$A610-SUMPRODUCT(MIN(($C$8:$C$1007=$C610)*$A$8:$A$1007+($C$8:$C$1007&lt;&gt;$C610)*100000))+1)</f>
        <v>0</v>
      </c>
      <c r="L610" s="19" t="str">
        <f aca="false">IF($A610="","",IF($J610=0,"Sem registro anterior",IF($K610&lt;21,"Histórico insuficiente",IF($J610&lt;0.8,"Subcarga",IF($J610&lt;=1.3,"Zona ideal",IF($J610&lt;=1.5,"Atenção","Risco elevado"))))))</f>
        <v/>
      </c>
      <c r="M610" s="20"/>
    </row>
    <row r="611" customFormat="false" ht="15" hidden="false" customHeight="false" outlineLevel="0" collapsed="false">
      <c r="A611" s="21"/>
      <c r="B611" s="33" t="n">
        <f aca="false">IF($A611="",0,INT(($A611-Macrociclo!$C$11)/7)+1)</f>
        <v>0</v>
      </c>
      <c r="C611" s="20"/>
      <c r="D611" s="20"/>
      <c r="E611" s="22"/>
      <c r="F611" s="22"/>
      <c r="G611" s="48" t="n">
        <f aca="false">IF(OR($E611="",$F611=""),0,$E611*$F611)</f>
        <v>0</v>
      </c>
      <c r="H611" s="48" t="n">
        <f aca="false">IF($A611="",0,SUMIFS($G$8:$G$1007,$C$8:$C$1007,$C611,$A$8:$A$1007,"&gt;="&amp;$A611-6,$A$8:$A$1007,"&lt;="&amp;$A611))</f>
        <v>0</v>
      </c>
      <c r="I611" s="48" t="n">
        <f aca="false">IF($A611="",0,SUMIFS($G$8:$G$1007,$C$8:$C$1007,$C611,$A$8:$A$1007,"&gt;="&amp;$A611-27,$A$8:$A$1007,"&lt;="&amp;$A611)/4)</f>
        <v>0</v>
      </c>
      <c r="J611" s="67" t="n">
        <f aca="false">IF(OR($A611="",$I611=0),0,$H611/$I611)</f>
        <v>0</v>
      </c>
      <c r="K611" s="33" t="n">
        <f aca="false">IF($A611="",0,$A611-SUMPRODUCT(MIN(($C$8:$C$1007=$C611)*$A$8:$A$1007+($C$8:$C$1007&lt;&gt;$C611)*100000))+1)</f>
        <v>0</v>
      </c>
      <c r="L611" s="19" t="str">
        <f aca="false">IF($A611="","",IF($J611=0,"Sem registro anterior",IF($K611&lt;21,"Histórico insuficiente",IF($J611&lt;0.8,"Subcarga",IF($J611&lt;=1.3,"Zona ideal",IF($J611&lt;=1.5,"Atenção","Risco elevado"))))))</f>
        <v/>
      </c>
      <c r="M611" s="20"/>
    </row>
    <row r="612" customFormat="false" ht="15" hidden="false" customHeight="false" outlineLevel="0" collapsed="false">
      <c r="A612" s="21"/>
      <c r="B612" s="33" t="n">
        <f aca="false">IF($A612="",0,INT(($A612-Macrociclo!$C$11)/7)+1)</f>
        <v>0</v>
      </c>
      <c r="C612" s="20"/>
      <c r="D612" s="20"/>
      <c r="E612" s="22"/>
      <c r="F612" s="22"/>
      <c r="G612" s="48" t="n">
        <f aca="false">IF(OR($E612="",$F612=""),0,$E612*$F612)</f>
        <v>0</v>
      </c>
      <c r="H612" s="48" t="n">
        <f aca="false">IF($A612="",0,SUMIFS($G$8:$G$1007,$C$8:$C$1007,$C612,$A$8:$A$1007,"&gt;="&amp;$A612-6,$A$8:$A$1007,"&lt;="&amp;$A612))</f>
        <v>0</v>
      </c>
      <c r="I612" s="48" t="n">
        <f aca="false">IF($A612="",0,SUMIFS($G$8:$G$1007,$C$8:$C$1007,$C612,$A$8:$A$1007,"&gt;="&amp;$A612-27,$A$8:$A$1007,"&lt;="&amp;$A612)/4)</f>
        <v>0</v>
      </c>
      <c r="J612" s="67" t="n">
        <f aca="false">IF(OR($A612="",$I612=0),0,$H612/$I612)</f>
        <v>0</v>
      </c>
      <c r="K612" s="33" t="n">
        <f aca="false">IF($A612="",0,$A612-SUMPRODUCT(MIN(($C$8:$C$1007=$C612)*$A$8:$A$1007+($C$8:$C$1007&lt;&gt;$C612)*100000))+1)</f>
        <v>0</v>
      </c>
      <c r="L612" s="19" t="str">
        <f aca="false">IF($A612="","",IF($J612=0,"Sem registro anterior",IF($K612&lt;21,"Histórico insuficiente",IF($J612&lt;0.8,"Subcarga",IF($J612&lt;=1.3,"Zona ideal",IF($J612&lt;=1.5,"Atenção","Risco elevado"))))))</f>
        <v/>
      </c>
      <c r="M612" s="20"/>
    </row>
    <row r="613" customFormat="false" ht="15" hidden="false" customHeight="false" outlineLevel="0" collapsed="false">
      <c r="A613" s="21"/>
      <c r="B613" s="33" t="n">
        <f aca="false">IF($A613="",0,INT(($A613-Macrociclo!$C$11)/7)+1)</f>
        <v>0</v>
      </c>
      <c r="C613" s="20"/>
      <c r="D613" s="20"/>
      <c r="E613" s="22"/>
      <c r="F613" s="22"/>
      <c r="G613" s="48" t="n">
        <f aca="false">IF(OR($E613="",$F613=""),0,$E613*$F613)</f>
        <v>0</v>
      </c>
      <c r="H613" s="48" t="n">
        <f aca="false">IF($A613="",0,SUMIFS($G$8:$G$1007,$C$8:$C$1007,$C613,$A$8:$A$1007,"&gt;="&amp;$A613-6,$A$8:$A$1007,"&lt;="&amp;$A613))</f>
        <v>0</v>
      </c>
      <c r="I613" s="48" t="n">
        <f aca="false">IF($A613="",0,SUMIFS($G$8:$G$1007,$C$8:$C$1007,$C613,$A$8:$A$1007,"&gt;="&amp;$A613-27,$A$8:$A$1007,"&lt;="&amp;$A613)/4)</f>
        <v>0</v>
      </c>
      <c r="J613" s="67" t="n">
        <f aca="false">IF(OR($A613="",$I613=0),0,$H613/$I613)</f>
        <v>0</v>
      </c>
      <c r="K613" s="33" t="n">
        <f aca="false">IF($A613="",0,$A613-SUMPRODUCT(MIN(($C$8:$C$1007=$C613)*$A$8:$A$1007+($C$8:$C$1007&lt;&gt;$C613)*100000))+1)</f>
        <v>0</v>
      </c>
      <c r="L613" s="19" t="str">
        <f aca="false">IF($A613="","",IF($J613=0,"Sem registro anterior",IF($K613&lt;21,"Histórico insuficiente",IF($J613&lt;0.8,"Subcarga",IF($J613&lt;=1.3,"Zona ideal",IF($J613&lt;=1.5,"Atenção","Risco elevado"))))))</f>
        <v/>
      </c>
      <c r="M613" s="20"/>
    </row>
    <row r="614" customFormat="false" ht="15" hidden="false" customHeight="false" outlineLevel="0" collapsed="false">
      <c r="A614" s="21"/>
      <c r="B614" s="33" t="n">
        <f aca="false">IF($A614="",0,INT(($A614-Macrociclo!$C$11)/7)+1)</f>
        <v>0</v>
      </c>
      <c r="C614" s="20"/>
      <c r="D614" s="20"/>
      <c r="E614" s="22"/>
      <c r="F614" s="22"/>
      <c r="G614" s="48" t="n">
        <f aca="false">IF(OR($E614="",$F614=""),0,$E614*$F614)</f>
        <v>0</v>
      </c>
      <c r="H614" s="48" t="n">
        <f aca="false">IF($A614="",0,SUMIFS($G$8:$G$1007,$C$8:$C$1007,$C614,$A$8:$A$1007,"&gt;="&amp;$A614-6,$A$8:$A$1007,"&lt;="&amp;$A614))</f>
        <v>0</v>
      </c>
      <c r="I614" s="48" t="n">
        <f aca="false">IF($A614="",0,SUMIFS($G$8:$G$1007,$C$8:$C$1007,$C614,$A$8:$A$1007,"&gt;="&amp;$A614-27,$A$8:$A$1007,"&lt;="&amp;$A614)/4)</f>
        <v>0</v>
      </c>
      <c r="J614" s="67" t="n">
        <f aca="false">IF(OR($A614="",$I614=0),0,$H614/$I614)</f>
        <v>0</v>
      </c>
      <c r="K614" s="33" t="n">
        <f aca="false">IF($A614="",0,$A614-SUMPRODUCT(MIN(($C$8:$C$1007=$C614)*$A$8:$A$1007+($C$8:$C$1007&lt;&gt;$C614)*100000))+1)</f>
        <v>0</v>
      </c>
      <c r="L614" s="19" t="str">
        <f aca="false">IF($A614="","",IF($J614=0,"Sem registro anterior",IF($K614&lt;21,"Histórico insuficiente",IF($J614&lt;0.8,"Subcarga",IF($J614&lt;=1.3,"Zona ideal",IF($J614&lt;=1.5,"Atenção","Risco elevado"))))))</f>
        <v/>
      </c>
      <c r="M614" s="20"/>
    </row>
    <row r="615" customFormat="false" ht="15" hidden="false" customHeight="false" outlineLevel="0" collapsed="false">
      <c r="A615" s="21"/>
      <c r="B615" s="33" t="n">
        <f aca="false">IF($A615="",0,INT(($A615-Macrociclo!$C$11)/7)+1)</f>
        <v>0</v>
      </c>
      <c r="C615" s="20"/>
      <c r="D615" s="20"/>
      <c r="E615" s="22"/>
      <c r="F615" s="22"/>
      <c r="G615" s="48" t="n">
        <f aca="false">IF(OR($E615="",$F615=""),0,$E615*$F615)</f>
        <v>0</v>
      </c>
      <c r="H615" s="48" t="n">
        <f aca="false">IF($A615="",0,SUMIFS($G$8:$G$1007,$C$8:$C$1007,$C615,$A$8:$A$1007,"&gt;="&amp;$A615-6,$A$8:$A$1007,"&lt;="&amp;$A615))</f>
        <v>0</v>
      </c>
      <c r="I615" s="48" t="n">
        <f aca="false">IF($A615="",0,SUMIFS($G$8:$G$1007,$C$8:$C$1007,$C615,$A$8:$A$1007,"&gt;="&amp;$A615-27,$A$8:$A$1007,"&lt;="&amp;$A615)/4)</f>
        <v>0</v>
      </c>
      <c r="J615" s="67" t="n">
        <f aca="false">IF(OR($A615="",$I615=0),0,$H615/$I615)</f>
        <v>0</v>
      </c>
      <c r="K615" s="33" t="n">
        <f aca="false">IF($A615="",0,$A615-SUMPRODUCT(MIN(($C$8:$C$1007=$C615)*$A$8:$A$1007+($C$8:$C$1007&lt;&gt;$C615)*100000))+1)</f>
        <v>0</v>
      </c>
      <c r="L615" s="19" t="str">
        <f aca="false">IF($A615="","",IF($J615=0,"Sem registro anterior",IF($K615&lt;21,"Histórico insuficiente",IF($J615&lt;0.8,"Subcarga",IF($J615&lt;=1.3,"Zona ideal",IF($J615&lt;=1.5,"Atenção","Risco elevado"))))))</f>
        <v/>
      </c>
      <c r="M615" s="20"/>
    </row>
    <row r="616" customFormat="false" ht="15" hidden="false" customHeight="false" outlineLevel="0" collapsed="false">
      <c r="A616" s="21"/>
      <c r="B616" s="33" t="n">
        <f aca="false">IF($A616="",0,INT(($A616-Macrociclo!$C$11)/7)+1)</f>
        <v>0</v>
      </c>
      <c r="C616" s="20"/>
      <c r="D616" s="20"/>
      <c r="E616" s="22"/>
      <c r="F616" s="22"/>
      <c r="G616" s="48" t="n">
        <f aca="false">IF(OR($E616="",$F616=""),0,$E616*$F616)</f>
        <v>0</v>
      </c>
      <c r="H616" s="48" t="n">
        <f aca="false">IF($A616="",0,SUMIFS($G$8:$G$1007,$C$8:$C$1007,$C616,$A$8:$A$1007,"&gt;="&amp;$A616-6,$A$8:$A$1007,"&lt;="&amp;$A616))</f>
        <v>0</v>
      </c>
      <c r="I616" s="48" t="n">
        <f aca="false">IF($A616="",0,SUMIFS($G$8:$G$1007,$C$8:$C$1007,$C616,$A$8:$A$1007,"&gt;="&amp;$A616-27,$A$8:$A$1007,"&lt;="&amp;$A616)/4)</f>
        <v>0</v>
      </c>
      <c r="J616" s="67" t="n">
        <f aca="false">IF(OR($A616="",$I616=0),0,$H616/$I616)</f>
        <v>0</v>
      </c>
      <c r="K616" s="33" t="n">
        <f aca="false">IF($A616="",0,$A616-SUMPRODUCT(MIN(($C$8:$C$1007=$C616)*$A$8:$A$1007+($C$8:$C$1007&lt;&gt;$C616)*100000))+1)</f>
        <v>0</v>
      </c>
      <c r="L616" s="19" t="str">
        <f aca="false">IF($A616="","",IF($J616=0,"Sem registro anterior",IF($K616&lt;21,"Histórico insuficiente",IF($J616&lt;0.8,"Subcarga",IF($J616&lt;=1.3,"Zona ideal",IF($J616&lt;=1.5,"Atenção","Risco elevado"))))))</f>
        <v/>
      </c>
      <c r="M616" s="20"/>
    </row>
    <row r="617" customFormat="false" ht="15" hidden="false" customHeight="false" outlineLevel="0" collapsed="false">
      <c r="A617" s="21"/>
      <c r="B617" s="33" t="n">
        <f aca="false">IF($A617="",0,INT(($A617-Macrociclo!$C$11)/7)+1)</f>
        <v>0</v>
      </c>
      <c r="C617" s="20"/>
      <c r="D617" s="20"/>
      <c r="E617" s="22"/>
      <c r="F617" s="22"/>
      <c r="G617" s="48" t="n">
        <f aca="false">IF(OR($E617="",$F617=""),0,$E617*$F617)</f>
        <v>0</v>
      </c>
      <c r="H617" s="48" t="n">
        <f aca="false">IF($A617="",0,SUMIFS($G$8:$G$1007,$C$8:$C$1007,$C617,$A$8:$A$1007,"&gt;="&amp;$A617-6,$A$8:$A$1007,"&lt;="&amp;$A617))</f>
        <v>0</v>
      </c>
      <c r="I617" s="48" t="n">
        <f aca="false">IF($A617="",0,SUMIFS($G$8:$G$1007,$C$8:$C$1007,$C617,$A$8:$A$1007,"&gt;="&amp;$A617-27,$A$8:$A$1007,"&lt;="&amp;$A617)/4)</f>
        <v>0</v>
      </c>
      <c r="J617" s="67" t="n">
        <f aca="false">IF(OR($A617="",$I617=0),0,$H617/$I617)</f>
        <v>0</v>
      </c>
      <c r="K617" s="33" t="n">
        <f aca="false">IF($A617="",0,$A617-SUMPRODUCT(MIN(($C$8:$C$1007=$C617)*$A$8:$A$1007+($C$8:$C$1007&lt;&gt;$C617)*100000))+1)</f>
        <v>0</v>
      </c>
      <c r="L617" s="19" t="str">
        <f aca="false">IF($A617="","",IF($J617=0,"Sem registro anterior",IF($K617&lt;21,"Histórico insuficiente",IF($J617&lt;0.8,"Subcarga",IF($J617&lt;=1.3,"Zona ideal",IF($J617&lt;=1.5,"Atenção","Risco elevado"))))))</f>
        <v/>
      </c>
      <c r="M617" s="20"/>
    </row>
    <row r="618" customFormat="false" ht="15" hidden="false" customHeight="false" outlineLevel="0" collapsed="false">
      <c r="A618" s="21"/>
      <c r="B618" s="33" t="n">
        <f aca="false">IF($A618="",0,INT(($A618-Macrociclo!$C$11)/7)+1)</f>
        <v>0</v>
      </c>
      <c r="C618" s="20"/>
      <c r="D618" s="20"/>
      <c r="E618" s="22"/>
      <c r="F618" s="22"/>
      <c r="G618" s="48" t="n">
        <f aca="false">IF(OR($E618="",$F618=""),0,$E618*$F618)</f>
        <v>0</v>
      </c>
      <c r="H618" s="48" t="n">
        <f aca="false">IF($A618="",0,SUMIFS($G$8:$G$1007,$C$8:$C$1007,$C618,$A$8:$A$1007,"&gt;="&amp;$A618-6,$A$8:$A$1007,"&lt;="&amp;$A618))</f>
        <v>0</v>
      </c>
      <c r="I618" s="48" t="n">
        <f aca="false">IF($A618="",0,SUMIFS($G$8:$G$1007,$C$8:$C$1007,$C618,$A$8:$A$1007,"&gt;="&amp;$A618-27,$A$8:$A$1007,"&lt;="&amp;$A618)/4)</f>
        <v>0</v>
      </c>
      <c r="J618" s="67" t="n">
        <f aca="false">IF(OR($A618="",$I618=0),0,$H618/$I618)</f>
        <v>0</v>
      </c>
      <c r="K618" s="33" t="n">
        <f aca="false">IF($A618="",0,$A618-SUMPRODUCT(MIN(($C$8:$C$1007=$C618)*$A$8:$A$1007+($C$8:$C$1007&lt;&gt;$C618)*100000))+1)</f>
        <v>0</v>
      </c>
      <c r="L618" s="19" t="str">
        <f aca="false">IF($A618="","",IF($J618=0,"Sem registro anterior",IF($K618&lt;21,"Histórico insuficiente",IF($J618&lt;0.8,"Subcarga",IF($J618&lt;=1.3,"Zona ideal",IF($J618&lt;=1.5,"Atenção","Risco elevado"))))))</f>
        <v/>
      </c>
      <c r="M618" s="20"/>
    </row>
    <row r="619" customFormat="false" ht="15" hidden="false" customHeight="false" outlineLevel="0" collapsed="false">
      <c r="A619" s="21"/>
      <c r="B619" s="33" t="n">
        <f aca="false">IF($A619="",0,INT(($A619-Macrociclo!$C$11)/7)+1)</f>
        <v>0</v>
      </c>
      <c r="C619" s="20"/>
      <c r="D619" s="20"/>
      <c r="E619" s="22"/>
      <c r="F619" s="22"/>
      <c r="G619" s="48" t="n">
        <f aca="false">IF(OR($E619="",$F619=""),0,$E619*$F619)</f>
        <v>0</v>
      </c>
      <c r="H619" s="48" t="n">
        <f aca="false">IF($A619="",0,SUMIFS($G$8:$G$1007,$C$8:$C$1007,$C619,$A$8:$A$1007,"&gt;="&amp;$A619-6,$A$8:$A$1007,"&lt;="&amp;$A619))</f>
        <v>0</v>
      </c>
      <c r="I619" s="48" t="n">
        <f aca="false">IF($A619="",0,SUMIFS($G$8:$G$1007,$C$8:$C$1007,$C619,$A$8:$A$1007,"&gt;="&amp;$A619-27,$A$8:$A$1007,"&lt;="&amp;$A619)/4)</f>
        <v>0</v>
      </c>
      <c r="J619" s="67" t="n">
        <f aca="false">IF(OR($A619="",$I619=0),0,$H619/$I619)</f>
        <v>0</v>
      </c>
      <c r="K619" s="33" t="n">
        <f aca="false">IF($A619="",0,$A619-SUMPRODUCT(MIN(($C$8:$C$1007=$C619)*$A$8:$A$1007+($C$8:$C$1007&lt;&gt;$C619)*100000))+1)</f>
        <v>0</v>
      </c>
      <c r="L619" s="19" t="str">
        <f aca="false">IF($A619="","",IF($J619=0,"Sem registro anterior",IF($K619&lt;21,"Histórico insuficiente",IF($J619&lt;0.8,"Subcarga",IF($J619&lt;=1.3,"Zona ideal",IF($J619&lt;=1.5,"Atenção","Risco elevado"))))))</f>
        <v/>
      </c>
      <c r="M619" s="20"/>
    </row>
    <row r="620" customFormat="false" ht="15" hidden="false" customHeight="false" outlineLevel="0" collapsed="false">
      <c r="A620" s="21"/>
      <c r="B620" s="33" t="n">
        <f aca="false">IF($A620="",0,INT(($A620-Macrociclo!$C$11)/7)+1)</f>
        <v>0</v>
      </c>
      <c r="C620" s="20"/>
      <c r="D620" s="20"/>
      <c r="E620" s="22"/>
      <c r="F620" s="22"/>
      <c r="G620" s="48" t="n">
        <f aca="false">IF(OR($E620="",$F620=""),0,$E620*$F620)</f>
        <v>0</v>
      </c>
      <c r="H620" s="48" t="n">
        <f aca="false">IF($A620="",0,SUMIFS($G$8:$G$1007,$C$8:$C$1007,$C620,$A$8:$A$1007,"&gt;="&amp;$A620-6,$A$8:$A$1007,"&lt;="&amp;$A620))</f>
        <v>0</v>
      </c>
      <c r="I620" s="48" t="n">
        <f aca="false">IF($A620="",0,SUMIFS($G$8:$G$1007,$C$8:$C$1007,$C620,$A$8:$A$1007,"&gt;="&amp;$A620-27,$A$8:$A$1007,"&lt;="&amp;$A620)/4)</f>
        <v>0</v>
      </c>
      <c r="J620" s="67" t="n">
        <f aca="false">IF(OR($A620="",$I620=0),0,$H620/$I620)</f>
        <v>0</v>
      </c>
      <c r="K620" s="33" t="n">
        <f aca="false">IF($A620="",0,$A620-SUMPRODUCT(MIN(($C$8:$C$1007=$C620)*$A$8:$A$1007+($C$8:$C$1007&lt;&gt;$C620)*100000))+1)</f>
        <v>0</v>
      </c>
      <c r="L620" s="19" t="str">
        <f aca="false">IF($A620="","",IF($J620=0,"Sem registro anterior",IF($K620&lt;21,"Histórico insuficiente",IF($J620&lt;0.8,"Subcarga",IF($J620&lt;=1.3,"Zona ideal",IF($J620&lt;=1.5,"Atenção","Risco elevado"))))))</f>
        <v/>
      </c>
      <c r="M620" s="20"/>
    </row>
    <row r="621" customFormat="false" ht="15" hidden="false" customHeight="false" outlineLevel="0" collapsed="false">
      <c r="A621" s="21"/>
      <c r="B621" s="33" t="n">
        <f aca="false">IF($A621="",0,INT(($A621-Macrociclo!$C$11)/7)+1)</f>
        <v>0</v>
      </c>
      <c r="C621" s="20"/>
      <c r="D621" s="20"/>
      <c r="E621" s="22"/>
      <c r="F621" s="22"/>
      <c r="G621" s="48" t="n">
        <f aca="false">IF(OR($E621="",$F621=""),0,$E621*$F621)</f>
        <v>0</v>
      </c>
      <c r="H621" s="48" t="n">
        <f aca="false">IF($A621="",0,SUMIFS($G$8:$G$1007,$C$8:$C$1007,$C621,$A$8:$A$1007,"&gt;="&amp;$A621-6,$A$8:$A$1007,"&lt;="&amp;$A621))</f>
        <v>0</v>
      </c>
      <c r="I621" s="48" t="n">
        <f aca="false">IF($A621="",0,SUMIFS($G$8:$G$1007,$C$8:$C$1007,$C621,$A$8:$A$1007,"&gt;="&amp;$A621-27,$A$8:$A$1007,"&lt;="&amp;$A621)/4)</f>
        <v>0</v>
      </c>
      <c r="J621" s="67" t="n">
        <f aca="false">IF(OR($A621="",$I621=0),0,$H621/$I621)</f>
        <v>0</v>
      </c>
      <c r="K621" s="33" t="n">
        <f aca="false">IF($A621="",0,$A621-SUMPRODUCT(MIN(($C$8:$C$1007=$C621)*$A$8:$A$1007+($C$8:$C$1007&lt;&gt;$C621)*100000))+1)</f>
        <v>0</v>
      </c>
      <c r="L621" s="19" t="str">
        <f aca="false">IF($A621="","",IF($J621=0,"Sem registro anterior",IF($K621&lt;21,"Histórico insuficiente",IF($J621&lt;0.8,"Subcarga",IF($J621&lt;=1.3,"Zona ideal",IF($J621&lt;=1.5,"Atenção","Risco elevado"))))))</f>
        <v/>
      </c>
      <c r="M621" s="20"/>
    </row>
    <row r="622" customFormat="false" ht="15" hidden="false" customHeight="false" outlineLevel="0" collapsed="false">
      <c r="A622" s="21"/>
      <c r="B622" s="33" t="n">
        <f aca="false">IF($A622="",0,INT(($A622-Macrociclo!$C$11)/7)+1)</f>
        <v>0</v>
      </c>
      <c r="C622" s="20"/>
      <c r="D622" s="20"/>
      <c r="E622" s="22"/>
      <c r="F622" s="22"/>
      <c r="G622" s="48" t="n">
        <f aca="false">IF(OR($E622="",$F622=""),0,$E622*$F622)</f>
        <v>0</v>
      </c>
      <c r="H622" s="48" t="n">
        <f aca="false">IF($A622="",0,SUMIFS($G$8:$G$1007,$C$8:$C$1007,$C622,$A$8:$A$1007,"&gt;="&amp;$A622-6,$A$8:$A$1007,"&lt;="&amp;$A622))</f>
        <v>0</v>
      </c>
      <c r="I622" s="48" t="n">
        <f aca="false">IF($A622="",0,SUMIFS($G$8:$G$1007,$C$8:$C$1007,$C622,$A$8:$A$1007,"&gt;="&amp;$A622-27,$A$8:$A$1007,"&lt;="&amp;$A622)/4)</f>
        <v>0</v>
      </c>
      <c r="J622" s="67" t="n">
        <f aca="false">IF(OR($A622="",$I622=0),0,$H622/$I622)</f>
        <v>0</v>
      </c>
      <c r="K622" s="33" t="n">
        <f aca="false">IF($A622="",0,$A622-SUMPRODUCT(MIN(($C$8:$C$1007=$C622)*$A$8:$A$1007+($C$8:$C$1007&lt;&gt;$C622)*100000))+1)</f>
        <v>0</v>
      </c>
      <c r="L622" s="19" t="str">
        <f aca="false">IF($A622="","",IF($J622=0,"Sem registro anterior",IF($K622&lt;21,"Histórico insuficiente",IF($J622&lt;0.8,"Subcarga",IF($J622&lt;=1.3,"Zona ideal",IF($J622&lt;=1.5,"Atenção","Risco elevado"))))))</f>
        <v/>
      </c>
      <c r="M622" s="20"/>
    </row>
    <row r="623" customFormat="false" ht="15" hidden="false" customHeight="false" outlineLevel="0" collapsed="false">
      <c r="A623" s="21"/>
      <c r="B623" s="33" t="n">
        <f aca="false">IF($A623="",0,INT(($A623-Macrociclo!$C$11)/7)+1)</f>
        <v>0</v>
      </c>
      <c r="C623" s="20"/>
      <c r="D623" s="20"/>
      <c r="E623" s="22"/>
      <c r="F623" s="22"/>
      <c r="G623" s="48" t="n">
        <f aca="false">IF(OR($E623="",$F623=""),0,$E623*$F623)</f>
        <v>0</v>
      </c>
      <c r="H623" s="48" t="n">
        <f aca="false">IF($A623="",0,SUMIFS($G$8:$G$1007,$C$8:$C$1007,$C623,$A$8:$A$1007,"&gt;="&amp;$A623-6,$A$8:$A$1007,"&lt;="&amp;$A623))</f>
        <v>0</v>
      </c>
      <c r="I623" s="48" t="n">
        <f aca="false">IF($A623="",0,SUMIFS($G$8:$G$1007,$C$8:$C$1007,$C623,$A$8:$A$1007,"&gt;="&amp;$A623-27,$A$8:$A$1007,"&lt;="&amp;$A623)/4)</f>
        <v>0</v>
      </c>
      <c r="J623" s="67" t="n">
        <f aca="false">IF(OR($A623="",$I623=0),0,$H623/$I623)</f>
        <v>0</v>
      </c>
      <c r="K623" s="33" t="n">
        <f aca="false">IF($A623="",0,$A623-SUMPRODUCT(MIN(($C$8:$C$1007=$C623)*$A$8:$A$1007+($C$8:$C$1007&lt;&gt;$C623)*100000))+1)</f>
        <v>0</v>
      </c>
      <c r="L623" s="19" t="str">
        <f aca="false">IF($A623="","",IF($J623=0,"Sem registro anterior",IF($K623&lt;21,"Histórico insuficiente",IF($J623&lt;0.8,"Subcarga",IF($J623&lt;=1.3,"Zona ideal",IF($J623&lt;=1.5,"Atenção","Risco elevado"))))))</f>
        <v/>
      </c>
      <c r="M623" s="20"/>
    </row>
    <row r="624" customFormat="false" ht="15" hidden="false" customHeight="false" outlineLevel="0" collapsed="false">
      <c r="A624" s="21"/>
      <c r="B624" s="33" t="n">
        <f aca="false">IF($A624="",0,INT(($A624-Macrociclo!$C$11)/7)+1)</f>
        <v>0</v>
      </c>
      <c r="C624" s="20"/>
      <c r="D624" s="20"/>
      <c r="E624" s="22"/>
      <c r="F624" s="22"/>
      <c r="G624" s="48" t="n">
        <f aca="false">IF(OR($E624="",$F624=""),0,$E624*$F624)</f>
        <v>0</v>
      </c>
      <c r="H624" s="48" t="n">
        <f aca="false">IF($A624="",0,SUMIFS($G$8:$G$1007,$C$8:$C$1007,$C624,$A$8:$A$1007,"&gt;="&amp;$A624-6,$A$8:$A$1007,"&lt;="&amp;$A624))</f>
        <v>0</v>
      </c>
      <c r="I624" s="48" t="n">
        <f aca="false">IF($A624="",0,SUMIFS($G$8:$G$1007,$C$8:$C$1007,$C624,$A$8:$A$1007,"&gt;="&amp;$A624-27,$A$8:$A$1007,"&lt;="&amp;$A624)/4)</f>
        <v>0</v>
      </c>
      <c r="J624" s="67" t="n">
        <f aca="false">IF(OR($A624="",$I624=0),0,$H624/$I624)</f>
        <v>0</v>
      </c>
      <c r="K624" s="33" t="n">
        <f aca="false">IF($A624="",0,$A624-SUMPRODUCT(MIN(($C$8:$C$1007=$C624)*$A$8:$A$1007+($C$8:$C$1007&lt;&gt;$C624)*100000))+1)</f>
        <v>0</v>
      </c>
      <c r="L624" s="19" t="str">
        <f aca="false">IF($A624="","",IF($J624=0,"Sem registro anterior",IF($K624&lt;21,"Histórico insuficiente",IF($J624&lt;0.8,"Subcarga",IF($J624&lt;=1.3,"Zona ideal",IF($J624&lt;=1.5,"Atenção","Risco elevado"))))))</f>
        <v/>
      </c>
      <c r="M624" s="20"/>
    </row>
    <row r="625" customFormat="false" ht="15" hidden="false" customHeight="false" outlineLevel="0" collapsed="false">
      <c r="A625" s="21"/>
      <c r="B625" s="33" t="n">
        <f aca="false">IF($A625="",0,INT(($A625-Macrociclo!$C$11)/7)+1)</f>
        <v>0</v>
      </c>
      <c r="C625" s="20"/>
      <c r="D625" s="20"/>
      <c r="E625" s="22"/>
      <c r="F625" s="22"/>
      <c r="G625" s="48" t="n">
        <f aca="false">IF(OR($E625="",$F625=""),0,$E625*$F625)</f>
        <v>0</v>
      </c>
      <c r="H625" s="48" t="n">
        <f aca="false">IF($A625="",0,SUMIFS($G$8:$G$1007,$C$8:$C$1007,$C625,$A$8:$A$1007,"&gt;="&amp;$A625-6,$A$8:$A$1007,"&lt;="&amp;$A625))</f>
        <v>0</v>
      </c>
      <c r="I625" s="48" t="n">
        <f aca="false">IF($A625="",0,SUMIFS($G$8:$G$1007,$C$8:$C$1007,$C625,$A$8:$A$1007,"&gt;="&amp;$A625-27,$A$8:$A$1007,"&lt;="&amp;$A625)/4)</f>
        <v>0</v>
      </c>
      <c r="J625" s="67" t="n">
        <f aca="false">IF(OR($A625="",$I625=0),0,$H625/$I625)</f>
        <v>0</v>
      </c>
      <c r="K625" s="33" t="n">
        <f aca="false">IF($A625="",0,$A625-SUMPRODUCT(MIN(($C$8:$C$1007=$C625)*$A$8:$A$1007+($C$8:$C$1007&lt;&gt;$C625)*100000))+1)</f>
        <v>0</v>
      </c>
      <c r="L625" s="19" t="str">
        <f aca="false">IF($A625="","",IF($J625=0,"Sem registro anterior",IF($K625&lt;21,"Histórico insuficiente",IF($J625&lt;0.8,"Subcarga",IF($J625&lt;=1.3,"Zona ideal",IF($J625&lt;=1.5,"Atenção","Risco elevado"))))))</f>
        <v/>
      </c>
      <c r="M625" s="20"/>
    </row>
    <row r="626" customFormat="false" ht="15" hidden="false" customHeight="false" outlineLevel="0" collapsed="false">
      <c r="A626" s="21"/>
      <c r="B626" s="33" t="n">
        <f aca="false">IF($A626="",0,INT(($A626-Macrociclo!$C$11)/7)+1)</f>
        <v>0</v>
      </c>
      <c r="C626" s="20"/>
      <c r="D626" s="20"/>
      <c r="E626" s="22"/>
      <c r="F626" s="22"/>
      <c r="G626" s="48" t="n">
        <f aca="false">IF(OR($E626="",$F626=""),0,$E626*$F626)</f>
        <v>0</v>
      </c>
      <c r="H626" s="48" t="n">
        <f aca="false">IF($A626="",0,SUMIFS($G$8:$G$1007,$C$8:$C$1007,$C626,$A$8:$A$1007,"&gt;="&amp;$A626-6,$A$8:$A$1007,"&lt;="&amp;$A626))</f>
        <v>0</v>
      </c>
      <c r="I626" s="48" t="n">
        <f aca="false">IF($A626="",0,SUMIFS($G$8:$G$1007,$C$8:$C$1007,$C626,$A$8:$A$1007,"&gt;="&amp;$A626-27,$A$8:$A$1007,"&lt;="&amp;$A626)/4)</f>
        <v>0</v>
      </c>
      <c r="J626" s="67" t="n">
        <f aca="false">IF(OR($A626="",$I626=0),0,$H626/$I626)</f>
        <v>0</v>
      </c>
      <c r="K626" s="33" t="n">
        <f aca="false">IF($A626="",0,$A626-SUMPRODUCT(MIN(($C$8:$C$1007=$C626)*$A$8:$A$1007+($C$8:$C$1007&lt;&gt;$C626)*100000))+1)</f>
        <v>0</v>
      </c>
      <c r="L626" s="19" t="str">
        <f aca="false">IF($A626="","",IF($J626=0,"Sem registro anterior",IF($K626&lt;21,"Histórico insuficiente",IF($J626&lt;0.8,"Subcarga",IF($J626&lt;=1.3,"Zona ideal",IF($J626&lt;=1.5,"Atenção","Risco elevado"))))))</f>
        <v/>
      </c>
      <c r="M626" s="20"/>
    </row>
    <row r="627" customFormat="false" ht="15" hidden="false" customHeight="false" outlineLevel="0" collapsed="false">
      <c r="A627" s="21"/>
      <c r="B627" s="33" t="n">
        <f aca="false">IF($A627="",0,INT(($A627-Macrociclo!$C$11)/7)+1)</f>
        <v>0</v>
      </c>
      <c r="C627" s="20"/>
      <c r="D627" s="20"/>
      <c r="E627" s="22"/>
      <c r="F627" s="22"/>
      <c r="G627" s="48" t="n">
        <f aca="false">IF(OR($E627="",$F627=""),0,$E627*$F627)</f>
        <v>0</v>
      </c>
      <c r="H627" s="48" t="n">
        <f aca="false">IF($A627="",0,SUMIFS($G$8:$G$1007,$C$8:$C$1007,$C627,$A$8:$A$1007,"&gt;="&amp;$A627-6,$A$8:$A$1007,"&lt;="&amp;$A627))</f>
        <v>0</v>
      </c>
      <c r="I627" s="48" t="n">
        <f aca="false">IF($A627="",0,SUMIFS($G$8:$G$1007,$C$8:$C$1007,$C627,$A$8:$A$1007,"&gt;="&amp;$A627-27,$A$8:$A$1007,"&lt;="&amp;$A627)/4)</f>
        <v>0</v>
      </c>
      <c r="J627" s="67" t="n">
        <f aca="false">IF(OR($A627="",$I627=0),0,$H627/$I627)</f>
        <v>0</v>
      </c>
      <c r="K627" s="33" t="n">
        <f aca="false">IF($A627="",0,$A627-SUMPRODUCT(MIN(($C$8:$C$1007=$C627)*$A$8:$A$1007+($C$8:$C$1007&lt;&gt;$C627)*100000))+1)</f>
        <v>0</v>
      </c>
      <c r="L627" s="19" t="str">
        <f aca="false">IF($A627="","",IF($J627=0,"Sem registro anterior",IF($K627&lt;21,"Histórico insuficiente",IF($J627&lt;0.8,"Subcarga",IF($J627&lt;=1.3,"Zona ideal",IF($J627&lt;=1.5,"Atenção","Risco elevado"))))))</f>
        <v/>
      </c>
      <c r="M627" s="20"/>
    </row>
    <row r="628" customFormat="false" ht="15" hidden="false" customHeight="false" outlineLevel="0" collapsed="false">
      <c r="A628" s="21"/>
      <c r="B628" s="33" t="n">
        <f aca="false">IF($A628="",0,INT(($A628-Macrociclo!$C$11)/7)+1)</f>
        <v>0</v>
      </c>
      <c r="C628" s="20"/>
      <c r="D628" s="20"/>
      <c r="E628" s="22"/>
      <c r="F628" s="22"/>
      <c r="G628" s="48" t="n">
        <f aca="false">IF(OR($E628="",$F628=""),0,$E628*$F628)</f>
        <v>0</v>
      </c>
      <c r="H628" s="48" t="n">
        <f aca="false">IF($A628="",0,SUMIFS($G$8:$G$1007,$C$8:$C$1007,$C628,$A$8:$A$1007,"&gt;="&amp;$A628-6,$A$8:$A$1007,"&lt;="&amp;$A628))</f>
        <v>0</v>
      </c>
      <c r="I628" s="48" t="n">
        <f aca="false">IF($A628="",0,SUMIFS($G$8:$G$1007,$C$8:$C$1007,$C628,$A$8:$A$1007,"&gt;="&amp;$A628-27,$A$8:$A$1007,"&lt;="&amp;$A628)/4)</f>
        <v>0</v>
      </c>
      <c r="J628" s="67" t="n">
        <f aca="false">IF(OR($A628="",$I628=0),0,$H628/$I628)</f>
        <v>0</v>
      </c>
      <c r="K628" s="33" t="n">
        <f aca="false">IF($A628="",0,$A628-SUMPRODUCT(MIN(($C$8:$C$1007=$C628)*$A$8:$A$1007+($C$8:$C$1007&lt;&gt;$C628)*100000))+1)</f>
        <v>0</v>
      </c>
      <c r="L628" s="19" t="str">
        <f aca="false">IF($A628="","",IF($J628=0,"Sem registro anterior",IF($K628&lt;21,"Histórico insuficiente",IF($J628&lt;0.8,"Subcarga",IF($J628&lt;=1.3,"Zona ideal",IF($J628&lt;=1.5,"Atenção","Risco elevado"))))))</f>
        <v/>
      </c>
      <c r="M628" s="20"/>
    </row>
    <row r="629" customFormat="false" ht="15" hidden="false" customHeight="false" outlineLevel="0" collapsed="false">
      <c r="A629" s="21"/>
      <c r="B629" s="33" t="n">
        <f aca="false">IF($A629="",0,INT(($A629-Macrociclo!$C$11)/7)+1)</f>
        <v>0</v>
      </c>
      <c r="C629" s="20"/>
      <c r="D629" s="20"/>
      <c r="E629" s="22"/>
      <c r="F629" s="22"/>
      <c r="G629" s="48" t="n">
        <f aca="false">IF(OR($E629="",$F629=""),0,$E629*$F629)</f>
        <v>0</v>
      </c>
      <c r="H629" s="48" t="n">
        <f aca="false">IF($A629="",0,SUMIFS($G$8:$G$1007,$C$8:$C$1007,$C629,$A$8:$A$1007,"&gt;="&amp;$A629-6,$A$8:$A$1007,"&lt;="&amp;$A629))</f>
        <v>0</v>
      </c>
      <c r="I629" s="48" t="n">
        <f aca="false">IF($A629="",0,SUMIFS($G$8:$G$1007,$C$8:$C$1007,$C629,$A$8:$A$1007,"&gt;="&amp;$A629-27,$A$8:$A$1007,"&lt;="&amp;$A629)/4)</f>
        <v>0</v>
      </c>
      <c r="J629" s="67" t="n">
        <f aca="false">IF(OR($A629="",$I629=0),0,$H629/$I629)</f>
        <v>0</v>
      </c>
      <c r="K629" s="33" t="n">
        <f aca="false">IF($A629="",0,$A629-SUMPRODUCT(MIN(($C$8:$C$1007=$C629)*$A$8:$A$1007+($C$8:$C$1007&lt;&gt;$C629)*100000))+1)</f>
        <v>0</v>
      </c>
      <c r="L629" s="19" t="str">
        <f aca="false">IF($A629="","",IF($J629=0,"Sem registro anterior",IF($K629&lt;21,"Histórico insuficiente",IF($J629&lt;0.8,"Subcarga",IF($J629&lt;=1.3,"Zona ideal",IF($J629&lt;=1.5,"Atenção","Risco elevado"))))))</f>
        <v/>
      </c>
      <c r="M629" s="20"/>
    </row>
    <row r="630" customFormat="false" ht="15" hidden="false" customHeight="false" outlineLevel="0" collapsed="false">
      <c r="A630" s="21"/>
      <c r="B630" s="33" t="n">
        <f aca="false">IF($A630="",0,INT(($A630-Macrociclo!$C$11)/7)+1)</f>
        <v>0</v>
      </c>
      <c r="C630" s="20"/>
      <c r="D630" s="20"/>
      <c r="E630" s="22"/>
      <c r="F630" s="22"/>
      <c r="G630" s="48" t="n">
        <f aca="false">IF(OR($E630="",$F630=""),0,$E630*$F630)</f>
        <v>0</v>
      </c>
      <c r="H630" s="48" t="n">
        <f aca="false">IF($A630="",0,SUMIFS($G$8:$G$1007,$C$8:$C$1007,$C630,$A$8:$A$1007,"&gt;="&amp;$A630-6,$A$8:$A$1007,"&lt;="&amp;$A630))</f>
        <v>0</v>
      </c>
      <c r="I630" s="48" t="n">
        <f aca="false">IF($A630="",0,SUMIFS($G$8:$G$1007,$C$8:$C$1007,$C630,$A$8:$A$1007,"&gt;="&amp;$A630-27,$A$8:$A$1007,"&lt;="&amp;$A630)/4)</f>
        <v>0</v>
      </c>
      <c r="J630" s="67" t="n">
        <f aca="false">IF(OR($A630="",$I630=0),0,$H630/$I630)</f>
        <v>0</v>
      </c>
      <c r="K630" s="33" t="n">
        <f aca="false">IF($A630="",0,$A630-SUMPRODUCT(MIN(($C$8:$C$1007=$C630)*$A$8:$A$1007+($C$8:$C$1007&lt;&gt;$C630)*100000))+1)</f>
        <v>0</v>
      </c>
      <c r="L630" s="19" t="str">
        <f aca="false">IF($A630="","",IF($J630=0,"Sem registro anterior",IF($K630&lt;21,"Histórico insuficiente",IF($J630&lt;0.8,"Subcarga",IF($J630&lt;=1.3,"Zona ideal",IF($J630&lt;=1.5,"Atenção","Risco elevado"))))))</f>
        <v/>
      </c>
      <c r="M630" s="20"/>
    </row>
    <row r="631" customFormat="false" ht="15" hidden="false" customHeight="false" outlineLevel="0" collapsed="false">
      <c r="A631" s="21"/>
      <c r="B631" s="33" t="n">
        <f aca="false">IF($A631="",0,INT(($A631-Macrociclo!$C$11)/7)+1)</f>
        <v>0</v>
      </c>
      <c r="C631" s="20"/>
      <c r="D631" s="20"/>
      <c r="E631" s="22"/>
      <c r="F631" s="22"/>
      <c r="G631" s="48" t="n">
        <f aca="false">IF(OR($E631="",$F631=""),0,$E631*$F631)</f>
        <v>0</v>
      </c>
      <c r="H631" s="48" t="n">
        <f aca="false">IF($A631="",0,SUMIFS($G$8:$G$1007,$C$8:$C$1007,$C631,$A$8:$A$1007,"&gt;="&amp;$A631-6,$A$8:$A$1007,"&lt;="&amp;$A631))</f>
        <v>0</v>
      </c>
      <c r="I631" s="48" t="n">
        <f aca="false">IF($A631="",0,SUMIFS($G$8:$G$1007,$C$8:$C$1007,$C631,$A$8:$A$1007,"&gt;="&amp;$A631-27,$A$8:$A$1007,"&lt;="&amp;$A631)/4)</f>
        <v>0</v>
      </c>
      <c r="J631" s="67" t="n">
        <f aca="false">IF(OR($A631="",$I631=0),0,$H631/$I631)</f>
        <v>0</v>
      </c>
      <c r="K631" s="33" t="n">
        <f aca="false">IF($A631="",0,$A631-SUMPRODUCT(MIN(($C$8:$C$1007=$C631)*$A$8:$A$1007+($C$8:$C$1007&lt;&gt;$C631)*100000))+1)</f>
        <v>0</v>
      </c>
      <c r="L631" s="19" t="str">
        <f aca="false">IF($A631="","",IF($J631=0,"Sem registro anterior",IF($K631&lt;21,"Histórico insuficiente",IF($J631&lt;0.8,"Subcarga",IF($J631&lt;=1.3,"Zona ideal",IF($J631&lt;=1.5,"Atenção","Risco elevado"))))))</f>
        <v/>
      </c>
      <c r="M631" s="20"/>
    </row>
    <row r="632" customFormat="false" ht="15" hidden="false" customHeight="false" outlineLevel="0" collapsed="false">
      <c r="A632" s="21"/>
      <c r="B632" s="33" t="n">
        <f aca="false">IF($A632="",0,INT(($A632-Macrociclo!$C$11)/7)+1)</f>
        <v>0</v>
      </c>
      <c r="C632" s="20"/>
      <c r="D632" s="20"/>
      <c r="E632" s="22"/>
      <c r="F632" s="22"/>
      <c r="G632" s="48" t="n">
        <f aca="false">IF(OR($E632="",$F632=""),0,$E632*$F632)</f>
        <v>0</v>
      </c>
      <c r="H632" s="48" t="n">
        <f aca="false">IF($A632="",0,SUMIFS($G$8:$G$1007,$C$8:$C$1007,$C632,$A$8:$A$1007,"&gt;="&amp;$A632-6,$A$8:$A$1007,"&lt;="&amp;$A632))</f>
        <v>0</v>
      </c>
      <c r="I632" s="48" t="n">
        <f aca="false">IF($A632="",0,SUMIFS($G$8:$G$1007,$C$8:$C$1007,$C632,$A$8:$A$1007,"&gt;="&amp;$A632-27,$A$8:$A$1007,"&lt;="&amp;$A632)/4)</f>
        <v>0</v>
      </c>
      <c r="J632" s="67" t="n">
        <f aca="false">IF(OR($A632="",$I632=0),0,$H632/$I632)</f>
        <v>0</v>
      </c>
      <c r="K632" s="33" t="n">
        <f aca="false">IF($A632="",0,$A632-SUMPRODUCT(MIN(($C$8:$C$1007=$C632)*$A$8:$A$1007+($C$8:$C$1007&lt;&gt;$C632)*100000))+1)</f>
        <v>0</v>
      </c>
      <c r="L632" s="19" t="str">
        <f aca="false">IF($A632="","",IF($J632=0,"Sem registro anterior",IF($K632&lt;21,"Histórico insuficiente",IF($J632&lt;0.8,"Subcarga",IF($J632&lt;=1.3,"Zona ideal",IF($J632&lt;=1.5,"Atenção","Risco elevado"))))))</f>
        <v/>
      </c>
      <c r="M632" s="20"/>
    </row>
    <row r="633" customFormat="false" ht="15" hidden="false" customHeight="false" outlineLevel="0" collapsed="false">
      <c r="A633" s="21"/>
      <c r="B633" s="33" t="n">
        <f aca="false">IF($A633="",0,INT(($A633-Macrociclo!$C$11)/7)+1)</f>
        <v>0</v>
      </c>
      <c r="C633" s="20"/>
      <c r="D633" s="20"/>
      <c r="E633" s="22"/>
      <c r="F633" s="22"/>
      <c r="G633" s="48" t="n">
        <f aca="false">IF(OR($E633="",$F633=""),0,$E633*$F633)</f>
        <v>0</v>
      </c>
      <c r="H633" s="48" t="n">
        <f aca="false">IF($A633="",0,SUMIFS($G$8:$G$1007,$C$8:$C$1007,$C633,$A$8:$A$1007,"&gt;="&amp;$A633-6,$A$8:$A$1007,"&lt;="&amp;$A633))</f>
        <v>0</v>
      </c>
      <c r="I633" s="48" t="n">
        <f aca="false">IF($A633="",0,SUMIFS($G$8:$G$1007,$C$8:$C$1007,$C633,$A$8:$A$1007,"&gt;="&amp;$A633-27,$A$8:$A$1007,"&lt;="&amp;$A633)/4)</f>
        <v>0</v>
      </c>
      <c r="J633" s="67" t="n">
        <f aca="false">IF(OR($A633="",$I633=0),0,$H633/$I633)</f>
        <v>0</v>
      </c>
      <c r="K633" s="33" t="n">
        <f aca="false">IF($A633="",0,$A633-SUMPRODUCT(MIN(($C$8:$C$1007=$C633)*$A$8:$A$1007+($C$8:$C$1007&lt;&gt;$C633)*100000))+1)</f>
        <v>0</v>
      </c>
      <c r="L633" s="19" t="str">
        <f aca="false">IF($A633="","",IF($J633=0,"Sem registro anterior",IF($K633&lt;21,"Histórico insuficiente",IF($J633&lt;0.8,"Subcarga",IF($J633&lt;=1.3,"Zona ideal",IF($J633&lt;=1.5,"Atenção","Risco elevado"))))))</f>
        <v/>
      </c>
      <c r="M633" s="20"/>
    </row>
    <row r="634" customFormat="false" ht="15" hidden="false" customHeight="false" outlineLevel="0" collapsed="false">
      <c r="A634" s="21"/>
      <c r="B634" s="33" t="n">
        <f aca="false">IF($A634="",0,INT(($A634-Macrociclo!$C$11)/7)+1)</f>
        <v>0</v>
      </c>
      <c r="C634" s="20"/>
      <c r="D634" s="20"/>
      <c r="E634" s="22"/>
      <c r="F634" s="22"/>
      <c r="G634" s="48" t="n">
        <f aca="false">IF(OR($E634="",$F634=""),0,$E634*$F634)</f>
        <v>0</v>
      </c>
      <c r="H634" s="48" t="n">
        <f aca="false">IF($A634="",0,SUMIFS($G$8:$G$1007,$C$8:$C$1007,$C634,$A$8:$A$1007,"&gt;="&amp;$A634-6,$A$8:$A$1007,"&lt;="&amp;$A634))</f>
        <v>0</v>
      </c>
      <c r="I634" s="48" t="n">
        <f aca="false">IF($A634="",0,SUMIFS($G$8:$G$1007,$C$8:$C$1007,$C634,$A$8:$A$1007,"&gt;="&amp;$A634-27,$A$8:$A$1007,"&lt;="&amp;$A634)/4)</f>
        <v>0</v>
      </c>
      <c r="J634" s="67" t="n">
        <f aca="false">IF(OR($A634="",$I634=0),0,$H634/$I634)</f>
        <v>0</v>
      </c>
      <c r="K634" s="33" t="n">
        <f aca="false">IF($A634="",0,$A634-SUMPRODUCT(MIN(($C$8:$C$1007=$C634)*$A$8:$A$1007+($C$8:$C$1007&lt;&gt;$C634)*100000))+1)</f>
        <v>0</v>
      </c>
      <c r="L634" s="19" t="str">
        <f aca="false">IF($A634="","",IF($J634=0,"Sem registro anterior",IF($K634&lt;21,"Histórico insuficiente",IF($J634&lt;0.8,"Subcarga",IF($J634&lt;=1.3,"Zona ideal",IF($J634&lt;=1.5,"Atenção","Risco elevado"))))))</f>
        <v/>
      </c>
      <c r="M634" s="20"/>
    </row>
    <row r="635" customFormat="false" ht="15" hidden="false" customHeight="false" outlineLevel="0" collapsed="false">
      <c r="A635" s="21"/>
      <c r="B635" s="33" t="n">
        <f aca="false">IF($A635="",0,INT(($A635-Macrociclo!$C$11)/7)+1)</f>
        <v>0</v>
      </c>
      <c r="C635" s="20"/>
      <c r="D635" s="20"/>
      <c r="E635" s="22"/>
      <c r="F635" s="22"/>
      <c r="G635" s="48" t="n">
        <f aca="false">IF(OR($E635="",$F635=""),0,$E635*$F635)</f>
        <v>0</v>
      </c>
      <c r="H635" s="48" t="n">
        <f aca="false">IF($A635="",0,SUMIFS($G$8:$G$1007,$C$8:$C$1007,$C635,$A$8:$A$1007,"&gt;="&amp;$A635-6,$A$8:$A$1007,"&lt;="&amp;$A635))</f>
        <v>0</v>
      </c>
      <c r="I635" s="48" t="n">
        <f aca="false">IF($A635="",0,SUMIFS($G$8:$G$1007,$C$8:$C$1007,$C635,$A$8:$A$1007,"&gt;="&amp;$A635-27,$A$8:$A$1007,"&lt;="&amp;$A635)/4)</f>
        <v>0</v>
      </c>
      <c r="J635" s="67" t="n">
        <f aca="false">IF(OR($A635="",$I635=0),0,$H635/$I635)</f>
        <v>0</v>
      </c>
      <c r="K635" s="33" t="n">
        <f aca="false">IF($A635="",0,$A635-SUMPRODUCT(MIN(($C$8:$C$1007=$C635)*$A$8:$A$1007+($C$8:$C$1007&lt;&gt;$C635)*100000))+1)</f>
        <v>0</v>
      </c>
      <c r="L635" s="19" t="str">
        <f aca="false">IF($A635="","",IF($J635=0,"Sem registro anterior",IF($K635&lt;21,"Histórico insuficiente",IF($J635&lt;0.8,"Subcarga",IF($J635&lt;=1.3,"Zona ideal",IF($J635&lt;=1.5,"Atenção","Risco elevado"))))))</f>
        <v/>
      </c>
      <c r="M635" s="20"/>
    </row>
    <row r="636" customFormat="false" ht="15" hidden="false" customHeight="false" outlineLevel="0" collapsed="false">
      <c r="A636" s="21"/>
      <c r="B636" s="33" t="n">
        <f aca="false">IF($A636="",0,INT(($A636-Macrociclo!$C$11)/7)+1)</f>
        <v>0</v>
      </c>
      <c r="C636" s="20"/>
      <c r="D636" s="20"/>
      <c r="E636" s="22"/>
      <c r="F636" s="22"/>
      <c r="G636" s="48" t="n">
        <f aca="false">IF(OR($E636="",$F636=""),0,$E636*$F636)</f>
        <v>0</v>
      </c>
      <c r="H636" s="48" t="n">
        <f aca="false">IF($A636="",0,SUMIFS($G$8:$G$1007,$C$8:$C$1007,$C636,$A$8:$A$1007,"&gt;="&amp;$A636-6,$A$8:$A$1007,"&lt;="&amp;$A636))</f>
        <v>0</v>
      </c>
      <c r="I636" s="48" t="n">
        <f aca="false">IF($A636="",0,SUMIFS($G$8:$G$1007,$C$8:$C$1007,$C636,$A$8:$A$1007,"&gt;="&amp;$A636-27,$A$8:$A$1007,"&lt;="&amp;$A636)/4)</f>
        <v>0</v>
      </c>
      <c r="J636" s="67" t="n">
        <f aca="false">IF(OR($A636="",$I636=0),0,$H636/$I636)</f>
        <v>0</v>
      </c>
      <c r="K636" s="33" t="n">
        <f aca="false">IF($A636="",0,$A636-SUMPRODUCT(MIN(($C$8:$C$1007=$C636)*$A$8:$A$1007+($C$8:$C$1007&lt;&gt;$C636)*100000))+1)</f>
        <v>0</v>
      </c>
      <c r="L636" s="19" t="str">
        <f aca="false">IF($A636="","",IF($J636=0,"Sem registro anterior",IF($K636&lt;21,"Histórico insuficiente",IF($J636&lt;0.8,"Subcarga",IF($J636&lt;=1.3,"Zona ideal",IF($J636&lt;=1.5,"Atenção","Risco elevado"))))))</f>
        <v/>
      </c>
      <c r="M636" s="20"/>
    </row>
    <row r="637" customFormat="false" ht="15" hidden="false" customHeight="false" outlineLevel="0" collapsed="false">
      <c r="A637" s="21"/>
      <c r="B637" s="33" t="n">
        <f aca="false">IF($A637="",0,INT(($A637-Macrociclo!$C$11)/7)+1)</f>
        <v>0</v>
      </c>
      <c r="C637" s="20"/>
      <c r="D637" s="20"/>
      <c r="E637" s="22"/>
      <c r="F637" s="22"/>
      <c r="G637" s="48" t="n">
        <f aca="false">IF(OR($E637="",$F637=""),0,$E637*$F637)</f>
        <v>0</v>
      </c>
      <c r="H637" s="48" t="n">
        <f aca="false">IF($A637="",0,SUMIFS($G$8:$G$1007,$C$8:$C$1007,$C637,$A$8:$A$1007,"&gt;="&amp;$A637-6,$A$8:$A$1007,"&lt;="&amp;$A637))</f>
        <v>0</v>
      </c>
      <c r="I637" s="48" t="n">
        <f aca="false">IF($A637="",0,SUMIFS($G$8:$G$1007,$C$8:$C$1007,$C637,$A$8:$A$1007,"&gt;="&amp;$A637-27,$A$8:$A$1007,"&lt;="&amp;$A637)/4)</f>
        <v>0</v>
      </c>
      <c r="J637" s="67" t="n">
        <f aca="false">IF(OR($A637="",$I637=0),0,$H637/$I637)</f>
        <v>0</v>
      </c>
      <c r="K637" s="33" t="n">
        <f aca="false">IF($A637="",0,$A637-SUMPRODUCT(MIN(($C$8:$C$1007=$C637)*$A$8:$A$1007+($C$8:$C$1007&lt;&gt;$C637)*100000))+1)</f>
        <v>0</v>
      </c>
      <c r="L637" s="19" t="str">
        <f aca="false">IF($A637="","",IF($J637=0,"Sem registro anterior",IF($K637&lt;21,"Histórico insuficiente",IF($J637&lt;0.8,"Subcarga",IF($J637&lt;=1.3,"Zona ideal",IF($J637&lt;=1.5,"Atenção","Risco elevado"))))))</f>
        <v/>
      </c>
      <c r="M637" s="20"/>
    </row>
    <row r="638" customFormat="false" ht="15" hidden="false" customHeight="false" outlineLevel="0" collapsed="false">
      <c r="A638" s="21"/>
      <c r="B638" s="33" t="n">
        <f aca="false">IF($A638="",0,INT(($A638-Macrociclo!$C$11)/7)+1)</f>
        <v>0</v>
      </c>
      <c r="C638" s="20"/>
      <c r="D638" s="20"/>
      <c r="E638" s="22"/>
      <c r="F638" s="22"/>
      <c r="G638" s="48" t="n">
        <f aca="false">IF(OR($E638="",$F638=""),0,$E638*$F638)</f>
        <v>0</v>
      </c>
      <c r="H638" s="48" t="n">
        <f aca="false">IF($A638="",0,SUMIFS($G$8:$G$1007,$C$8:$C$1007,$C638,$A$8:$A$1007,"&gt;="&amp;$A638-6,$A$8:$A$1007,"&lt;="&amp;$A638))</f>
        <v>0</v>
      </c>
      <c r="I638" s="48" t="n">
        <f aca="false">IF($A638="",0,SUMIFS($G$8:$G$1007,$C$8:$C$1007,$C638,$A$8:$A$1007,"&gt;="&amp;$A638-27,$A$8:$A$1007,"&lt;="&amp;$A638)/4)</f>
        <v>0</v>
      </c>
      <c r="J638" s="67" t="n">
        <f aca="false">IF(OR($A638="",$I638=0),0,$H638/$I638)</f>
        <v>0</v>
      </c>
      <c r="K638" s="33" t="n">
        <f aca="false">IF($A638="",0,$A638-SUMPRODUCT(MIN(($C$8:$C$1007=$C638)*$A$8:$A$1007+($C$8:$C$1007&lt;&gt;$C638)*100000))+1)</f>
        <v>0</v>
      </c>
      <c r="L638" s="19" t="str">
        <f aca="false">IF($A638="","",IF($J638=0,"Sem registro anterior",IF($K638&lt;21,"Histórico insuficiente",IF($J638&lt;0.8,"Subcarga",IF($J638&lt;=1.3,"Zona ideal",IF($J638&lt;=1.5,"Atenção","Risco elevado"))))))</f>
        <v/>
      </c>
      <c r="M638" s="20"/>
    </row>
    <row r="639" customFormat="false" ht="15" hidden="false" customHeight="false" outlineLevel="0" collapsed="false">
      <c r="A639" s="21"/>
      <c r="B639" s="33" t="n">
        <f aca="false">IF($A639="",0,INT(($A639-Macrociclo!$C$11)/7)+1)</f>
        <v>0</v>
      </c>
      <c r="C639" s="20"/>
      <c r="D639" s="20"/>
      <c r="E639" s="22"/>
      <c r="F639" s="22"/>
      <c r="G639" s="48" t="n">
        <f aca="false">IF(OR($E639="",$F639=""),0,$E639*$F639)</f>
        <v>0</v>
      </c>
      <c r="H639" s="48" t="n">
        <f aca="false">IF($A639="",0,SUMIFS($G$8:$G$1007,$C$8:$C$1007,$C639,$A$8:$A$1007,"&gt;="&amp;$A639-6,$A$8:$A$1007,"&lt;="&amp;$A639))</f>
        <v>0</v>
      </c>
      <c r="I639" s="48" t="n">
        <f aca="false">IF($A639="",0,SUMIFS($G$8:$G$1007,$C$8:$C$1007,$C639,$A$8:$A$1007,"&gt;="&amp;$A639-27,$A$8:$A$1007,"&lt;="&amp;$A639)/4)</f>
        <v>0</v>
      </c>
      <c r="J639" s="67" t="n">
        <f aca="false">IF(OR($A639="",$I639=0),0,$H639/$I639)</f>
        <v>0</v>
      </c>
      <c r="K639" s="33" t="n">
        <f aca="false">IF($A639="",0,$A639-SUMPRODUCT(MIN(($C$8:$C$1007=$C639)*$A$8:$A$1007+($C$8:$C$1007&lt;&gt;$C639)*100000))+1)</f>
        <v>0</v>
      </c>
      <c r="L639" s="19" t="str">
        <f aca="false">IF($A639="","",IF($J639=0,"Sem registro anterior",IF($K639&lt;21,"Histórico insuficiente",IF($J639&lt;0.8,"Subcarga",IF($J639&lt;=1.3,"Zona ideal",IF($J639&lt;=1.5,"Atenção","Risco elevado"))))))</f>
        <v/>
      </c>
      <c r="M639" s="20"/>
    </row>
    <row r="640" customFormat="false" ht="15" hidden="false" customHeight="false" outlineLevel="0" collapsed="false">
      <c r="A640" s="21"/>
      <c r="B640" s="33" t="n">
        <f aca="false">IF($A640="",0,INT(($A640-Macrociclo!$C$11)/7)+1)</f>
        <v>0</v>
      </c>
      <c r="C640" s="20"/>
      <c r="D640" s="20"/>
      <c r="E640" s="22"/>
      <c r="F640" s="22"/>
      <c r="G640" s="48" t="n">
        <f aca="false">IF(OR($E640="",$F640=""),0,$E640*$F640)</f>
        <v>0</v>
      </c>
      <c r="H640" s="48" t="n">
        <f aca="false">IF($A640="",0,SUMIFS($G$8:$G$1007,$C$8:$C$1007,$C640,$A$8:$A$1007,"&gt;="&amp;$A640-6,$A$8:$A$1007,"&lt;="&amp;$A640))</f>
        <v>0</v>
      </c>
      <c r="I640" s="48" t="n">
        <f aca="false">IF($A640="",0,SUMIFS($G$8:$G$1007,$C$8:$C$1007,$C640,$A$8:$A$1007,"&gt;="&amp;$A640-27,$A$8:$A$1007,"&lt;="&amp;$A640)/4)</f>
        <v>0</v>
      </c>
      <c r="J640" s="67" t="n">
        <f aca="false">IF(OR($A640="",$I640=0),0,$H640/$I640)</f>
        <v>0</v>
      </c>
      <c r="K640" s="33" t="n">
        <f aca="false">IF($A640="",0,$A640-SUMPRODUCT(MIN(($C$8:$C$1007=$C640)*$A$8:$A$1007+($C$8:$C$1007&lt;&gt;$C640)*100000))+1)</f>
        <v>0</v>
      </c>
      <c r="L640" s="19" t="str">
        <f aca="false">IF($A640="","",IF($J640=0,"Sem registro anterior",IF($K640&lt;21,"Histórico insuficiente",IF($J640&lt;0.8,"Subcarga",IF($J640&lt;=1.3,"Zona ideal",IF($J640&lt;=1.5,"Atenção","Risco elevado"))))))</f>
        <v/>
      </c>
      <c r="M640" s="20"/>
    </row>
    <row r="641" customFormat="false" ht="15" hidden="false" customHeight="false" outlineLevel="0" collapsed="false">
      <c r="A641" s="21"/>
      <c r="B641" s="33" t="n">
        <f aca="false">IF($A641="",0,INT(($A641-Macrociclo!$C$11)/7)+1)</f>
        <v>0</v>
      </c>
      <c r="C641" s="20"/>
      <c r="D641" s="20"/>
      <c r="E641" s="22"/>
      <c r="F641" s="22"/>
      <c r="G641" s="48" t="n">
        <f aca="false">IF(OR($E641="",$F641=""),0,$E641*$F641)</f>
        <v>0</v>
      </c>
      <c r="H641" s="48" t="n">
        <f aca="false">IF($A641="",0,SUMIFS($G$8:$G$1007,$C$8:$C$1007,$C641,$A$8:$A$1007,"&gt;="&amp;$A641-6,$A$8:$A$1007,"&lt;="&amp;$A641))</f>
        <v>0</v>
      </c>
      <c r="I641" s="48" t="n">
        <f aca="false">IF($A641="",0,SUMIFS($G$8:$G$1007,$C$8:$C$1007,$C641,$A$8:$A$1007,"&gt;="&amp;$A641-27,$A$8:$A$1007,"&lt;="&amp;$A641)/4)</f>
        <v>0</v>
      </c>
      <c r="J641" s="67" t="n">
        <f aca="false">IF(OR($A641="",$I641=0),0,$H641/$I641)</f>
        <v>0</v>
      </c>
      <c r="K641" s="33" t="n">
        <f aca="false">IF($A641="",0,$A641-SUMPRODUCT(MIN(($C$8:$C$1007=$C641)*$A$8:$A$1007+($C$8:$C$1007&lt;&gt;$C641)*100000))+1)</f>
        <v>0</v>
      </c>
      <c r="L641" s="19" t="str">
        <f aca="false">IF($A641="","",IF($J641=0,"Sem registro anterior",IF($K641&lt;21,"Histórico insuficiente",IF($J641&lt;0.8,"Subcarga",IF($J641&lt;=1.3,"Zona ideal",IF($J641&lt;=1.5,"Atenção","Risco elevado"))))))</f>
        <v/>
      </c>
      <c r="M641" s="20"/>
    </row>
    <row r="642" customFormat="false" ht="15" hidden="false" customHeight="false" outlineLevel="0" collapsed="false">
      <c r="A642" s="21"/>
      <c r="B642" s="33" t="n">
        <f aca="false">IF($A642="",0,INT(($A642-Macrociclo!$C$11)/7)+1)</f>
        <v>0</v>
      </c>
      <c r="C642" s="20"/>
      <c r="D642" s="20"/>
      <c r="E642" s="22"/>
      <c r="F642" s="22"/>
      <c r="G642" s="48" t="n">
        <f aca="false">IF(OR($E642="",$F642=""),0,$E642*$F642)</f>
        <v>0</v>
      </c>
      <c r="H642" s="48" t="n">
        <f aca="false">IF($A642="",0,SUMIFS($G$8:$G$1007,$C$8:$C$1007,$C642,$A$8:$A$1007,"&gt;="&amp;$A642-6,$A$8:$A$1007,"&lt;="&amp;$A642))</f>
        <v>0</v>
      </c>
      <c r="I642" s="48" t="n">
        <f aca="false">IF($A642="",0,SUMIFS($G$8:$G$1007,$C$8:$C$1007,$C642,$A$8:$A$1007,"&gt;="&amp;$A642-27,$A$8:$A$1007,"&lt;="&amp;$A642)/4)</f>
        <v>0</v>
      </c>
      <c r="J642" s="67" t="n">
        <f aca="false">IF(OR($A642="",$I642=0),0,$H642/$I642)</f>
        <v>0</v>
      </c>
      <c r="K642" s="33" t="n">
        <f aca="false">IF($A642="",0,$A642-SUMPRODUCT(MIN(($C$8:$C$1007=$C642)*$A$8:$A$1007+($C$8:$C$1007&lt;&gt;$C642)*100000))+1)</f>
        <v>0</v>
      </c>
      <c r="L642" s="19" t="str">
        <f aca="false">IF($A642="","",IF($J642=0,"Sem registro anterior",IF($K642&lt;21,"Histórico insuficiente",IF($J642&lt;0.8,"Subcarga",IF($J642&lt;=1.3,"Zona ideal",IF($J642&lt;=1.5,"Atenção","Risco elevado"))))))</f>
        <v/>
      </c>
      <c r="M642" s="20"/>
    </row>
    <row r="643" customFormat="false" ht="15" hidden="false" customHeight="false" outlineLevel="0" collapsed="false">
      <c r="A643" s="21"/>
      <c r="B643" s="33" t="n">
        <f aca="false">IF($A643="",0,INT(($A643-Macrociclo!$C$11)/7)+1)</f>
        <v>0</v>
      </c>
      <c r="C643" s="20"/>
      <c r="D643" s="20"/>
      <c r="E643" s="22"/>
      <c r="F643" s="22"/>
      <c r="G643" s="48" t="n">
        <f aca="false">IF(OR($E643="",$F643=""),0,$E643*$F643)</f>
        <v>0</v>
      </c>
      <c r="H643" s="48" t="n">
        <f aca="false">IF($A643="",0,SUMIFS($G$8:$G$1007,$C$8:$C$1007,$C643,$A$8:$A$1007,"&gt;="&amp;$A643-6,$A$8:$A$1007,"&lt;="&amp;$A643))</f>
        <v>0</v>
      </c>
      <c r="I643" s="48" t="n">
        <f aca="false">IF($A643="",0,SUMIFS($G$8:$G$1007,$C$8:$C$1007,$C643,$A$8:$A$1007,"&gt;="&amp;$A643-27,$A$8:$A$1007,"&lt;="&amp;$A643)/4)</f>
        <v>0</v>
      </c>
      <c r="J643" s="67" t="n">
        <f aca="false">IF(OR($A643="",$I643=0),0,$H643/$I643)</f>
        <v>0</v>
      </c>
      <c r="K643" s="33" t="n">
        <f aca="false">IF($A643="",0,$A643-SUMPRODUCT(MIN(($C$8:$C$1007=$C643)*$A$8:$A$1007+($C$8:$C$1007&lt;&gt;$C643)*100000))+1)</f>
        <v>0</v>
      </c>
      <c r="L643" s="19" t="str">
        <f aca="false">IF($A643="","",IF($J643=0,"Sem registro anterior",IF($K643&lt;21,"Histórico insuficiente",IF($J643&lt;0.8,"Subcarga",IF($J643&lt;=1.3,"Zona ideal",IF($J643&lt;=1.5,"Atenção","Risco elevado"))))))</f>
        <v/>
      </c>
      <c r="M643" s="20"/>
    </row>
    <row r="644" customFormat="false" ht="15" hidden="false" customHeight="false" outlineLevel="0" collapsed="false">
      <c r="A644" s="21"/>
      <c r="B644" s="33" t="n">
        <f aca="false">IF($A644="",0,INT(($A644-Macrociclo!$C$11)/7)+1)</f>
        <v>0</v>
      </c>
      <c r="C644" s="20"/>
      <c r="D644" s="20"/>
      <c r="E644" s="22"/>
      <c r="F644" s="22"/>
      <c r="G644" s="48" t="n">
        <f aca="false">IF(OR($E644="",$F644=""),0,$E644*$F644)</f>
        <v>0</v>
      </c>
      <c r="H644" s="48" t="n">
        <f aca="false">IF($A644="",0,SUMIFS($G$8:$G$1007,$C$8:$C$1007,$C644,$A$8:$A$1007,"&gt;="&amp;$A644-6,$A$8:$A$1007,"&lt;="&amp;$A644))</f>
        <v>0</v>
      </c>
      <c r="I644" s="48" t="n">
        <f aca="false">IF($A644="",0,SUMIFS($G$8:$G$1007,$C$8:$C$1007,$C644,$A$8:$A$1007,"&gt;="&amp;$A644-27,$A$8:$A$1007,"&lt;="&amp;$A644)/4)</f>
        <v>0</v>
      </c>
      <c r="J644" s="67" t="n">
        <f aca="false">IF(OR($A644="",$I644=0),0,$H644/$I644)</f>
        <v>0</v>
      </c>
      <c r="K644" s="33" t="n">
        <f aca="false">IF($A644="",0,$A644-SUMPRODUCT(MIN(($C$8:$C$1007=$C644)*$A$8:$A$1007+($C$8:$C$1007&lt;&gt;$C644)*100000))+1)</f>
        <v>0</v>
      </c>
      <c r="L644" s="19" t="str">
        <f aca="false">IF($A644="","",IF($J644=0,"Sem registro anterior",IF($K644&lt;21,"Histórico insuficiente",IF($J644&lt;0.8,"Subcarga",IF($J644&lt;=1.3,"Zona ideal",IF($J644&lt;=1.5,"Atenção","Risco elevado"))))))</f>
        <v/>
      </c>
      <c r="M644" s="20"/>
    </row>
    <row r="645" customFormat="false" ht="15" hidden="false" customHeight="false" outlineLevel="0" collapsed="false">
      <c r="A645" s="21"/>
      <c r="B645" s="33" t="n">
        <f aca="false">IF($A645="",0,INT(($A645-Macrociclo!$C$11)/7)+1)</f>
        <v>0</v>
      </c>
      <c r="C645" s="20"/>
      <c r="D645" s="20"/>
      <c r="E645" s="22"/>
      <c r="F645" s="22"/>
      <c r="G645" s="48" t="n">
        <f aca="false">IF(OR($E645="",$F645=""),0,$E645*$F645)</f>
        <v>0</v>
      </c>
      <c r="H645" s="48" t="n">
        <f aca="false">IF($A645="",0,SUMIFS($G$8:$G$1007,$C$8:$C$1007,$C645,$A$8:$A$1007,"&gt;="&amp;$A645-6,$A$8:$A$1007,"&lt;="&amp;$A645))</f>
        <v>0</v>
      </c>
      <c r="I645" s="48" t="n">
        <f aca="false">IF($A645="",0,SUMIFS($G$8:$G$1007,$C$8:$C$1007,$C645,$A$8:$A$1007,"&gt;="&amp;$A645-27,$A$8:$A$1007,"&lt;="&amp;$A645)/4)</f>
        <v>0</v>
      </c>
      <c r="J645" s="67" t="n">
        <f aca="false">IF(OR($A645="",$I645=0),0,$H645/$I645)</f>
        <v>0</v>
      </c>
      <c r="K645" s="33" t="n">
        <f aca="false">IF($A645="",0,$A645-SUMPRODUCT(MIN(($C$8:$C$1007=$C645)*$A$8:$A$1007+($C$8:$C$1007&lt;&gt;$C645)*100000))+1)</f>
        <v>0</v>
      </c>
      <c r="L645" s="19" t="str">
        <f aca="false">IF($A645="","",IF($J645=0,"Sem registro anterior",IF($K645&lt;21,"Histórico insuficiente",IF($J645&lt;0.8,"Subcarga",IF($J645&lt;=1.3,"Zona ideal",IF($J645&lt;=1.5,"Atenção","Risco elevado"))))))</f>
        <v/>
      </c>
      <c r="M645" s="20"/>
    </row>
    <row r="646" customFormat="false" ht="15" hidden="false" customHeight="false" outlineLevel="0" collapsed="false">
      <c r="A646" s="21"/>
      <c r="B646" s="33" t="n">
        <f aca="false">IF($A646="",0,INT(($A646-Macrociclo!$C$11)/7)+1)</f>
        <v>0</v>
      </c>
      <c r="C646" s="20"/>
      <c r="D646" s="20"/>
      <c r="E646" s="22"/>
      <c r="F646" s="22"/>
      <c r="G646" s="48" t="n">
        <f aca="false">IF(OR($E646="",$F646=""),0,$E646*$F646)</f>
        <v>0</v>
      </c>
      <c r="H646" s="48" t="n">
        <f aca="false">IF($A646="",0,SUMIFS($G$8:$G$1007,$C$8:$C$1007,$C646,$A$8:$A$1007,"&gt;="&amp;$A646-6,$A$8:$A$1007,"&lt;="&amp;$A646))</f>
        <v>0</v>
      </c>
      <c r="I646" s="48" t="n">
        <f aca="false">IF($A646="",0,SUMIFS($G$8:$G$1007,$C$8:$C$1007,$C646,$A$8:$A$1007,"&gt;="&amp;$A646-27,$A$8:$A$1007,"&lt;="&amp;$A646)/4)</f>
        <v>0</v>
      </c>
      <c r="J646" s="67" t="n">
        <f aca="false">IF(OR($A646="",$I646=0),0,$H646/$I646)</f>
        <v>0</v>
      </c>
      <c r="K646" s="33" t="n">
        <f aca="false">IF($A646="",0,$A646-SUMPRODUCT(MIN(($C$8:$C$1007=$C646)*$A$8:$A$1007+($C$8:$C$1007&lt;&gt;$C646)*100000))+1)</f>
        <v>0</v>
      </c>
      <c r="L646" s="19" t="str">
        <f aca="false">IF($A646="","",IF($J646=0,"Sem registro anterior",IF($K646&lt;21,"Histórico insuficiente",IF($J646&lt;0.8,"Subcarga",IF($J646&lt;=1.3,"Zona ideal",IF($J646&lt;=1.5,"Atenção","Risco elevado"))))))</f>
        <v/>
      </c>
      <c r="M646" s="20"/>
    </row>
    <row r="647" customFormat="false" ht="15" hidden="false" customHeight="false" outlineLevel="0" collapsed="false">
      <c r="A647" s="21"/>
      <c r="B647" s="33" t="n">
        <f aca="false">IF($A647="",0,INT(($A647-Macrociclo!$C$11)/7)+1)</f>
        <v>0</v>
      </c>
      <c r="C647" s="20"/>
      <c r="D647" s="20"/>
      <c r="E647" s="22"/>
      <c r="F647" s="22"/>
      <c r="G647" s="48" t="n">
        <f aca="false">IF(OR($E647="",$F647=""),0,$E647*$F647)</f>
        <v>0</v>
      </c>
      <c r="H647" s="48" t="n">
        <f aca="false">IF($A647="",0,SUMIFS($G$8:$G$1007,$C$8:$C$1007,$C647,$A$8:$A$1007,"&gt;="&amp;$A647-6,$A$8:$A$1007,"&lt;="&amp;$A647))</f>
        <v>0</v>
      </c>
      <c r="I647" s="48" t="n">
        <f aca="false">IF($A647="",0,SUMIFS($G$8:$G$1007,$C$8:$C$1007,$C647,$A$8:$A$1007,"&gt;="&amp;$A647-27,$A$8:$A$1007,"&lt;="&amp;$A647)/4)</f>
        <v>0</v>
      </c>
      <c r="J647" s="67" t="n">
        <f aca="false">IF(OR($A647="",$I647=0),0,$H647/$I647)</f>
        <v>0</v>
      </c>
      <c r="K647" s="33" t="n">
        <f aca="false">IF($A647="",0,$A647-SUMPRODUCT(MIN(($C$8:$C$1007=$C647)*$A$8:$A$1007+($C$8:$C$1007&lt;&gt;$C647)*100000))+1)</f>
        <v>0</v>
      </c>
      <c r="L647" s="19" t="str">
        <f aca="false">IF($A647="","",IF($J647=0,"Sem registro anterior",IF($K647&lt;21,"Histórico insuficiente",IF($J647&lt;0.8,"Subcarga",IF($J647&lt;=1.3,"Zona ideal",IF($J647&lt;=1.5,"Atenção","Risco elevado"))))))</f>
        <v/>
      </c>
      <c r="M647" s="20"/>
    </row>
    <row r="648" customFormat="false" ht="15" hidden="false" customHeight="false" outlineLevel="0" collapsed="false">
      <c r="A648" s="21"/>
      <c r="B648" s="33" t="n">
        <f aca="false">IF($A648="",0,INT(($A648-Macrociclo!$C$11)/7)+1)</f>
        <v>0</v>
      </c>
      <c r="C648" s="20"/>
      <c r="D648" s="20"/>
      <c r="E648" s="22"/>
      <c r="F648" s="22"/>
      <c r="G648" s="48" t="n">
        <f aca="false">IF(OR($E648="",$F648=""),0,$E648*$F648)</f>
        <v>0</v>
      </c>
      <c r="H648" s="48" t="n">
        <f aca="false">IF($A648="",0,SUMIFS($G$8:$G$1007,$C$8:$C$1007,$C648,$A$8:$A$1007,"&gt;="&amp;$A648-6,$A$8:$A$1007,"&lt;="&amp;$A648))</f>
        <v>0</v>
      </c>
      <c r="I648" s="48" t="n">
        <f aca="false">IF($A648="",0,SUMIFS($G$8:$G$1007,$C$8:$C$1007,$C648,$A$8:$A$1007,"&gt;="&amp;$A648-27,$A$8:$A$1007,"&lt;="&amp;$A648)/4)</f>
        <v>0</v>
      </c>
      <c r="J648" s="67" t="n">
        <f aca="false">IF(OR($A648="",$I648=0),0,$H648/$I648)</f>
        <v>0</v>
      </c>
      <c r="K648" s="33" t="n">
        <f aca="false">IF($A648="",0,$A648-SUMPRODUCT(MIN(($C$8:$C$1007=$C648)*$A$8:$A$1007+($C$8:$C$1007&lt;&gt;$C648)*100000))+1)</f>
        <v>0</v>
      </c>
      <c r="L648" s="19" t="str">
        <f aca="false">IF($A648="","",IF($J648=0,"Sem registro anterior",IF($K648&lt;21,"Histórico insuficiente",IF($J648&lt;0.8,"Subcarga",IF($J648&lt;=1.3,"Zona ideal",IF($J648&lt;=1.5,"Atenção","Risco elevado"))))))</f>
        <v/>
      </c>
      <c r="M648" s="20"/>
    </row>
    <row r="649" customFormat="false" ht="15" hidden="false" customHeight="false" outlineLevel="0" collapsed="false">
      <c r="A649" s="21"/>
      <c r="B649" s="33" t="n">
        <f aca="false">IF($A649="",0,INT(($A649-Macrociclo!$C$11)/7)+1)</f>
        <v>0</v>
      </c>
      <c r="C649" s="20"/>
      <c r="D649" s="20"/>
      <c r="E649" s="22"/>
      <c r="F649" s="22"/>
      <c r="G649" s="48" t="n">
        <f aca="false">IF(OR($E649="",$F649=""),0,$E649*$F649)</f>
        <v>0</v>
      </c>
      <c r="H649" s="48" t="n">
        <f aca="false">IF($A649="",0,SUMIFS($G$8:$G$1007,$C$8:$C$1007,$C649,$A$8:$A$1007,"&gt;="&amp;$A649-6,$A$8:$A$1007,"&lt;="&amp;$A649))</f>
        <v>0</v>
      </c>
      <c r="I649" s="48" t="n">
        <f aca="false">IF($A649="",0,SUMIFS($G$8:$G$1007,$C$8:$C$1007,$C649,$A$8:$A$1007,"&gt;="&amp;$A649-27,$A$8:$A$1007,"&lt;="&amp;$A649)/4)</f>
        <v>0</v>
      </c>
      <c r="J649" s="67" t="n">
        <f aca="false">IF(OR($A649="",$I649=0),0,$H649/$I649)</f>
        <v>0</v>
      </c>
      <c r="K649" s="33" t="n">
        <f aca="false">IF($A649="",0,$A649-SUMPRODUCT(MIN(($C$8:$C$1007=$C649)*$A$8:$A$1007+($C$8:$C$1007&lt;&gt;$C649)*100000))+1)</f>
        <v>0</v>
      </c>
      <c r="L649" s="19" t="str">
        <f aca="false">IF($A649="","",IF($J649=0,"Sem registro anterior",IF($K649&lt;21,"Histórico insuficiente",IF($J649&lt;0.8,"Subcarga",IF($J649&lt;=1.3,"Zona ideal",IF($J649&lt;=1.5,"Atenção","Risco elevado"))))))</f>
        <v/>
      </c>
      <c r="M649" s="20"/>
    </row>
    <row r="650" customFormat="false" ht="15" hidden="false" customHeight="false" outlineLevel="0" collapsed="false">
      <c r="A650" s="21"/>
      <c r="B650" s="33" t="n">
        <f aca="false">IF($A650="",0,INT(($A650-Macrociclo!$C$11)/7)+1)</f>
        <v>0</v>
      </c>
      <c r="C650" s="20"/>
      <c r="D650" s="20"/>
      <c r="E650" s="22"/>
      <c r="F650" s="22"/>
      <c r="G650" s="48" t="n">
        <f aca="false">IF(OR($E650="",$F650=""),0,$E650*$F650)</f>
        <v>0</v>
      </c>
      <c r="H650" s="48" t="n">
        <f aca="false">IF($A650="",0,SUMIFS($G$8:$G$1007,$C$8:$C$1007,$C650,$A$8:$A$1007,"&gt;="&amp;$A650-6,$A$8:$A$1007,"&lt;="&amp;$A650))</f>
        <v>0</v>
      </c>
      <c r="I650" s="48" t="n">
        <f aca="false">IF($A650="",0,SUMIFS($G$8:$G$1007,$C$8:$C$1007,$C650,$A$8:$A$1007,"&gt;="&amp;$A650-27,$A$8:$A$1007,"&lt;="&amp;$A650)/4)</f>
        <v>0</v>
      </c>
      <c r="J650" s="67" t="n">
        <f aca="false">IF(OR($A650="",$I650=0),0,$H650/$I650)</f>
        <v>0</v>
      </c>
      <c r="K650" s="33" t="n">
        <f aca="false">IF($A650="",0,$A650-SUMPRODUCT(MIN(($C$8:$C$1007=$C650)*$A$8:$A$1007+($C$8:$C$1007&lt;&gt;$C650)*100000))+1)</f>
        <v>0</v>
      </c>
      <c r="L650" s="19" t="str">
        <f aca="false">IF($A650="","",IF($J650=0,"Sem registro anterior",IF($K650&lt;21,"Histórico insuficiente",IF($J650&lt;0.8,"Subcarga",IF($J650&lt;=1.3,"Zona ideal",IF($J650&lt;=1.5,"Atenção","Risco elevado"))))))</f>
        <v/>
      </c>
      <c r="M650" s="20"/>
    </row>
    <row r="651" customFormat="false" ht="15" hidden="false" customHeight="false" outlineLevel="0" collapsed="false">
      <c r="A651" s="21"/>
      <c r="B651" s="33" t="n">
        <f aca="false">IF($A651="",0,INT(($A651-Macrociclo!$C$11)/7)+1)</f>
        <v>0</v>
      </c>
      <c r="C651" s="20"/>
      <c r="D651" s="20"/>
      <c r="E651" s="22"/>
      <c r="F651" s="22"/>
      <c r="G651" s="48" t="n">
        <f aca="false">IF(OR($E651="",$F651=""),0,$E651*$F651)</f>
        <v>0</v>
      </c>
      <c r="H651" s="48" t="n">
        <f aca="false">IF($A651="",0,SUMIFS($G$8:$G$1007,$C$8:$C$1007,$C651,$A$8:$A$1007,"&gt;="&amp;$A651-6,$A$8:$A$1007,"&lt;="&amp;$A651))</f>
        <v>0</v>
      </c>
      <c r="I651" s="48" t="n">
        <f aca="false">IF($A651="",0,SUMIFS($G$8:$G$1007,$C$8:$C$1007,$C651,$A$8:$A$1007,"&gt;="&amp;$A651-27,$A$8:$A$1007,"&lt;="&amp;$A651)/4)</f>
        <v>0</v>
      </c>
      <c r="J651" s="67" t="n">
        <f aca="false">IF(OR($A651="",$I651=0),0,$H651/$I651)</f>
        <v>0</v>
      </c>
      <c r="K651" s="33" t="n">
        <f aca="false">IF($A651="",0,$A651-SUMPRODUCT(MIN(($C$8:$C$1007=$C651)*$A$8:$A$1007+($C$8:$C$1007&lt;&gt;$C651)*100000))+1)</f>
        <v>0</v>
      </c>
      <c r="L651" s="19" t="str">
        <f aca="false">IF($A651="","",IF($J651=0,"Sem registro anterior",IF($K651&lt;21,"Histórico insuficiente",IF($J651&lt;0.8,"Subcarga",IF($J651&lt;=1.3,"Zona ideal",IF($J651&lt;=1.5,"Atenção","Risco elevado"))))))</f>
        <v/>
      </c>
      <c r="M651" s="20"/>
    </row>
    <row r="652" customFormat="false" ht="15" hidden="false" customHeight="false" outlineLevel="0" collapsed="false">
      <c r="A652" s="21"/>
      <c r="B652" s="33" t="n">
        <f aca="false">IF($A652="",0,INT(($A652-Macrociclo!$C$11)/7)+1)</f>
        <v>0</v>
      </c>
      <c r="C652" s="20"/>
      <c r="D652" s="20"/>
      <c r="E652" s="22"/>
      <c r="F652" s="22"/>
      <c r="G652" s="48" t="n">
        <f aca="false">IF(OR($E652="",$F652=""),0,$E652*$F652)</f>
        <v>0</v>
      </c>
      <c r="H652" s="48" t="n">
        <f aca="false">IF($A652="",0,SUMIFS($G$8:$G$1007,$C$8:$C$1007,$C652,$A$8:$A$1007,"&gt;="&amp;$A652-6,$A$8:$A$1007,"&lt;="&amp;$A652))</f>
        <v>0</v>
      </c>
      <c r="I652" s="48" t="n">
        <f aca="false">IF($A652="",0,SUMIFS($G$8:$G$1007,$C$8:$C$1007,$C652,$A$8:$A$1007,"&gt;="&amp;$A652-27,$A$8:$A$1007,"&lt;="&amp;$A652)/4)</f>
        <v>0</v>
      </c>
      <c r="J652" s="67" t="n">
        <f aca="false">IF(OR($A652="",$I652=0),0,$H652/$I652)</f>
        <v>0</v>
      </c>
      <c r="K652" s="33" t="n">
        <f aca="false">IF($A652="",0,$A652-SUMPRODUCT(MIN(($C$8:$C$1007=$C652)*$A$8:$A$1007+($C$8:$C$1007&lt;&gt;$C652)*100000))+1)</f>
        <v>0</v>
      </c>
      <c r="L652" s="19" t="str">
        <f aca="false">IF($A652="","",IF($J652=0,"Sem registro anterior",IF($K652&lt;21,"Histórico insuficiente",IF($J652&lt;0.8,"Subcarga",IF($J652&lt;=1.3,"Zona ideal",IF($J652&lt;=1.5,"Atenção","Risco elevado"))))))</f>
        <v/>
      </c>
      <c r="M652" s="20"/>
    </row>
    <row r="653" customFormat="false" ht="15" hidden="false" customHeight="false" outlineLevel="0" collapsed="false">
      <c r="A653" s="21"/>
      <c r="B653" s="33" t="n">
        <f aca="false">IF($A653="",0,INT(($A653-Macrociclo!$C$11)/7)+1)</f>
        <v>0</v>
      </c>
      <c r="C653" s="20"/>
      <c r="D653" s="20"/>
      <c r="E653" s="22"/>
      <c r="F653" s="22"/>
      <c r="G653" s="48" t="n">
        <f aca="false">IF(OR($E653="",$F653=""),0,$E653*$F653)</f>
        <v>0</v>
      </c>
      <c r="H653" s="48" t="n">
        <f aca="false">IF($A653="",0,SUMIFS($G$8:$G$1007,$C$8:$C$1007,$C653,$A$8:$A$1007,"&gt;="&amp;$A653-6,$A$8:$A$1007,"&lt;="&amp;$A653))</f>
        <v>0</v>
      </c>
      <c r="I653" s="48" t="n">
        <f aca="false">IF($A653="",0,SUMIFS($G$8:$G$1007,$C$8:$C$1007,$C653,$A$8:$A$1007,"&gt;="&amp;$A653-27,$A$8:$A$1007,"&lt;="&amp;$A653)/4)</f>
        <v>0</v>
      </c>
      <c r="J653" s="67" t="n">
        <f aca="false">IF(OR($A653="",$I653=0),0,$H653/$I653)</f>
        <v>0</v>
      </c>
      <c r="K653" s="33" t="n">
        <f aca="false">IF($A653="",0,$A653-SUMPRODUCT(MIN(($C$8:$C$1007=$C653)*$A$8:$A$1007+($C$8:$C$1007&lt;&gt;$C653)*100000))+1)</f>
        <v>0</v>
      </c>
      <c r="L653" s="19" t="str">
        <f aca="false">IF($A653="","",IF($J653=0,"Sem registro anterior",IF($K653&lt;21,"Histórico insuficiente",IF($J653&lt;0.8,"Subcarga",IF($J653&lt;=1.3,"Zona ideal",IF($J653&lt;=1.5,"Atenção","Risco elevado"))))))</f>
        <v/>
      </c>
      <c r="M653" s="20"/>
    </row>
    <row r="654" customFormat="false" ht="15" hidden="false" customHeight="false" outlineLevel="0" collapsed="false">
      <c r="A654" s="21"/>
      <c r="B654" s="33" t="n">
        <f aca="false">IF($A654="",0,INT(($A654-Macrociclo!$C$11)/7)+1)</f>
        <v>0</v>
      </c>
      <c r="C654" s="20"/>
      <c r="D654" s="20"/>
      <c r="E654" s="22"/>
      <c r="F654" s="22"/>
      <c r="G654" s="48" t="n">
        <f aca="false">IF(OR($E654="",$F654=""),0,$E654*$F654)</f>
        <v>0</v>
      </c>
      <c r="H654" s="48" t="n">
        <f aca="false">IF($A654="",0,SUMIFS($G$8:$G$1007,$C$8:$C$1007,$C654,$A$8:$A$1007,"&gt;="&amp;$A654-6,$A$8:$A$1007,"&lt;="&amp;$A654))</f>
        <v>0</v>
      </c>
      <c r="I654" s="48" t="n">
        <f aca="false">IF($A654="",0,SUMIFS($G$8:$G$1007,$C$8:$C$1007,$C654,$A$8:$A$1007,"&gt;="&amp;$A654-27,$A$8:$A$1007,"&lt;="&amp;$A654)/4)</f>
        <v>0</v>
      </c>
      <c r="J654" s="67" t="n">
        <f aca="false">IF(OR($A654="",$I654=0),0,$H654/$I654)</f>
        <v>0</v>
      </c>
      <c r="K654" s="33" t="n">
        <f aca="false">IF($A654="",0,$A654-SUMPRODUCT(MIN(($C$8:$C$1007=$C654)*$A$8:$A$1007+($C$8:$C$1007&lt;&gt;$C654)*100000))+1)</f>
        <v>0</v>
      </c>
      <c r="L654" s="19" t="str">
        <f aca="false">IF($A654="","",IF($J654=0,"Sem registro anterior",IF($K654&lt;21,"Histórico insuficiente",IF($J654&lt;0.8,"Subcarga",IF($J654&lt;=1.3,"Zona ideal",IF($J654&lt;=1.5,"Atenção","Risco elevado"))))))</f>
        <v/>
      </c>
      <c r="M654" s="20"/>
    </row>
    <row r="655" customFormat="false" ht="15" hidden="false" customHeight="false" outlineLevel="0" collapsed="false">
      <c r="A655" s="21"/>
      <c r="B655" s="33" t="n">
        <f aca="false">IF($A655="",0,INT(($A655-Macrociclo!$C$11)/7)+1)</f>
        <v>0</v>
      </c>
      <c r="C655" s="20"/>
      <c r="D655" s="20"/>
      <c r="E655" s="22"/>
      <c r="F655" s="22"/>
      <c r="G655" s="48" t="n">
        <f aca="false">IF(OR($E655="",$F655=""),0,$E655*$F655)</f>
        <v>0</v>
      </c>
      <c r="H655" s="48" t="n">
        <f aca="false">IF($A655="",0,SUMIFS($G$8:$G$1007,$C$8:$C$1007,$C655,$A$8:$A$1007,"&gt;="&amp;$A655-6,$A$8:$A$1007,"&lt;="&amp;$A655))</f>
        <v>0</v>
      </c>
      <c r="I655" s="48" t="n">
        <f aca="false">IF($A655="",0,SUMIFS($G$8:$G$1007,$C$8:$C$1007,$C655,$A$8:$A$1007,"&gt;="&amp;$A655-27,$A$8:$A$1007,"&lt;="&amp;$A655)/4)</f>
        <v>0</v>
      </c>
      <c r="J655" s="67" t="n">
        <f aca="false">IF(OR($A655="",$I655=0),0,$H655/$I655)</f>
        <v>0</v>
      </c>
      <c r="K655" s="33" t="n">
        <f aca="false">IF($A655="",0,$A655-SUMPRODUCT(MIN(($C$8:$C$1007=$C655)*$A$8:$A$1007+($C$8:$C$1007&lt;&gt;$C655)*100000))+1)</f>
        <v>0</v>
      </c>
      <c r="L655" s="19" t="str">
        <f aca="false">IF($A655="","",IF($J655=0,"Sem registro anterior",IF($K655&lt;21,"Histórico insuficiente",IF($J655&lt;0.8,"Subcarga",IF($J655&lt;=1.3,"Zona ideal",IF($J655&lt;=1.5,"Atenção","Risco elevado"))))))</f>
        <v/>
      </c>
      <c r="M655" s="20"/>
    </row>
    <row r="656" customFormat="false" ht="15" hidden="false" customHeight="false" outlineLevel="0" collapsed="false">
      <c r="A656" s="21"/>
      <c r="B656" s="33" t="n">
        <f aca="false">IF($A656="",0,INT(($A656-Macrociclo!$C$11)/7)+1)</f>
        <v>0</v>
      </c>
      <c r="C656" s="20"/>
      <c r="D656" s="20"/>
      <c r="E656" s="22"/>
      <c r="F656" s="22"/>
      <c r="G656" s="48" t="n">
        <f aca="false">IF(OR($E656="",$F656=""),0,$E656*$F656)</f>
        <v>0</v>
      </c>
      <c r="H656" s="48" t="n">
        <f aca="false">IF($A656="",0,SUMIFS($G$8:$G$1007,$C$8:$C$1007,$C656,$A$8:$A$1007,"&gt;="&amp;$A656-6,$A$8:$A$1007,"&lt;="&amp;$A656))</f>
        <v>0</v>
      </c>
      <c r="I656" s="48" t="n">
        <f aca="false">IF($A656="",0,SUMIFS($G$8:$G$1007,$C$8:$C$1007,$C656,$A$8:$A$1007,"&gt;="&amp;$A656-27,$A$8:$A$1007,"&lt;="&amp;$A656)/4)</f>
        <v>0</v>
      </c>
      <c r="J656" s="67" t="n">
        <f aca="false">IF(OR($A656="",$I656=0),0,$H656/$I656)</f>
        <v>0</v>
      </c>
      <c r="K656" s="33" t="n">
        <f aca="false">IF($A656="",0,$A656-SUMPRODUCT(MIN(($C$8:$C$1007=$C656)*$A$8:$A$1007+($C$8:$C$1007&lt;&gt;$C656)*100000))+1)</f>
        <v>0</v>
      </c>
      <c r="L656" s="19" t="str">
        <f aca="false">IF($A656="","",IF($J656=0,"Sem registro anterior",IF($K656&lt;21,"Histórico insuficiente",IF($J656&lt;0.8,"Subcarga",IF($J656&lt;=1.3,"Zona ideal",IF($J656&lt;=1.5,"Atenção","Risco elevado"))))))</f>
        <v/>
      </c>
      <c r="M656" s="20"/>
    </row>
    <row r="657" customFormat="false" ht="15" hidden="false" customHeight="false" outlineLevel="0" collapsed="false">
      <c r="A657" s="21"/>
      <c r="B657" s="33" t="n">
        <f aca="false">IF($A657="",0,INT(($A657-Macrociclo!$C$11)/7)+1)</f>
        <v>0</v>
      </c>
      <c r="C657" s="20"/>
      <c r="D657" s="20"/>
      <c r="E657" s="22"/>
      <c r="F657" s="22"/>
      <c r="G657" s="48" t="n">
        <f aca="false">IF(OR($E657="",$F657=""),0,$E657*$F657)</f>
        <v>0</v>
      </c>
      <c r="H657" s="48" t="n">
        <f aca="false">IF($A657="",0,SUMIFS($G$8:$G$1007,$C$8:$C$1007,$C657,$A$8:$A$1007,"&gt;="&amp;$A657-6,$A$8:$A$1007,"&lt;="&amp;$A657))</f>
        <v>0</v>
      </c>
      <c r="I657" s="48" t="n">
        <f aca="false">IF($A657="",0,SUMIFS($G$8:$G$1007,$C$8:$C$1007,$C657,$A$8:$A$1007,"&gt;="&amp;$A657-27,$A$8:$A$1007,"&lt;="&amp;$A657)/4)</f>
        <v>0</v>
      </c>
      <c r="J657" s="67" t="n">
        <f aca="false">IF(OR($A657="",$I657=0),0,$H657/$I657)</f>
        <v>0</v>
      </c>
      <c r="K657" s="33" t="n">
        <f aca="false">IF($A657="",0,$A657-SUMPRODUCT(MIN(($C$8:$C$1007=$C657)*$A$8:$A$1007+($C$8:$C$1007&lt;&gt;$C657)*100000))+1)</f>
        <v>0</v>
      </c>
      <c r="L657" s="19" t="str">
        <f aca="false">IF($A657="","",IF($J657=0,"Sem registro anterior",IF($K657&lt;21,"Histórico insuficiente",IF($J657&lt;0.8,"Subcarga",IF($J657&lt;=1.3,"Zona ideal",IF($J657&lt;=1.5,"Atenção","Risco elevado"))))))</f>
        <v/>
      </c>
      <c r="M657" s="20"/>
    </row>
    <row r="658" customFormat="false" ht="15" hidden="false" customHeight="false" outlineLevel="0" collapsed="false">
      <c r="A658" s="21"/>
      <c r="B658" s="33" t="n">
        <f aca="false">IF($A658="",0,INT(($A658-Macrociclo!$C$11)/7)+1)</f>
        <v>0</v>
      </c>
      <c r="C658" s="20"/>
      <c r="D658" s="20"/>
      <c r="E658" s="22"/>
      <c r="F658" s="22"/>
      <c r="G658" s="48" t="n">
        <f aca="false">IF(OR($E658="",$F658=""),0,$E658*$F658)</f>
        <v>0</v>
      </c>
      <c r="H658" s="48" t="n">
        <f aca="false">IF($A658="",0,SUMIFS($G$8:$G$1007,$C$8:$C$1007,$C658,$A$8:$A$1007,"&gt;="&amp;$A658-6,$A$8:$A$1007,"&lt;="&amp;$A658))</f>
        <v>0</v>
      </c>
      <c r="I658" s="48" t="n">
        <f aca="false">IF($A658="",0,SUMIFS($G$8:$G$1007,$C$8:$C$1007,$C658,$A$8:$A$1007,"&gt;="&amp;$A658-27,$A$8:$A$1007,"&lt;="&amp;$A658)/4)</f>
        <v>0</v>
      </c>
      <c r="J658" s="67" t="n">
        <f aca="false">IF(OR($A658="",$I658=0),0,$H658/$I658)</f>
        <v>0</v>
      </c>
      <c r="K658" s="33" t="n">
        <f aca="false">IF($A658="",0,$A658-SUMPRODUCT(MIN(($C$8:$C$1007=$C658)*$A$8:$A$1007+($C$8:$C$1007&lt;&gt;$C658)*100000))+1)</f>
        <v>0</v>
      </c>
      <c r="L658" s="19" t="str">
        <f aca="false">IF($A658="","",IF($J658=0,"Sem registro anterior",IF($K658&lt;21,"Histórico insuficiente",IF($J658&lt;0.8,"Subcarga",IF($J658&lt;=1.3,"Zona ideal",IF($J658&lt;=1.5,"Atenção","Risco elevado"))))))</f>
        <v/>
      </c>
      <c r="M658" s="20"/>
    </row>
    <row r="659" customFormat="false" ht="15" hidden="false" customHeight="false" outlineLevel="0" collapsed="false">
      <c r="A659" s="21"/>
      <c r="B659" s="33" t="n">
        <f aca="false">IF($A659="",0,INT(($A659-Macrociclo!$C$11)/7)+1)</f>
        <v>0</v>
      </c>
      <c r="C659" s="20"/>
      <c r="D659" s="20"/>
      <c r="E659" s="22"/>
      <c r="F659" s="22"/>
      <c r="G659" s="48" t="n">
        <f aca="false">IF(OR($E659="",$F659=""),0,$E659*$F659)</f>
        <v>0</v>
      </c>
      <c r="H659" s="48" t="n">
        <f aca="false">IF($A659="",0,SUMIFS($G$8:$G$1007,$C$8:$C$1007,$C659,$A$8:$A$1007,"&gt;="&amp;$A659-6,$A$8:$A$1007,"&lt;="&amp;$A659))</f>
        <v>0</v>
      </c>
      <c r="I659" s="48" t="n">
        <f aca="false">IF($A659="",0,SUMIFS($G$8:$G$1007,$C$8:$C$1007,$C659,$A$8:$A$1007,"&gt;="&amp;$A659-27,$A$8:$A$1007,"&lt;="&amp;$A659)/4)</f>
        <v>0</v>
      </c>
      <c r="J659" s="67" t="n">
        <f aca="false">IF(OR($A659="",$I659=0),0,$H659/$I659)</f>
        <v>0</v>
      </c>
      <c r="K659" s="33" t="n">
        <f aca="false">IF($A659="",0,$A659-SUMPRODUCT(MIN(($C$8:$C$1007=$C659)*$A$8:$A$1007+($C$8:$C$1007&lt;&gt;$C659)*100000))+1)</f>
        <v>0</v>
      </c>
      <c r="L659" s="19" t="str">
        <f aca="false">IF($A659="","",IF($J659=0,"Sem registro anterior",IF($K659&lt;21,"Histórico insuficiente",IF($J659&lt;0.8,"Subcarga",IF($J659&lt;=1.3,"Zona ideal",IF($J659&lt;=1.5,"Atenção","Risco elevado"))))))</f>
        <v/>
      </c>
      <c r="M659" s="20"/>
    </row>
    <row r="660" customFormat="false" ht="15" hidden="false" customHeight="false" outlineLevel="0" collapsed="false">
      <c r="A660" s="21"/>
      <c r="B660" s="33" t="n">
        <f aca="false">IF($A660="",0,INT(($A660-Macrociclo!$C$11)/7)+1)</f>
        <v>0</v>
      </c>
      <c r="C660" s="20"/>
      <c r="D660" s="20"/>
      <c r="E660" s="22"/>
      <c r="F660" s="22"/>
      <c r="G660" s="48" t="n">
        <f aca="false">IF(OR($E660="",$F660=""),0,$E660*$F660)</f>
        <v>0</v>
      </c>
      <c r="H660" s="48" t="n">
        <f aca="false">IF($A660="",0,SUMIFS($G$8:$G$1007,$C$8:$C$1007,$C660,$A$8:$A$1007,"&gt;="&amp;$A660-6,$A$8:$A$1007,"&lt;="&amp;$A660))</f>
        <v>0</v>
      </c>
      <c r="I660" s="48" t="n">
        <f aca="false">IF($A660="",0,SUMIFS($G$8:$G$1007,$C$8:$C$1007,$C660,$A$8:$A$1007,"&gt;="&amp;$A660-27,$A$8:$A$1007,"&lt;="&amp;$A660)/4)</f>
        <v>0</v>
      </c>
      <c r="J660" s="67" t="n">
        <f aca="false">IF(OR($A660="",$I660=0),0,$H660/$I660)</f>
        <v>0</v>
      </c>
      <c r="K660" s="33" t="n">
        <f aca="false">IF($A660="",0,$A660-SUMPRODUCT(MIN(($C$8:$C$1007=$C660)*$A$8:$A$1007+($C$8:$C$1007&lt;&gt;$C660)*100000))+1)</f>
        <v>0</v>
      </c>
      <c r="L660" s="19" t="str">
        <f aca="false">IF($A660="","",IF($J660=0,"Sem registro anterior",IF($K660&lt;21,"Histórico insuficiente",IF($J660&lt;0.8,"Subcarga",IF($J660&lt;=1.3,"Zona ideal",IF($J660&lt;=1.5,"Atenção","Risco elevado"))))))</f>
        <v/>
      </c>
      <c r="M660" s="20"/>
    </row>
    <row r="661" customFormat="false" ht="15" hidden="false" customHeight="false" outlineLevel="0" collapsed="false">
      <c r="A661" s="21"/>
      <c r="B661" s="33" t="n">
        <f aca="false">IF($A661="",0,INT(($A661-Macrociclo!$C$11)/7)+1)</f>
        <v>0</v>
      </c>
      <c r="C661" s="20"/>
      <c r="D661" s="20"/>
      <c r="E661" s="22"/>
      <c r="F661" s="22"/>
      <c r="G661" s="48" t="n">
        <f aca="false">IF(OR($E661="",$F661=""),0,$E661*$F661)</f>
        <v>0</v>
      </c>
      <c r="H661" s="48" t="n">
        <f aca="false">IF($A661="",0,SUMIFS($G$8:$G$1007,$C$8:$C$1007,$C661,$A$8:$A$1007,"&gt;="&amp;$A661-6,$A$8:$A$1007,"&lt;="&amp;$A661))</f>
        <v>0</v>
      </c>
      <c r="I661" s="48" t="n">
        <f aca="false">IF($A661="",0,SUMIFS($G$8:$G$1007,$C$8:$C$1007,$C661,$A$8:$A$1007,"&gt;="&amp;$A661-27,$A$8:$A$1007,"&lt;="&amp;$A661)/4)</f>
        <v>0</v>
      </c>
      <c r="J661" s="67" t="n">
        <f aca="false">IF(OR($A661="",$I661=0),0,$H661/$I661)</f>
        <v>0</v>
      </c>
      <c r="K661" s="33" t="n">
        <f aca="false">IF($A661="",0,$A661-SUMPRODUCT(MIN(($C$8:$C$1007=$C661)*$A$8:$A$1007+($C$8:$C$1007&lt;&gt;$C661)*100000))+1)</f>
        <v>0</v>
      </c>
      <c r="L661" s="19" t="str">
        <f aca="false">IF($A661="","",IF($J661=0,"Sem registro anterior",IF($K661&lt;21,"Histórico insuficiente",IF($J661&lt;0.8,"Subcarga",IF($J661&lt;=1.3,"Zona ideal",IF($J661&lt;=1.5,"Atenção","Risco elevado"))))))</f>
        <v/>
      </c>
      <c r="M661" s="20"/>
    </row>
    <row r="662" customFormat="false" ht="15" hidden="false" customHeight="false" outlineLevel="0" collapsed="false">
      <c r="A662" s="21"/>
      <c r="B662" s="33" t="n">
        <f aca="false">IF($A662="",0,INT(($A662-Macrociclo!$C$11)/7)+1)</f>
        <v>0</v>
      </c>
      <c r="C662" s="20"/>
      <c r="D662" s="20"/>
      <c r="E662" s="22"/>
      <c r="F662" s="22"/>
      <c r="G662" s="48" t="n">
        <f aca="false">IF(OR($E662="",$F662=""),0,$E662*$F662)</f>
        <v>0</v>
      </c>
      <c r="H662" s="48" t="n">
        <f aca="false">IF($A662="",0,SUMIFS($G$8:$G$1007,$C$8:$C$1007,$C662,$A$8:$A$1007,"&gt;="&amp;$A662-6,$A$8:$A$1007,"&lt;="&amp;$A662))</f>
        <v>0</v>
      </c>
      <c r="I662" s="48" t="n">
        <f aca="false">IF($A662="",0,SUMIFS($G$8:$G$1007,$C$8:$C$1007,$C662,$A$8:$A$1007,"&gt;="&amp;$A662-27,$A$8:$A$1007,"&lt;="&amp;$A662)/4)</f>
        <v>0</v>
      </c>
      <c r="J662" s="67" t="n">
        <f aca="false">IF(OR($A662="",$I662=0),0,$H662/$I662)</f>
        <v>0</v>
      </c>
      <c r="K662" s="33" t="n">
        <f aca="false">IF($A662="",0,$A662-SUMPRODUCT(MIN(($C$8:$C$1007=$C662)*$A$8:$A$1007+($C$8:$C$1007&lt;&gt;$C662)*100000))+1)</f>
        <v>0</v>
      </c>
      <c r="L662" s="19" t="str">
        <f aca="false">IF($A662="","",IF($J662=0,"Sem registro anterior",IF($K662&lt;21,"Histórico insuficiente",IF($J662&lt;0.8,"Subcarga",IF($J662&lt;=1.3,"Zona ideal",IF($J662&lt;=1.5,"Atenção","Risco elevado"))))))</f>
        <v/>
      </c>
      <c r="M662" s="20"/>
    </row>
    <row r="663" customFormat="false" ht="15" hidden="false" customHeight="false" outlineLevel="0" collapsed="false">
      <c r="A663" s="21"/>
      <c r="B663" s="33" t="n">
        <f aca="false">IF($A663="",0,INT(($A663-Macrociclo!$C$11)/7)+1)</f>
        <v>0</v>
      </c>
      <c r="C663" s="20"/>
      <c r="D663" s="20"/>
      <c r="E663" s="22"/>
      <c r="F663" s="22"/>
      <c r="G663" s="48" t="n">
        <f aca="false">IF(OR($E663="",$F663=""),0,$E663*$F663)</f>
        <v>0</v>
      </c>
      <c r="H663" s="48" t="n">
        <f aca="false">IF($A663="",0,SUMIFS($G$8:$G$1007,$C$8:$C$1007,$C663,$A$8:$A$1007,"&gt;="&amp;$A663-6,$A$8:$A$1007,"&lt;="&amp;$A663))</f>
        <v>0</v>
      </c>
      <c r="I663" s="48" t="n">
        <f aca="false">IF($A663="",0,SUMIFS($G$8:$G$1007,$C$8:$C$1007,$C663,$A$8:$A$1007,"&gt;="&amp;$A663-27,$A$8:$A$1007,"&lt;="&amp;$A663)/4)</f>
        <v>0</v>
      </c>
      <c r="J663" s="67" t="n">
        <f aca="false">IF(OR($A663="",$I663=0),0,$H663/$I663)</f>
        <v>0</v>
      </c>
      <c r="K663" s="33" t="n">
        <f aca="false">IF($A663="",0,$A663-SUMPRODUCT(MIN(($C$8:$C$1007=$C663)*$A$8:$A$1007+($C$8:$C$1007&lt;&gt;$C663)*100000))+1)</f>
        <v>0</v>
      </c>
      <c r="L663" s="19" t="str">
        <f aca="false">IF($A663="","",IF($J663=0,"Sem registro anterior",IF($K663&lt;21,"Histórico insuficiente",IF($J663&lt;0.8,"Subcarga",IF($J663&lt;=1.3,"Zona ideal",IF($J663&lt;=1.5,"Atenção","Risco elevado"))))))</f>
        <v/>
      </c>
      <c r="M663" s="20"/>
    </row>
    <row r="664" customFormat="false" ht="15" hidden="false" customHeight="false" outlineLevel="0" collapsed="false">
      <c r="A664" s="21"/>
      <c r="B664" s="33" t="n">
        <f aca="false">IF($A664="",0,INT(($A664-Macrociclo!$C$11)/7)+1)</f>
        <v>0</v>
      </c>
      <c r="C664" s="20"/>
      <c r="D664" s="20"/>
      <c r="E664" s="22"/>
      <c r="F664" s="22"/>
      <c r="G664" s="48" t="n">
        <f aca="false">IF(OR($E664="",$F664=""),0,$E664*$F664)</f>
        <v>0</v>
      </c>
      <c r="H664" s="48" t="n">
        <f aca="false">IF($A664="",0,SUMIFS($G$8:$G$1007,$C$8:$C$1007,$C664,$A$8:$A$1007,"&gt;="&amp;$A664-6,$A$8:$A$1007,"&lt;="&amp;$A664))</f>
        <v>0</v>
      </c>
      <c r="I664" s="48" t="n">
        <f aca="false">IF($A664="",0,SUMIFS($G$8:$G$1007,$C$8:$C$1007,$C664,$A$8:$A$1007,"&gt;="&amp;$A664-27,$A$8:$A$1007,"&lt;="&amp;$A664)/4)</f>
        <v>0</v>
      </c>
      <c r="J664" s="67" t="n">
        <f aca="false">IF(OR($A664="",$I664=0),0,$H664/$I664)</f>
        <v>0</v>
      </c>
      <c r="K664" s="33" t="n">
        <f aca="false">IF($A664="",0,$A664-SUMPRODUCT(MIN(($C$8:$C$1007=$C664)*$A$8:$A$1007+($C$8:$C$1007&lt;&gt;$C664)*100000))+1)</f>
        <v>0</v>
      </c>
      <c r="L664" s="19" t="str">
        <f aca="false">IF($A664="","",IF($J664=0,"Sem registro anterior",IF($K664&lt;21,"Histórico insuficiente",IF($J664&lt;0.8,"Subcarga",IF($J664&lt;=1.3,"Zona ideal",IF($J664&lt;=1.5,"Atenção","Risco elevado"))))))</f>
        <v/>
      </c>
      <c r="M664" s="20"/>
    </row>
    <row r="665" customFormat="false" ht="15" hidden="false" customHeight="false" outlineLevel="0" collapsed="false">
      <c r="A665" s="21"/>
      <c r="B665" s="33" t="n">
        <f aca="false">IF($A665="",0,INT(($A665-Macrociclo!$C$11)/7)+1)</f>
        <v>0</v>
      </c>
      <c r="C665" s="20"/>
      <c r="D665" s="20"/>
      <c r="E665" s="22"/>
      <c r="F665" s="22"/>
      <c r="G665" s="48" t="n">
        <f aca="false">IF(OR($E665="",$F665=""),0,$E665*$F665)</f>
        <v>0</v>
      </c>
      <c r="H665" s="48" t="n">
        <f aca="false">IF($A665="",0,SUMIFS($G$8:$G$1007,$C$8:$C$1007,$C665,$A$8:$A$1007,"&gt;="&amp;$A665-6,$A$8:$A$1007,"&lt;="&amp;$A665))</f>
        <v>0</v>
      </c>
      <c r="I665" s="48" t="n">
        <f aca="false">IF($A665="",0,SUMIFS($G$8:$G$1007,$C$8:$C$1007,$C665,$A$8:$A$1007,"&gt;="&amp;$A665-27,$A$8:$A$1007,"&lt;="&amp;$A665)/4)</f>
        <v>0</v>
      </c>
      <c r="J665" s="67" t="n">
        <f aca="false">IF(OR($A665="",$I665=0),0,$H665/$I665)</f>
        <v>0</v>
      </c>
      <c r="K665" s="33" t="n">
        <f aca="false">IF($A665="",0,$A665-SUMPRODUCT(MIN(($C$8:$C$1007=$C665)*$A$8:$A$1007+($C$8:$C$1007&lt;&gt;$C665)*100000))+1)</f>
        <v>0</v>
      </c>
      <c r="L665" s="19" t="str">
        <f aca="false">IF($A665="","",IF($J665=0,"Sem registro anterior",IF($K665&lt;21,"Histórico insuficiente",IF($J665&lt;0.8,"Subcarga",IF($J665&lt;=1.3,"Zona ideal",IF($J665&lt;=1.5,"Atenção","Risco elevado"))))))</f>
        <v/>
      </c>
      <c r="M665" s="20"/>
    </row>
    <row r="666" customFormat="false" ht="15" hidden="false" customHeight="false" outlineLevel="0" collapsed="false">
      <c r="A666" s="21"/>
      <c r="B666" s="33" t="n">
        <f aca="false">IF($A666="",0,INT(($A666-Macrociclo!$C$11)/7)+1)</f>
        <v>0</v>
      </c>
      <c r="C666" s="20"/>
      <c r="D666" s="20"/>
      <c r="E666" s="22"/>
      <c r="F666" s="22"/>
      <c r="G666" s="48" t="n">
        <f aca="false">IF(OR($E666="",$F666=""),0,$E666*$F666)</f>
        <v>0</v>
      </c>
      <c r="H666" s="48" t="n">
        <f aca="false">IF($A666="",0,SUMIFS($G$8:$G$1007,$C$8:$C$1007,$C666,$A$8:$A$1007,"&gt;="&amp;$A666-6,$A$8:$A$1007,"&lt;="&amp;$A666))</f>
        <v>0</v>
      </c>
      <c r="I666" s="48" t="n">
        <f aca="false">IF($A666="",0,SUMIFS($G$8:$G$1007,$C$8:$C$1007,$C666,$A$8:$A$1007,"&gt;="&amp;$A666-27,$A$8:$A$1007,"&lt;="&amp;$A666)/4)</f>
        <v>0</v>
      </c>
      <c r="J666" s="67" t="n">
        <f aca="false">IF(OR($A666="",$I666=0),0,$H666/$I666)</f>
        <v>0</v>
      </c>
      <c r="K666" s="33" t="n">
        <f aca="false">IF($A666="",0,$A666-SUMPRODUCT(MIN(($C$8:$C$1007=$C666)*$A$8:$A$1007+($C$8:$C$1007&lt;&gt;$C666)*100000))+1)</f>
        <v>0</v>
      </c>
      <c r="L666" s="19" t="str">
        <f aca="false">IF($A666="","",IF($J666=0,"Sem registro anterior",IF($K666&lt;21,"Histórico insuficiente",IF($J666&lt;0.8,"Subcarga",IF($J666&lt;=1.3,"Zona ideal",IF($J666&lt;=1.5,"Atenção","Risco elevado"))))))</f>
        <v/>
      </c>
      <c r="M666" s="20"/>
    </row>
    <row r="667" customFormat="false" ht="15" hidden="false" customHeight="false" outlineLevel="0" collapsed="false">
      <c r="A667" s="21"/>
      <c r="B667" s="33" t="n">
        <f aca="false">IF($A667="",0,INT(($A667-Macrociclo!$C$11)/7)+1)</f>
        <v>0</v>
      </c>
      <c r="C667" s="20"/>
      <c r="D667" s="20"/>
      <c r="E667" s="22"/>
      <c r="F667" s="22"/>
      <c r="G667" s="48" t="n">
        <f aca="false">IF(OR($E667="",$F667=""),0,$E667*$F667)</f>
        <v>0</v>
      </c>
      <c r="H667" s="48" t="n">
        <f aca="false">IF($A667="",0,SUMIFS($G$8:$G$1007,$C$8:$C$1007,$C667,$A$8:$A$1007,"&gt;="&amp;$A667-6,$A$8:$A$1007,"&lt;="&amp;$A667))</f>
        <v>0</v>
      </c>
      <c r="I667" s="48" t="n">
        <f aca="false">IF($A667="",0,SUMIFS($G$8:$G$1007,$C$8:$C$1007,$C667,$A$8:$A$1007,"&gt;="&amp;$A667-27,$A$8:$A$1007,"&lt;="&amp;$A667)/4)</f>
        <v>0</v>
      </c>
      <c r="J667" s="67" t="n">
        <f aca="false">IF(OR($A667="",$I667=0),0,$H667/$I667)</f>
        <v>0</v>
      </c>
      <c r="K667" s="33" t="n">
        <f aca="false">IF($A667="",0,$A667-SUMPRODUCT(MIN(($C$8:$C$1007=$C667)*$A$8:$A$1007+($C$8:$C$1007&lt;&gt;$C667)*100000))+1)</f>
        <v>0</v>
      </c>
      <c r="L667" s="19" t="str">
        <f aca="false">IF($A667="","",IF($J667=0,"Sem registro anterior",IF($K667&lt;21,"Histórico insuficiente",IF($J667&lt;0.8,"Subcarga",IF($J667&lt;=1.3,"Zona ideal",IF($J667&lt;=1.5,"Atenção","Risco elevado"))))))</f>
        <v/>
      </c>
      <c r="M667" s="20"/>
    </row>
    <row r="668" customFormat="false" ht="15" hidden="false" customHeight="false" outlineLevel="0" collapsed="false">
      <c r="A668" s="21"/>
      <c r="B668" s="33" t="n">
        <f aca="false">IF($A668="",0,INT(($A668-Macrociclo!$C$11)/7)+1)</f>
        <v>0</v>
      </c>
      <c r="C668" s="20"/>
      <c r="D668" s="20"/>
      <c r="E668" s="22"/>
      <c r="F668" s="22"/>
      <c r="G668" s="48" t="n">
        <f aca="false">IF(OR($E668="",$F668=""),0,$E668*$F668)</f>
        <v>0</v>
      </c>
      <c r="H668" s="48" t="n">
        <f aca="false">IF($A668="",0,SUMIFS($G$8:$G$1007,$C$8:$C$1007,$C668,$A$8:$A$1007,"&gt;="&amp;$A668-6,$A$8:$A$1007,"&lt;="&amp;$A668))</f>
        <v>0</v>
      </c>
      <c r="I668" s="48" t="n">
        <f aca="false">IF($A668="",0,SUMIFS($G$8:$G$1007,$C$8:$C$1007,$C668,$A$8:$A$1007,"&gt;="&amp;$A668-27,$A$8:$A$1007,"&lt;="&amp;$A668)/4)</f>
        <v>0</v>
      </c>
      <c r="J668" s="67" t="n">
        <f aca="false">IF(OR($A668="",$I668=0),0,$H668/$I668)</f>
        <v>0</v>
      </c>
      <c r="K668" s="33" t="n">
        <f aca="false">IF($A668="",0,$A668-SUMPRODUCT(MIN(($C$8:$C$1007=$C668)*$A$8:$A$1007+($C$8:$C$1007&lt;&gt;$C668)*100000))+1)</f>
        <v>0</v>
      </c>
      <c r="L668" s="19" t="str">
        <f aca="false">IF($A668="","",IF($J668=0,"Sem registro anterior",IF($K668&lt;21,"Histórico insuficiente",IF($J668&lt;0.8,"Subcarga",IF($J668&lt;=1.3,"Zona ideal",IF($J668&lt;=1.5,"Atenção","Risco elevado"))))))</f>
        <v/>
      </c>
      <c r="M668" s="20"/>
    </row>
    <row r="669" customFormat="false" ht="15" hidden="false" customHeight="false" outlineLevel="0" collapsed="false">
      <c r="A669" s="21"/>
      <c r="B669" s="33" t="n">
        <f aca="false">IF($A669="",0,INT(($A669-Macrociclo!$C$11)/7)+1)</f>
        <v>0</v>
      </c>
      <c r="C669" s="20"/>
      <c r="D669" s="20"/>
      <c r="E669" s="22"/>
      <c r="F669" s="22"/>
      <c r="G669" s="48" t="n">
        <f aca="false">IF(OR($E669="",$F669=""),0,$E669*$F669)</f>
        <v>0</v>
      </c>
      <c r="H669" s="48" t="n">
        <f aca="false">IF($A669="",0,SUMIFS($G$8:$G$1007,$C$8:$C$1007,$C669,$A$8:$A$1007,"&gt;="&amp;$A669-6,$A$8:$A$1007,"&lt;="&amp;$A669))</f>
        <v>0</v>
      </c>
      <c r="I669" s="48" t="n">
        <f aca="false">IF($A669="",0,SUMIFS($G$8:$G$1007,$C$8:$C$1007,$C669,$A$8:$A$1007,"&gt;="&amp;$A669-27,$A$8:$A$1007,"&lt;="&amp;$A669)/4)</f>
        <v>0</v>
      </c>
      <c r="J669" s="67" t="n">
        <f aca="false">IF(OR($A669="",$I669=0),0,$H669/$I669)</f>
        <v>0</v>
      </c>
      <c r="K669" s="33" t="n">
        <f aca="false">IF($A669="",0,$A669-SUMPRODUCT(MIN(($C$8:$C$1007=$C669)*$A$8:$A$1007+($C$8:$C$1007&lt;&gt;$C669)*100000))+1)</f>
        <v>0</v>
      </c>
      <c r="L669" s="19" t="str">
        <f aca="false">IF($A669="","",IF($J669=0,"Sem registro anterior",IF($K669&lt;21,"Histórico insuficiente",IF($J669&lt;0.8,"Subcarga",IF($J669&lt;=1.3,"Zona ideal",IF($J669&lt;=1.5,"Atenção","Risco elevado"))))))</f>
        <v/>
      </c>
      <c r="M669" s="20"/>
    </row>
    <row r="670" customFormat="false" ht="15" hidden="false" customHeight="false" outlineLevel="0" collapsed="false">
      <c r="A670" s="21"/>
      <c r="B670" s="33" t="n">
        <f aca="false">IF($A670="",0,INT(($A670-Macrociclo!$C$11)/7)+1)</f>
        <v>0</v>
      </c>
      <c r="C670" s="20"/>
      <c r="D670" s="20"/>
      <c r="E670" s="22"/>
      <c r="F670" s="22"/>
      <c r="G670" s="48" t="n">
        <f aca="false">IF(OR($E670="",$F670=""),0,$E670*$F670)</f>
        <v>0</v>
      </c>
      <c r="H670" s="48" t="n">
        <f aca="false">IF($A670="",0,SUMIFS($G$8:$G$1007,$C$8:$C$1007,$C670,$A$8:$A$1007,"&gt;="&amp;$A670-6,$A$8:$A$1007,"&lt;="&amp;$A670))</f>
        <v>0</v>
      </c>
      <c r="I670" s="48" t="n">
        <f aca="false">IF($A670="",0,SUMIFS($G$8:$G$1007,$C$8:$C$1007,$C670,$A$8:$A$1007,"&gt;="&amp;$A670-27,$A$8:$A$1007,"&lt;="&amp;$A670)/4)</f>
        <v>0</v>
      </c>
      <c r="J670" s="67" t="n">
        <f aca="false">IF(OR($A670="",$I670=0),0,$H670/$I670)</f>
        <v>0</v>
      </c>
      <c r="K670" s="33" t="n">
        <f aca="false">IF($A670="",0,$A670-SUMPRODUCT(MIN(($C$8:$C$1007=$C670)*$A$8:$A$1007+($C$8:$C$1007&lt;&gt;$C670)*100000))+1)</f>
        <v>0</v>
      </c>
      <c r="L670" s="19" t="str">
        <f aca="false">IF($A670="","",IF($J670=0,"Sem registro anterior",IF($K670&lt;21,"Histórico insuficiente",IF($J670&lt;0.8,"Subcarga",IF($J670&lt;=1.3,"Zona ideal",IF($J670&lt;=1.5,"Atenção","Risco elevado"))))))</f>
        <v/>
      </c>
      <c r="M670" s="20"/>
    </row>
    <row r="671" customFormat="false" ht="15" hidden="false" customHeight="false" outlineLevel="0" collapsed="false">
      <c r="A671" s="21"/>
      <c r="B671" s="33" t="n">
        <f aca="false">IF($A671="",0,INT(($A671-Macrociclo!$C$11)/7)+1)</f>
        <v>0</v>
      </c>
      <c r="C671" s="20"/>
      <c r="D671" s="20"/>
      <c r="E671" s="22"/>
      <c r="F671" s="22"/>
      <c r="G671" s="48" t="n">
        <f aca="false">IF(OR($E671="",$F671=""),0,$E671*$F671)</f>
        <v>0</v>
      </c>
      <c r="H671" s="48" t="n">
        <f aca="false">IF($A671="",0,SUMIFS($G$8:$G$1007,$C$8:$C$1007,$C671,$A$8:$A$1007,"&gt;="&amp;$A671-6,$A$8:$A$1007,"&lt;="&amp;$A671))</f>
        <v>0</v>
      </c>
      <c r="I671" s="48" t="n">
        <f aca="false">IF($A671="",0,SUMIFS($G$8:$G$1007,$C$8:$C$1007,$C671,$A$8:$A$1007,"&gt;="&amp;$A671-27,$A$8:$A$1007,"&lt;="&amp;$A671)/4)</f>
        <v>0</v>
      </c>
      <c r="J671" s="67" t="n">
        <f aca="false">IF(OR($A671="",$I671=0),0,$H671/$I671)</f>
        <v>0</v>
      </c>
      <c r="K671" s="33" t="n">
        <f aca="false">IF($A671="",0,$A671-SUMPRODUCT(MIN(($C$8:$C$1007=$C671)*$A$8:$A$1007+($C$8:$C$1007&lt;&gt;$C671)*100000))+1)</f>
        <v>0</v>
      </c>
      <c r="L671" s="19" t="str">
        <f aca="false">IF($A671="","",IF($J671=0,"Sem registro anterior",IF($K671&lt;21,"Histórico insuficiente",IF($J671&lt;0.8,"Subcarga",IF($J671&lt;=1.3,"Zona ideal",IF($J671&lt;=1.5,"Atenção","Risco elevado"))))))</f>
        <v/>
      </c>
      <c r="M671" s="20"/>
    </row>
    <row r="672" customFormat="false" ht="15" hidden="false" customHeight="false" outlineLevel="0" collapsed="false">
      <c r="A672" s="21"/>
      <c r="B672" s="33" t="n">
        <f aca="false">IF($A672="",0,INT(($A672-Macrociclo!$C$11)/7)+1)</f>
        <v>0</v>
      </c>
      <c r="C672" s="20"/>
      <c r="D672" s="20"/>
      <c r="E672" s="22"/>
      <c r="F672" s="22"/>
      <c r="G672" s="48" t="n">
        <f aca="false">IF(OR($E672="",$F672=""),0,$E672*$F672)</f>
        <v>0</v>
      </c>
      <c r="H672" s="48" t="n">
        <f aca="false">IF($A672="",0,SUMIFS($G$8:$G$1007,$C$8:$C$1007,$C672,$A$8:$A$1007,"&gt;="&amp;$A672-6,$A$8:$A$1007,"&lt;="&amp;$A672))</f>
        <v>0</v>
      </c>
      <c r="I672" s="48" t="n">
        <f aca="false">IF($A672="",0,SUMIFS($G$8:$G$1007,$C$8:$C$1007,$C672,$A$8:$A$1007,"&gt;="&amp;$A672-27,$A$8:$A$1007,"&lt;="&amp;$A672)/4)</f>
        <v>0</v>
      </c>
      <c r="J672" s="67" t="n">
        <f aca="false">IF(OR($A672="",$I672=0),0,$H672/$I672)</f>
        <v>0</v>
      </c>
      <c r="K672" s="33" t="n">
        <f aca="false">IF($A672="",0,$A672-SUMPRODUCT(MIN(($C$8:$C$1007=$C672)*$A$8:$A$1007+($C$8:$C$1007&lt;&gt;$C672)*100000))+1)</f>
        <v>0</v>
      </c>
      <c r="L672" s="19" t="str">
        <f aca="false">IF($A672="","",IF($J672=0,"Sem registro anterior",IF($K672&lt;21,"Histórico insuficiente",IF($J672&lt;0.8,"Subcarga",IF($J672&lt;=1.3,"Zona ideal",IF($J672&lt;=1.5,"Atenção","Risco elevado"))))))</f>
        <v/>
      </c>
      <c r="M672" s="20"/>
    </row>
    <row r="673" customFormat="false" ht="15" hidden="false" customHeight="false" outlineLevel="0" collapsed="false">
      <c r="A673" s="21"/>
      <c r="B673" s="33" t="n">
        <f aca="false">IF($A673="",0,INT(($A673-Macrociclo!$C$11)/7)+1)</f>
        <v>0</v>
      </c>
      <c r="C673" s="20"/>
      <c r="D673" s="20"/>
      <c r="E673" s="22"/>
      <c r="F673" s="22"/>
      <c r="G673" s="48" t="n">
        <f aca="false">IF(OR($E673="",$F673=""),0,$E673*$F673)</f>
        <v>0</v>
      </c>
      <c r="H673" s="48" t="n">
        <f aca="false">IF($A673="",0,SUMIFS($G$8:$G$1007,$C$8:$C$1007,$C673,$A$8:$A$1007,"&gt;="&amp;$A673-6,$A$8:$A$1007,"&lt;="&amp;$A673))</f>
        <v>0</v>
      </c>
      <c r="I673" s="48" t="n">
        <f aca="false">IF($A673="",0,SUMIFS($G$8:$G$1007,$C$8:$C$1007,$C673,$A$8:$A$1007,"&gt;="&amp;$A673-27,$A$8:$A$1007,"&lt;="&amp;$A673)/4)</f>
        <v>0</v>
      </c>
      <c r="J673" s="67" t="n">
        <f aca="false">IF(OR($A673="",$I673=0),0,$H673/$I673)</f>
        <v>0</v>
      </c>
      <c r="K673" s="33" t="n">
        <f aca="false">IF($A673="",0,$A673-SUMPRODUCT(MIN(($C$8:$C$1007=$C673)*$A$8:$A$1007+($C$8:$C$1007&lt;&gt;$C673)*100000))+1)</f>
        <v>0</v>
      </c>
      <c r="L673" s="19" t="str">
        <f aca="false">IF($A673="","",IF($J673=0,"Sem registro anterior",IF($K673&lt;21,"Histórico insuficiente",IF($J673&lt;0.8,"Subcarga",IF($J673&lt;=1.3,"Zona ideal",IF($J673&lt;=1.5,"Atenção","Risco elevado"))))))</f>
        <v/>
      </c>
      <c r="M673" s="20"/>
    </row>
    <row r="674" customFormat="false" ht="15" hidden="false" customHeight="false" outlineLevel="0" collapsed="false">
      <c r="A674" s="21"/>
      <c r="B674" s="33" t="n">
        <f aca="false">IF($A674="",0,INT(($A674-Macrociclo!$C$11)/7)+1)</f>
        <v>0</v>
      </c>
      <c r="C674" s="20"/>
      <c r="D674" s="20"/>
      <c r="E674" s="22"/>
      <c r="F674" s="22"/>
      <c r="G674" s="48" t="n">
        <f aca="false">IF(OR($E674="",$F674=""),0,$E674*$F674)</f>
        <v>0</v>
      </c>
      <c r="H674" s="48" t="n">
        <f aca="false">IF($A674="",0,SUMIFS($G$8:$G$1007,$C$8:$C$1007,$C674,$A$8:$A$1007,"&gt;="&amp;$A674-6,$A$8:$A$1007,"&lt;="&amp;$A674))</f>
        <v>0</v>
      </c>
      <c r="I674" s="48" t="n">
        <f aca="false">IF($A674="",0,SUMIFS($G$8:$G$1007,$C$8:$C$1007,$C674,$A$8:$A$1007,"&gt;="&amp;$A674-27,$A$8:$A$1007,"&lt;="&amp;$A674)/4)</f>
        <v>0</v>
      </c>
      <c r="J674" s="67" t="n">
        <f aca="false">IF(OR($A674="",$I674=0),0,$H674/$I674)</f>
        <v>0</v>
      </c>
      <c r="K674" s="33" t="n">
        <f aca="false">IF($A674="",0,$A674-SUMPRODUCT(MIN(($C$8:$C$1007=$C674)*$A$8:$A$1007+($C$8:$C$1007&lt;&gt;$C674)*100000))+1)</f>
        <v>0</v>
      </c>
      <c r="L674" s="19" t="str">
        <f aca="false">IF($A674="","",IF($J674=0,"Sem registro anterior",IF($K674&lt;21,"Histórico insuficiente",IF($J674&lt;0.8,"Subcarga",IF($J674&lt;=1.3,"Zona ideal",IF($J674&lt;=1.5,"Atenção","Risco elevado"))))))</f>
        <v/>
      </c>
      <c r="M674" s="20"/>
    </row>
    <row r="675" customFormat="false" ht="15" hidden="false" customHeight="false" outlineLevel="0" collapsed="false">
      <c r="A675" s="21"/>
      <c r="B675" s="33" t="n">
        <f aca="false">IF($A675="",0,INT(($A675-Macrociclo!$C$11)/7)+1)</f>
        <v>0</v>
      </c>
      <c r="C675" s="20"/>
      <c r="D675" s="20"/>
      <c r="E675" s="22"/>
      <c r="F675" s="22"/>
      <c r="G675" s="48" t="n">
        <f aca="false">IF(OR($E675="",$F675=""),0,$E675*$F675)</f>
        <v>0</v>
      </c>
      <c r="H675" s="48" t="n">
        <f aca="false">IF($A675="",0,SUMIFS($G$8:$G$1007,$C$8:$C$1007,$C675,$A$8:$A$1007,"&gt;="&amp;$A675-6,$A$8:$A$1007,"&lt;="&amp;$A675))</f>
        <v>0</v>
      </c>
      <c r="I675" s="48" t="n">
        <f aca="false">IF($A675="",0,SUMIFS($G$8:$G$1007,$C$8:$C$1007,$C675,$A$8:$A$1007,"&gt;="&amp;$A675-27,$A$8:$A$1007,"&lt;="&amp;$A675)/4)</f>
        <v>0</v>
      </c>
      <c r="J675" s="67" t="n">
        <f aca="false">IF(OR($A675="",$I675=0),0,$H675/$I675)</f>
        <v>0</v>
      </c>
      <c r="K675" s="33" t="n">
        <f aca="false">IF($A675="",0,$A675-SUMPRODUCT(MIN(($C$8:$C$1007=$C675)*$A$8:$A$1007+($C$8:$C$1007&lt;&gt;$C675)*100000))+1)</f>
        <v>0</v>
      </c>
      <c r="L675" s="19" t="str">
        <f aca="false">IF($A675="","",IF($J675=0,"Sem registro anterior",IF($K675&lt;21,"Histórico insuficiente",IF($J675&lt;0.8,"Subcarga",IF($J675&lt;=1.3,"Zona ideal",IF($J675&lt;=1.5,"Atenção","Risco elevado"))))))</f>
        <v/>
      </c>
      <c r="M675" s="20"/>
    </row>
    <row r="676" customFormat="false" ht="15" hidden="false" customHeight="false" outlineLevel="0" collapsed="false">
      <c r="A676" s="21"/>
      <c r="B676" s="33" t="n">
        <f aca="false">IF($A676="",0,INT(($A676-Macrociclo!$C$11)/7)+1)</f>
        <v>0</v>
      </c>
      <c r="C676" s="20"/>
      <c r="D676" s="20"/>
      <c r="E676" s="22"/>
      <c r="F676" s="22"/>
      <c r="G676" s="48" t="n">
        <f aca="false">IF(OR($E676="",$F676=""),0,$E676*$F676)</f>
        <v>0</v>
      </c>
      <c r="H676" s="48" t="n">
        <f aca="false">IF($A676="",0,SUMIFS($G$8:$G$1007,$C$8:$C$1007,$C676,$A$8:$A$1007,"&gt;="&amp;$A676-6,$A$8:$A$1007,"&lt;="&amp;$A676))</f>
        <v>0</v>
      </c>
      <c r="I676" s="48" t="n">
        <f aca="false">IF($A676="",0,SUMIFS($G$8:$G$1007,$C$8:$C$1007,$C676,$A$8:$A$1007,"&gt;="&amp;$A676-27,$A$8:$A$1007,"&lt;="&amp;$A676)/4)</f>
        <v>0</v>
      </c>
      <c r="J676" s="67" t="n">
        <f aca="false">IF(OR($A676="",$I676=0),0,$H676/$I676)</f>
        <v>0</v>
      </c>
      <c r="K676" s="33" t="n">
        <f aca="false">IF($A676="",0,$A676-SUMPRODUCT(MIN(($C$8:$C$1007=$C676)*$A$8:$A$1007+($C$8:$C$1007&lt;&gt;$C676)*100000))+1)</f>
        <v>0</v>
      </c>
      <c r="L676" s="19" t="str">
        <f aca="false">IF($A676="","",IF($J676=0,"Sem registro anterior",IF($K676&lt;21,"Histórico insuficiente",IF($J676&lt;0.8,"Subcarga",IF($J676&lt;=1.3,"Zona ideal",IF($J676&lt;=1.5,"Atenção","Risco elevado"))))))</f>
        <v/>
      </c>
      <c r="M676" s="20"/>
    </row>
    <row r="677" customFormat="false" ht="15" hidden="false" customHeight="false" outlineLevel="0" collapsed="false">
      <c r="A677" s="21"/>
      <c r="B677" s="33" t="n">
        <f aca="false">IF($A677="",0,INT(($A677-Macrociclo!$C$11)/7)+1)</f>
        <v>0</v>
      </c>
      <c r="C677" s="20"/>
      <c r="D677" s="20"/>
      <c r="E677" s="22"/>
      <c r="F677" s="22"/>
      <c r="G677" s="48" t="n">
        <f aca="false">IF(OR($E677="",$F677=""),0,$E677*$F677)</f>
        <v>0</v>
      </c>
      <c r="H677" s="48" t="n">
        <f aca="false">IF($A677="",0,SUMIFS($G$8:$G$1007,$C$8:$C$1007,$C677,$A$8:$A$1007,"&gt;="&amp;$A677-6,$A$8:$A$1007,"&lt;="&amp;$A677))</f>
        <v>0</v>
      </c>
      <c r="I677" s="48" t="n">
        <f aca="false">IF($A677="",0,SUMIFS($G$8:$G$1007,$C$8:$C$1007,$C677,$A$8:$A$1007,"&gt;="&amp;$A677-27,$A$8:$A$1007,"&lt;="&amp;$A677)/4)</f>
        <v>0</v>
      </c>
      <c r="J677" s="67" t="n">
        <f aca="false">IF(OR($A677="",$I677=0),0,$H677/$I677)</f>
        <v>0</v>
      </c>
      <c r="K677" s="33" t="n">
        <f aca="false">IF($A677="",0,$A677-SUMPRODUCT(MIN(($C$8:$C$1007=$C677)*$A$8:$A$1007+($C$8:$C$1007&lt;&gt;$C677)*100000))+1)</f>
        <v>0</v>
      </c>
      <c r="L677" s="19" t="str">
        <f aca="false">IF($A677="","",IF($J677=0,"Sem registro anterior",IF($K677&lt;21,"Histórico insuficiente",IF($J677&lt;0.8,"Subcarga",IF($J677&lt;=1.3,"Zona ideal",IF($J677&lt;=1.5,"Atenção","Risco elevado"))))))</f>
        <v/>
      </c>
      <c r="M677" s="20"/>
    </row>
    <row r="678" customFormat="false" ht="15" hidden="false" customHeight="false" outlineLevel="0" collapsed="false">
      <c r="A678" s="21"/>
      <c r="B678" s="33" t="n">
        <f aca="false">IF($A678="",0,INT(($A678-Macrociclo!$C$11)/7)+1)</f>
        <v>0</v>
      </c>
      <c r="C678" s="20"/>
      <c r="D678" s="20"/>
      <c r="E678" s="22"/>
      <c r="F678" s="22"/>
      <c r="G678" s="48" t="n">
        <f aca="false">IF(OR($E678="",$F678=""),0,$E678*$F678)</f>
        <v>0</v>
      </c>
      <c r="H678" s="48" t="n">
        <f aca="false">IF($A678="",0,SUMIFS($G$8:$G$1007,$C$8:$C$1007,$C678,$A$8:$A$1007,"&gt;="&amp;$A678-6,$A$8:$A$1007,"&lt;="&amp;$A678))</f>
        <v>0</v>
      </c>
      <c r="I678" s="48" t="n">
        <f aca="false">IF($A678="",0,SUMIFS($G$8:$G$1007,$C$8:$C$1007,$C678,$A$8:$A$1007,"&gt;="&amp;$A678-27,$A$8:$A$1007,"&lt;="&amp;$A678)/4)</f>
        <v>0</v>
      </c>
      <c r="J678" s="67" t="n">
        <f aca="false">IF(OR($A678="",$I678=0),0,$H678/$I678)</f>
        <v>0</v>
      </c>
      <c r="K678" s="33" t="n">
        <f aca="false">IF($A678="",0,$A678-SUMPRODUCT(MIN(($C$8:$C$1007=$C678)*$A$8:$A$1007+($C$8:$C$1007&lt;&gt;$C678)*100000))+1)</f>
        <v>0</v>
      </c>
      <c r="L678" s="19" t="str">
        <f aca="false">IF($A678="","",IF($J678=0,"Sem registro anterior",IF($K678&lt;21,"Histórico insuficiente",IF($J678&lt;0.8,"Subcarga",IF($J678&lt;=1.3,"Zona ideal",IF($J678&lt;=1.5,"Atenção","Risco elevado"))))))</f>
        <v/>
      </c>
      <c r="M678" s="20"/>
    </row>
    <row r="679" customFormat="false" ht="15" hidden="false" customHeight="false" outlineLevel="0" collapsed="false">
      <c r="A679" s="21"/>
      <c r="B679" s="33" t="n">
        <f aca="false">IF($A679="",0,INT(($A679-Macrociclo!$C$11)/7)+1)</f>
        <v>0</v>
      </c>
      <c r="C679" s="20"/>
      <c r="D679" s="20"/>
      <c r="E679" s="22"/>
      <c r="F679" s="22"/>
      <c r="G679" s="48" t="n">
        <f aca="false">IF(OR($E679="",$F679=""),0,$E679*$F679)</f>
        <v>0</v>
      </c>
      <c r="H679" s="48" t="n">
        <f aca="false">IF($A679="",0,SUMIFS($G$8:$G$1007,$C$8:$C$1007,$C679,$A$8:$A$1007,"&gt;="&amp;$A679-6,$A$8:$A$1007,"&lt;="&amp;$A679))</f>
        <v>0</v>
      </c>
      <c r="I679" s="48" t="n">
        <f aca="false">IF($A679="",0,SUMIFS($G$8:$G$1007,$C$8:$C$1007,$C679,$A$8:$A$1007,"&gt;="&amp;$A679-27,$A$8:$A$1007,"&lt;="&amp;$A679)/4)</f>
        <v>0</v>
      </c>
      <c r="J679" s="67" t="n">
        <f aca="false">IF(OR($A679="",$I679=0),0,$H679/$I679)</f>
        <v>0</v>
      </c>
      <c r="K679" s="33" t="n">
        <f aca="false">IF($A679="",0,$A679-SUMPRODUCT(MIN(($C$8:$C$1007=$C679)*$A$8:$A$1007+($C$8:$C$1007&lt;&gt;$C679)*100000))+1)</f>
        <v>0</v>
      </c>
      <c r="L679" s="19" t="str">
        <f aca="false">IF($A679="","",IF($J679=0,"Sem registro anterior",IF($K679&lt;21,"Histórico insuficiente",IF($J679&lt;0.8,"Subcarga",IF($J679&lt;=1.3,"Zona ideal",IF($J679&lt;=1.5,"Atenção","Risco elevado"))))))</f>
        <v/>
      </c>
      <c r="M679" s="20"/>
    </row>
    <row r="680" customFormat="false" ht="15" hidden="false" customHeight="false" outlineLevel="0" collapsed="false">
      <c r="A680" s="21"/>
      <c r="B680" s="33" t="n">
        <f aca="false">IF($A680="",0,INT(($A680-Macrociclo!$C$11)/7)+1)</f>
        <v>0</v>
      </c>
      <c r="C680" s="20"/>
      <c r="D680" s="20"/>
      <c r="E680" s="22"/>
      <c r="F680" s="22"/>
      <c r="G680" s="48" t="n">
        <f aca="false">IF(OR($E680="",$F680=""),0,$E680*$F680)</f>
        <v>0</v>
      </c>
      <c r="H680" s="48" t="n">
        <f aca="false">IF($A680="",0,SUMIFS($G$8:$G$1007,$C$8:$C$1007,$C680,$A$8:$A$1007,"&gt;="&amp;$A680-6,$A$8:$A$1007,"&lt;="&amp;$A680))</f>
        <v>0</v>
      </c>
      <c r="I680" s="48" t="n">
        <f aca="false">IF($A680="",0,SUMIFS($G$8:$G$1007,$C$8:$C$1007,$C680,$A$8:$A$1007,"&gt;="&amp;$A680-27,$A$8:$A$1007,"&lt;="&amp;$A680)/4)</f>
        <v>0</v>
      </c>
      <c r="J680" s="67" t="n">
        <f aca="false">IF(OR($A680="",$I680=0),0,$H680/$I680)</f>
        <v>0</v>
      </c>
      <c r="K680" s="33" t="n">
        <f aca="false">IF($A680="",0,$A680-SUMPRODUCT(MIN(($C$8:$C$1007=$C680)*$A$8:$A$1007+($C$8:$C$1007&lt;&gt;$C680)*100000))+1)</f>
        <v>0</v>
      </c>
      <c r="L680" s="19" t="str">
        <f aca="false">IF($A680="","",IF($J680=0,"Sem registro anterior",IF($K680&lt;21,"Histórico insuficiente",IF($J680&lt;0.8,"Subcarga",IF($J680&lt;=1.3,"Zona ideal",IF($J680&lt;=1.5,"Atenção","Risco elevado"))))))</f>
        <v/>
      </c>
      <c r="M680" s="20"/>
    </row>
    <row r="681" customFormat="false" ht="15" hidden="false" customHeight="false" outlineLevel="0" collapsed="false">
      <c r="A681" s="21"/>
      <c r="B681" s="33" t="n">
        <f aca="false">IF($A681="",0,INT(($A681-Macrociclo!$C$11)/7)+1)</f>
        <v>0</v>
      </c>
      <c r="C681" s="20"/>
      <c r="D681" s="20"/>
      <c r="E681" s="22"/>
      <c r="F681" s="22"/>
      <c r="G681" s="48" t="n">
        <f aca="false">IF(OR($E681="",$F681=""),0,$E681*$F681)</f>
        <v>0</v>
      </c>
      <c r="H681" s="48" t="n">
        <f aca="false">IF($A681="",0,SUMIFS($G$8:$G$1007,$C$8:$C$1007,$C681,$A$8:$A$1007,"&gt;="&amp;$A681-6,$A$8:$A$1007,"&lt;="&amp;$A681))</f>
        <v>0</v>
      </c>
      <c r="I681" s="48" t="n">
        <f aca="false">IF($A681="",0,SUMIFS($G$8:$G$1007,$C$8:$C$1007,$C681,$A$8:$A$1007,"&gt;="&amp;$A681-27,$A$8:$A$1007,"&lt;="&amp;$A681)/4)</f>
        <v>0</v>
      </c>
      <c r="J681" s="67" t="n">
        <f aca="false">IF(OR($A681="",$I681=0),0,$H681/$I681)</f>
        <v>0</v>
      </c>
      <c r="K681" s="33" t="n">
        <f aca="false">IF($A681="",0,$A681-SUMPRODUCT(MIN(($C$8:$C$1007=$C681)*$A$8:$A$1007+($C$8:$C$1007&lt;&gt;$C681)*100000))+1)</f>
        <v>0</v>
      </c>
      <c r="L681" s="19" t="str">
        <f aca="false">IF($A681="","",IF($J681=0,"Sem registro anterior",IF($K681&lt;21,"Histórico insuficiente",IF($J681&lt;0.8,"Subcarga",IF($J681&lt;=1.3,"Zona ideal",IF($J681&lt;=1.5,"Atenção","Risco elevado"))))))</f>
        <v/>
      </c>
      <c r="M681" s="20"/>
    </row>
    <row r="682" customFormat="false" ht="15" hidden="false" customHeight="false" outlineLevel="0" collapsed="false">
      <c r="A682" s="21"/>
      <c r="B682" s="33" t="n">
        <f aca="false">IF($A682="",0,INT(($A682-Macrociclo!$C$11)/7)+1)</f>
        <v>0</v>
      </c>
      <c r="C682" s="20"/>
      <c r="D682" s="20"/>
      <c r="E682" s="22"/>
      <c r="F682" s="22"/>
      <c r="G682" s="48" t="n">
        <f aca="false">IF(OR($E682="",$F682=""),0,$E682*$F682)</f>
        <v>0</v>
      </c>
      <c r="H682" s="48" t="n">
        <f aca="false">IF($A682="",0,SUMIFS($G$8:$G$1007,$C$8:$C$1007,$C682,$A$8:$A$1007,"&gt;="&amp;$A682-6,$A$8:$A$1007,"&lt;="&amp;$A682))</f>
        <v>0</v>
      </c>
      <c r="I682" s="48" t="n">
        <f aca="false">IF($A682="",0,SUMIFS($G$8:$G$1007,$C$8:$C$1007,$C682,$A$8:$A$1007,"&gt;="&amp;$A682-27,$A$8:$A$1007,"&lt;="&amp;$A682)/4)</f>
        <v>0</v>
      </c>
      <c r="J682" s="67" t="n">
        <f aca="false">IF(OR($A682="",$I682=0),0,$H682/$I682)</f>
        <v>0</v>
      </c>
      <c r="K682" s="33" t="n">
        <f aca="false">IF($A682="",0,$A682-SUMPRODUCT(MIN(($C$8:$C$1007=$C682)*$A$8:$A$1007+($C$8:$C$1007&lt;&gt;$C682)*100000))+1)</f>
        <v>0</v>
      </c>
      <c r="L682" s="19" t="str">
        <f aca="false">IF($A682="","",IF($J682=0,"Sem registro anterior",IF($K682&lt;21,"Histórico insuficiente",IF($J682&lt;0.8,"Subcarga",IF($J682&lt;=1.3,"Zona ideal",IF($J682&lt;=1.5,"Atenção","Risco elevado"))))))</f>
        <v/>
      </c>
      <c r="M682" s="20"/>
    </row>
    <row r="683" customFormat="false" ht="15" hidden="false" customHeight="false" outlineLevel="0" collapsed="false">
      <c r="A683" s="21"/>
      <c r="B683" s="33" t="n">
        <f aca="false">IF($A683="",0,INT(($A683-Macrociclo!$C$11)/7)+1)</f>
        <v>0</v>
      </c>
      <c r="C683" s="20"/>
      <c r="D683" s="20"/>
      <c r="E683" s="22"/>
      <c r="F683" s="22"/>
      <c r="G683" s="48" t="n">
        <f aca="false">IF(OR($E683="",$F683=""),0,$E683*$F683)</f>
        <v>0</v>
      </c>
      <c r="H683" s="48" t="n">
        <f aca="false">IF($A683="",0,SUMIFS($G$8:$G$1007,$C$8:$C$1007,$C683,$A$8:$A$1007,"&gt;="&amp;$A683-6,$A$8:$A$1007,"&lt;="&amp;$A683))</f>
        <v>0</v>
      </c>
      <c r="I683" s="48" t="n">
        <f aca="false">IF($A683="",0,SUMIFS($G$8:$G$1007,$C$8:$C$1007,$C683,$A$8:$A$1007,"&gt;="&amp;$A683-27,$A$8:$A$1007,"&lt;="&amp;$A683)/4)</f>
        <v>0</v>
      </c>
      <c r="J683" s="67" t="n">
        <f aca="false">IF(OR($A683="",$I683=0),0,$H683/$I683)</f>
        <v>0</v>
      </c>
      <c r="K683" s="33" t="n">
        <f aca="false">IF($A683="",0,$A683-SUMPRODUCT(MIN(($C$8:$C$1007=$C683)*$A$8:$A$1007+($C$8:$C$1007&lt;&gt;$C683)*100000))+1)</f>
        <v>0</v>
      </c>
      <c r="L683" s="19" t="str">
        <f aca="false">IF($A683="","",IF($J683=0,"Sem registro anterior",IF($K683&lt;21,"Histórico insuficiente",IF($J683&lt;0.8,"Subcarga",IF($J683&lt;=1.3,"Zona ideal",IF($J683&lt;=1.5,"Atenção","Risco elevado"))))))</f>
        <v/>
      </c>
      <c r="M683" s="20"/>
    </row>
    <row r="684" customFormat="false" ht="15" hidden="false" customHeight="false" outlineLevel="0" collapsed="false">
      <c r="A684" s="21"/>
      <c r="B684" s="33" t="n">
        <f aca="false">IF($A684="",0,INT(($A684-Macrociclo!$C$11)/7)+1)</f>
        <v>0</v>
      </c>
      <c r="C684" s="20"/>
      <c r="D684" s="20"/>
      <c r="E684" s="22"/>
      <c r="F684" s="22"/>
      <c r="G684" s="48" t="n">
        <f aca="false">IF(OR($E684="",$F684=""),0,$E684*$F684)</f>
        <v>0</v>
      </c>
      <c r="H684" s="48" t="n">
        <f aca="false">IF($A684="",0,SUMIFS($G$8:$G$1007,$C$8:$C$1007,$C684,$A$8:$A$1007,"&gt;="&amp;$A684-6,$A$8:$A$1007,"&lt;="&amp;$A684))</f>
        <v>0</v>
      </c>
      <c r="I684" s="48" t="n">
        <f aca="false">IF($A684="",0,SUMIFS($G$8:$G$1007,$C$8:$C$1007,$C684,$A$8:$A$1007,"&gt;="&amp;$A684-27,$A$8:$A$1007,"&lt;="&amp;$A684)/4)</f>
        <v>0</v>
      </c>
      <c r="J684" s="67" t="n">
        <f aca="false">IF(OR($A684="",$I684=0),0,$H684/$I684)</f>
        <v>0</v>
      </c>
      <c r="K684" s="33" t="n">
        <f aca="false">IF($A684="",0,$A684-SUMPRODUCT(MIN(($C$8:$C$1007=$C684)*$A$8:$A$1007+($C$8:$C$1007&lt;&gt;$C684)*100000))+1)</f>
        <v>0</v>
      </c>
      <c r="L684" s="19" t="str">
        <f aca="false">IF($A684="","",IF($J684=0,"Sem registro anterior",IF($K684&lt;21,"Histórico insuficiente",IF($J684&lt;0.8,"Subcarga",IF($J684&lt;=1.3,"Zona ideal",IF($J684&lt;=1.5,"Atenção","Risco elevado"))))))</f>
        <v/>
      </c>
      <c r="M684" s="20"/>
    </row>
    <row r="685" customFormat="false" ht="15" hidden="false" customHeight="false" outlineLevel="0" collapsed="false">
      <c r="A685" s="21"/>
      <c r="B685" s="33" t="n">
        <f aca="false">IF($A685="",0,INT(($A685-Macrociclo!$C$11)/7)+1)</f>
        <v>0</v>
      </c>
      <c r="C685" s="20"/>
      <c r="D685" s="20"/>
      <c r="E685" s="22"/>
      <c r="F685" s="22"/>
      <c r="G685" s="48" t="n">
        <f aca="false">IF(OR($E685="",$F685=""),0,$E685*$F685)</f>
        <v>0</v>
      </c>
      <c r="H685" s="48" t="n">
        <f aca="false">IF($A685="",0,SUMIFS($G$8:$G$1007,$C$8:$C$1007,$C685,$A$8:$A$1007,"&gt;="&amp;$A685-6,$A$8:$A$1007,"&lt;="&amp;$A685))</f>
        <v>0</v>
      </c>
      <c r="I685" s="48" t="n">
        <f aca="false">IF($A685="",0,SUMIFS($G$8:$G$1007,$C$8:$C$1007,$C685,$A$8:$A$1007,"&gt;="&amp;$A685-27,$A$8:$A$1007,"&lt;="&amp;$A685)/4)</f>
        <v>0</v>
      </c>
      <c r="J685" s="67" t="n">
        <f aca="false">IF(OR($A685="",$I685=0),0,$H685/$I685)</f>
        <v>0</v>
      </c>
      <c r="K685" s="33" t="n">
        <f aca="false">IF($A685="",0,$A685-SUMPRODUCT(MIN(($C$8:$C$1007=$C685)*$A$8:$A$1007+($C$8:$C$1007&lt;&gt;$C685)*100000))+1)</f>
        <v>0</v>
      </c>
      <c r="L685" s="19" t="str">
        <f aca="false">IF($A685="","",IF($J685=0,"Sem registro anterior",IF($K685&lt;21,"Histórico insuficiente",IF($J685&lt;0.8,"Subcarga",IF($J685&lt;=1.3,"Zona ideal",IF($J685&lt;=1.5,"Atenção","Risco elevado"))))))</f>
        <v/>
      </c>
      <c r="M685" s="20"/>
    </row>
    <row r="686" customFormat="false" ht="15" hidden="false" customHeight="false" outlineLevel="0" collapsed="false">
      <c r="A686" s="21"/>
      <c r="B686" s="33" t="n">
        <f aca="false">IF($A686="",0,INT(($A686-Macrociclo!$C$11)/7)+1)</f>
        <v>0</v>
      </c>
      <c r="C686" s="20"/>
      <c r="D686" s="20"/>
      <c r="E686" s="22"/>
      <c r="F686" s="22"/>
      <c r="G686" s="48" t="n">
        <f aca="false">IF(OR($E686="",$F686=""),0,$E686*$F686)</f>
        <v>0</v>
      </c>
      <c r="H686" s="48" t="n">
        <f aca="false">IF($A686="",0,SUMIFS($G$8:$G$1007,$C$8:$C$1007,$C686,$A$8:$A$1007,"&gt;="&amp;$A686-6,$A$8:$A$1007,"&lt;="&amp;$A686))</f>
        <v>0</v>
      </c>
      <c r="I686" s="48" t="n">
        <f aca="false">IF($A686="",0,SUMIFS($G$8:$G$1007,$C$8:$C$1007,$C686,$A$8:$A$1007,"&gt;="&amp;$A686-27,$A$8:$A$1007,"&lt;="&amp;$A686)/4)</f>
        <v>0</v>
      </c>
      <c r="J686" s="67" t="n">
        <f aca="false">IF(OR($A686="",$I686=0),0,$H686/$I686)</f>
        <v>0</v>
      </c>
      <c r="K686" s="33" t="n">
        <f aca="false">IF($A686="",0,$A686-SUMPRODUCT(MIN(($C$8:$C$1007=$C686)*$A$8:$A$1007+($C$8:$C$1007&lt;&gt;$C686)*100000))+1)</f>
        <v>0</v>
      </c>
      <c r="L686" s="19" t="str">
        <f aca="false">IF($A686="","",IF($J686=0,"Sem registro anterior",IF($K686&lt;21,"Histórico insuficiente",IF($J686&lt;0.8,"Subcarga",IF($J686&lt;=1.3,"Zona ideal",IF($J686&lt;=1.5,"Atenção","Risco elevado"))))))</f>
        <v/>
      </c>
      <c r="M686" s="20"/>
    </row>
    <row r="687" customFormat="false" ht="15" hidden="false" customHeight="false" outlineLevel="0" collapsed="false">
      <c r="A687" s="21"/>
      <c r="B687" s="33" t="n">
        <f aca="false">IF($A687="",0,INT(($A687-Macrociclo!$C$11)/7)+1)</f>
        <v>0</v>
      </c>
      <c r="C687" s="20"/>
      <c r="D687" s="20"/>
      <c r="E687" s="22"/>
      <c r="F687" s="22"/>
      <c r="G687" s="48" t="n">
        <f aca="false">IF(OR($E687="",$F687=""),0,$E687*$F687)</f>
        <v>0</v>
      </c>
      <c r="H687" s="48" t="n">
        <f aca="false">IF($A687="",0,SUMIFS($G$8:$G$1007,$C$8:$C$1007,$C687,$A$8:$A$1007,"&gt;="&amp;$A687-6,$A$8:$A$1007,"&lt;="&amp;$A687))</f>
        <v>0</v>
      </c>
      <c r="I687" s="48" t="n">
        <f aca="false">IF($A687="",0,SUMIFS($G$8:$G$1007,$C$8:$C$1007,$C687,$A$8:$A$1007,"&gt;="&amp;$A687-27,$A$8:$A$1007,"&lt;="&amp;$A687)/4)</f>
        <v>0</v>
      </c>
      <c r="J687" s="67" t="n">
        <f aca="false">IF(OR($A687="",$I687=0),0,$H687/$I687)</f>
        <v>0</v>
      </c>
      <c r="K687" s="33" t="n">
        <f aca="false">IF($A687="",0,$A687-SUMPRODUCT(MIN(($C$8:$C$1007=$C687)*$A$8:$A$1007+($C$8:$C$1007&lt;&gt;$C687)*100000))+1)</f>
        <v>0</v>
      </c>
      <c r="L687" s="19" t="str">
        <f aca="false">IF($A687="","",IF($J687=0,"Sem registro anterior",IF($K687&lt;21,"Histórico insuficiente",IF($J687&lt;0.8,"Subcarga",IF($J687&lt;=1.3,"Zona ideal",IF($J687&lt;=1.5,"Atenção","Risco elevado"))))))</f>
        <v/>
      </c>
      <c r="M687" s="20"/>
    </row>
    <row r="688" customFormat="false" ht="15" hidden="false" customHeight="false" outlineLevel="0" collapsed="false">
      <c r="A688" s="21"/>
      <c r="B688" s="33" t="n">
        <f aca="false">IF($A688="",0,INT(($A688-Macrociclo!$C$11)/7)+1)</f>
        <v>0</v>
      </c>
      <c r="C688" s="20"/>
      <c r="D688" s="20"/>
      <c r="E688" s="22"/>
      <c r="F688" s="22"/>
      <c r="G688" s="48" t="n">
        <f aca="false">IF(OR($E688="",$F688=""),0,$E688*$F688)</f>
        <v>0</v>
      </c>
      <c r="H688" s="48" t="n">
        <f aca="false">IF($A688="",0,SUMIFS($G$8:$G$1007,$C$8:$C$1007,$C688,$A$8:$A$1007,"&gt;="&amp;$A688-6,$A$8:$A$1007,"&lt;="&amp;$A688))</f>
        <v>0</v>
      </c>
      <c r="I688" s="48" t="n">
        <f aca="false">IF($A688="",0,SUMIFS($G$8:$G$1007,$C$8:$C$1007,$C688,$A$8:$A$1007,"&gt;="&amp;$A688-27,$A$8:$A$1007,"&lt;="&amp;$A688)/4)</f>
        <v>0</v>
      </c>
      <c r="J688" s="67" t="n">
        <f aca="false">IF(OR($A688="",$I688=0),0,$H688/$I688)</f>
        <v>0</v>
      </c>
      <c r="K688" s="33" t="n">
        <f aca="false">IF($A688="",0,$A688-SUMPRODUCT(MIN(($C$8:$C$1007=$C688)*$A$8:$A$1007+($C$8:$C$1007&lt;&gt;$C688)*100000))+1)</f>
        <v>0</v>
      </c>
      <c r="L688" s="19" t="str">
        <f aca="false">IF($A688="","",IF($J688=0,"Sem registro anterior",IF($K688&lt;21,"Histórico insuficiente",IF($J688&lt;0.8,"Subcarga",IF($J688&lt;=1.3,"Zona ideal",IF($J688&lt;=1.5,"Atenção","Risco elevado"))))))</f>
        <v/>
      </c>
      <c r="M688" s="20"/>
    </row>
    <row r="689" customFormat="false" ht="15" hidden="false" customHeight="false" outlineLevel="0" collapsed="false">
      <c r="A689" s="21"/>
      <c r="B689" s="33" t="n">
        <f aca="false">IF($A689="",0,INT(($A689-Macrociclo!$C$11)/7)+1)</f>
        <v>0</v>
      </c>
      <c r="C689" s="20"/>
      <c r="D689" s="20"/>
      <c r="E689" s="22"/>
      <c r="F689" s="22"/>
      <c r="G689" s="48" t="n">
        <f aca="false">IF(OR($E689="",$F689=""),0,$E689*$F689)</f>
        <v>0</v>
      </c>
      <c r="H689" s="48" t="n">
        <f aca="false">IF($A689="",0,SUMIFS($G$8:$G$1007,$C$8:$C$1007,$C689,$A$8:$A$1007,"&gt;="&amp;$A689-6,$A$8:$A$1007,"&lt;="&amp;$A689))</f>
        <v>0</v>
      </c>
      <c r="I689" s="48" t="n">
        <f aca="false">IF($A689="",0,SUMIFS($G$8:$G$1007,$C$8:$C$1007,$C689,$A$8:$A$1007,"&gt;="&amp;$A689-27,$A$8:$A$1007,"&lt;="&amp;$A689)/4)</f>
        <v>0</v>
      </c>
      <c r="J689" s="67" t="n">
        <f aca="false">IF(OR($A689="",$I689=0),0,$H689/$I689)</f>
        <v>0</v>
      </c>
      <c r="K689" s="33" t="n">
        <f aca="false">IF($A689="",0,$A689-SUMPRODUCT(MIN(($C$8:$C$1007=$C689)*$A$8:$A$1007+($C$8:$C$1007&lt;&gt;$C689)*100000))+1)</f>
        <v>0</v>
      </c>
      <c r="L689" s="19" t="str">
        <f aca="false">IF($A689="","",IF($J689=0,"Sem registro anterior",IF($K689&lt;21,"Histórico insuficiente",IF($J689&lt;0.8,"Subcarga",IF($J689&lt;=1.3,"Zona ideal",IF($J689&lt;=1.5,"Atenção","Risco elevado"))))))</f>
        <v/>
      </c>
      <c r="M689" s="20"/>
    </row>
    <row r="690" customFormat="false" ht="15" hidden="false" customHeight="false" outlineLevel="0" collapsed="false">
      <c r="A690" s="21"/>
      <c r="B690" s="33" t="n">
        <f aca="false">IF($A690="",0,INT(($A690-Macrociclo!$C$11)/7)+1)</f>
        <v>0</v>
      </c>
      <c r="C690" s="20"/>
      <c r="D690" s="20"/>
      <c r="E690" s="22"/>
      <c r="F690" s="22"/>
      <c r="G690" s="48" t="n">
        <f aca="false">IF(OR($E690="",$F690=""),0,$E690*$F690)</f>
        <v>0</v>
      </c>
      <c r="H690" s="48" t="n">
        <f aca="false">IF($A690="",0,SUMIFS($G$8:$G$1007,$C$8:$C$1007,$C690,$A$8:$A$1007,"&gt;="&amp;$A690-6,$A$8:$A$1007,"&lt;="&amp;$A690))</f>
        <v>0</v>
      </c>
      <c r="I690" s="48" t="n">
        <f aca="false">IF($A690="",0,SUMIFS($G$8:$G$1007,$C$8:$C$1007,$C690,$A$8:$A$1007,"&gt;="&amp;$A690-27,$A$8:$A$1007,"&lt;="&amp;$A690)/4)</f>
        <v>0</v>
      </c>
      <c r="J690" s="67" t="n">
        <f aca="false">IF(OR($A690="",$I690=0),0,$H690/$I690)</f>
        <v>0</v>
      </c>
      <c r="K690" s="33" t="n">
        <f aca="false">IF($A690="",0,$A690-SUMPRODUCT(MIN(($C$8:$C$1007=$C690)*$A$8:$A$1007+($C$8:$C$1007&lt;&gt;$C690)*100000))+1)</f>
        <v>0</v>
      </c>
      <c r="L690" s="19" t="str">
        <f aca="false">IF($A690="","",IF($J690=0,"Sem registro anterior",IF($K690&lt;21,"Histórico insuficiente",IF($J690&lt;0.8,"Subcarga",IF($J690&lt;=1.3,"Zona ideal",IF($J690&lt;=1.5,"Atenção","Risco elevado"))))))</f>
        <v/>
      </c>
      <c r="M690" s="20"/>
    </row>
    <row r="691" customFormat="false" ht="15" hidden="false" customHeight="false" outlineLevel="0" collapsed="false">
      <c r="A691" s="21"/>
      <c r="B691" s="33" t="n">
        <f aca="false">IF($A691="",0,INT(($A691-Macrociclo!$C$11)/7)+1)</f>
        <v>0</v>
      </c>
      <c r="C691" s="20"/>
      <c r="D691" s="20"/>
      <c r="E691" s="22"/>
      <c r="F691" s="22"/>
      <c r="G691" s="48" t="n">
        <f aca="false">IF(OR($E691="",$F691=""),0,$E691*$F691)</f>
        <v>0</v>
      </c>
      <c r="H691" s="48" t="n">
        <f aca="false">IF($A691="",0,SUMIFS($G$8:$G$1007,$C$8:$C$1007,$C691,$A$8:$A$1007,"&gt;="&amp;$A691-6,$A$8:$A$1007,"&lt;="&amp;$A691))</f>
        <v>0</v>
      </c>
      <c r="I691" s="48" t="n">
        <f aca="false">IF($A691="",0,SUMIFS($G$8:$G$1007,$C$8:$C$1007,$C691,$A$8:$A$1007,"&gt;="&amp;$A691-27,$A$8:$A$1007,"&lt;="&amp;$A691)/4)</f>
        <v>0</v>
      </c>
      <c r="J691" s="67" t="n">
        <f aca="false">IF(OR($A691="",$I691=0),0,$H691/$I691)</f>
        <v>0</v>
      </c>
      <c r="K691" s="33" t="n">
        <f aca="false">IF($A691="",0,$A691-SUMPRODUCT(MIN(($C$8:$C$1007=$C691)*$A$8:$A$1007+($C$8:$C$1007&lt;&gt;$C691)*100000))+1)</f>
        <v>0</v>
      </c>
      <c r="L691" s="19" t="str">
        <f aca="false">IF($A691="","",IF($J691=0,"Sem registro anterior",IF($K691&lt;21,"Histórico insuficiente",IF($J691&lt;0.8,"Subcarga",IF($J691&lt;=1.3,"Zona ideal",IF($J691&lt;=1.5,"Atenção","Risco elevado"))))))</f>
        <v/>
      </c>
      <c r="M691" s="20"/>
    </row>
    <row r="692" customFormat="false" ht="15" hidden="false" customHeight="false" outlineLevel="0" collapsed="false">
      <c r="A692" s="21"/>
      <c r="B692" s="33" t="n">
        <f aca="false">IF($A692="",0,INT(($A692-Macrociclo!$C$11)/7)+1)</f>
        <v>0</v>
      </c>
      <c r="C692" s="20"/>
      <c r="D692" s="20"/>
      <c r="E692" s="22"/>
      <c r="F692" s="22"/>
      <c r="G692" s="48" t="n">
        <f aca="false">IF(OR($E692="",$F692=""),0,$E692*$F692)</f>
        <v>0</v>
      </c>
      <c r="H692" s="48" t="n">
        <f aca="false">IF($A692="",0,SUMIFS($G$8:$G$1007,$C$8:$C$1007,$C692,$A$8:$A$1007,"&gt;="&amp;$A692-6,$A$8:$A$1007,"&lt;="&amp;$A692))</f>
        <v>0</v>
      </c>
      <c r="I692" s="48" t="n">
        <f aca="false">IF($A692="",0,SUMIFS($G$8:$G$1007,$C$8:$C$1007,$C692,$A$8:$A$1007,"&gt;="&amp;$A692-27,$A$8:$A$1007,"&lt;="&amp;$A692)/4)</f>
        <v>0</v>
      </c>
      <c r="J692" s="67" t="n">
        <f aca="false">IF(OR($A692="",$I692=0),0,$H692/$I692)</f>
        <v>0</v>
      </c>
      <c r="K692" s="33" t="n">
        <f aca="false">IF($A692="",0,$A692-SUMPRODUCT(MIN(($C$8:$C$1007=$C692)*$A$8:$A$1007+($C$8:$C$1007&lt;&gt;$C692)*100000))+1)</f>
        <v>0</v>
      </c>
      <c r="L692" s="19" t="str">
        <f aca="false">IF($A692="","",IF($J692=0,"Sem registro anterior",IF($K692&lt;21,"Histórico insuficiente",IF($J692&lt;0.8,"Subcarga",IF($J692&lt;=1.3,"Zona ideal",IF($J692&lt;=1.5,"Atenção","Risco elevado"))))))</f>
        <v/>
      </c>
      <c r="M692" s="20"/>
    </row>
    <row r="693" customFormat="false" ht="15" hidden="false" customHeight="false" outlineLevel="0" collapsed="false">
      <c r="A693" s="21"/>
      <c r="B693" s="33" t="n">
        <f aca="false">IF($A693="",0,INT(($A693-Macrociclo!$C$11)/7)+1)</f>
        <v>0</v>
      </c>
      <c r="C693" s="20"/>
      <c r="D693" s="20"/>
      <c r="E693" s="22"/>
      <c r="F693" s="22"/>
      <c r="G693" s="48" t="n">
        <f aca="false">IF(OR($E693="",$F693=""),0,$E693*$F693)</f>
        <v>0</v>
      </c>
      <c r="H693" s="48" t="n">
        <f aca="false">IF($A693="",0,SUMIFS($G$8:$G$1007,$C$8:$C$1007,$C693,$A$8:$A$1007,"&gt;="&amp;$A693-6,$A$8:$A$1007,"&lt;="&amp;$A693))</f>
        <v>0</v>
      </c>
      <c r="I693" s="48" t="n">
        <f aca="false">IF($A693="",0,SUMIFS($G$8:$G$1007,$C$8:$C$1007,$C693,$A$8:$A$1007,"&gt;="&amp;$A693-27,$A$8:$A$1007,"&lt;="&amp;$A693)/4)</f>
        <v>0</v>
      </c>
      <c r="J693" s="67" t="n">
        <f aca="false">IF(OR($A693="",$I693=0),0,$H693/$I693)</f>
        <v>0</v>
      </c>
      <c r="K693" s="33" t="n">
        <f aca="false">IF($A693="",0,$A693-SUMPRODUCT(MIN(($C$8:$C$1007=$C693)*$A$8:$A$1007+($C$8:$C$1007&lt;&gt;$C693)*100000))+1)</f>
        <v>0</v>
      </c>
      <c r="L693" s="19" t="str">
        <f aca="false">IF($A693="","",IF($J693=0,"Sem registro anterior",IF($K693&lt;21,"Histórico insuficiente",IF($J693&lt;0.8,"Subcarga",IF($J693&lt;=1.3,"Zona ideal",IF($J693&lt;=1.5,"Atenção","Risco elevado"))))))</f>
        <v/>
      </c>
      <c r="M693" s="20"/>
    </row>
    <row r="694" customFormat="false" ht="15" hidden="false" customHeight="false" outlineLevel="0" collapsed="false">
      <c r="A694" s="21"/>
      <c r="B694" s="33" t="n">
        <f aca="false">IF($A694="",0,INT(($A694-Macrociclo!$C$11)/7)+1)</f>
        <v>0</v>
      </c>
      <c r="C694" s="20"/>
      <c r="D694" s="20"/>
      <c r="E694" s="22"/>
      <c r="F694" s="22"/>
      <c r="G694" s="48" t="n">
        <f aca="false">IF(OR($E694="",$F694=""),0,$E694*$F694)</f>
        <v>0</v>
      </c>
      <c r="H694" s="48" t="n">
        <f aca="false">IF($A694="",0,SUMIFS($G$8:$G$1007,$C$8:$C$1007,$C694,$A$8:$A$1007,"&gt;="&amp;$A694-6,$A$8:$A$1007,"&lt;="&amp;$A694))</f>
        <v>0</v>
      </c>
      <c r="I694" s="48" t="n">
        <f aca="false">IF($A694="",0,SUMIFS($G$8:$G$1007,$C$8:$C$1007,$C694,$A$8:$A$1007,"&gt;="&amp;$A694-27,$A$8:$A$1007,"&lt;="&amp;$A694)/4)</f>
        <v>0</v>
      </c>
      <c r="J694" s="67" t="n">
        <f aca="false">IF(OR($A694="",$I694=0),0,$H694/$I694)</f>
        <v>0</v>
      </c>
      <c r="K694" s="33" t="n">
        <f aca="false">IF($A694="",0,$A694-SUMPRODUCT(MIN(($C$8:$C$1007=$C694)*$A$8:$A$1007+($C$8:$C$1007&lt;&gt;$C694)*100000))+1)</f>
        <v>0</v>
      </c>
      <c r="L694" s="19" t="str">
        <f aca="false">IF($A694="","",IF($J694=0,"Sem registro anterior",IF($K694&lt;21,"Histórico insuficiente",IF($J694&lt;0.8,"Subcarga",IF($J694&lt;=1.3,"Zona ideal",IF($J694&lt;=1.5,"Atenção","Risco elevado"))))))</f>
        <v/>
      </c>
      <c r="M694" s="20"/>
    </row>
    <row r="695" customFormat="false" ht="15" hidden="false" customHeight="false" outlineLevel="0" collapsed="false">
      <c r="A695" s="21"/>
      <c r="B695" s="33" t="n">
        <f aca="false">IF($A695="",0,INT(($A695-Macrociclo!$C$11)/7)+1)</f>
        <v>0</v>
      </c>
      <c r="C695" s="20"/>
      <c r="D695" s="20"/>
      <c r="E695" s="22"/>
      <c r="F695" s="22"/>
      <c r="G695" s="48" t="n">
        <f aca="false">IF(OR($E695="",$F695=""),0,$E695*$F695)</f>
        <v>0</v>
      </c>
      <c r="H695" s="48" t="n">
        <f aca="false">IF($A695="",0,SUMIFS($G$8:$G$1007,$C$8:$C$1007,$C695,$A$8:$A$1007,"&gt;="&amp;$A695-6,$A$8:$A$1007,"&lt;="&amp;$A695))</f>
        <v>0</v>
      </c>
      <c r="I695" s="48" t="n">
        <f aca="false">IF($A695="",0,SUMIFS($G$8:$G$1007,$C$8:$C$1007,$C695,$A$8:$A$1007,"&gt;="&amp;$A695-27,$A$8:$A$1007,"&lt;="&amp;$A695)/4)</f>
        <v>0</v>
      </c>
      <c r="J695" s="67" t="n">
        <f aca="false">IF(OR($A695="",$I695=0),0,$H695/$I695)</f>
        <v>0</v>
      </c>
      <c r="K695" s="33" t="n">
        <f aca="false">IF($A695="",0,$A695-SUMPRODUCT(MIN(($C$8:$C$1007=$C695)*$A$8:$A$1007+($C$8:$C$1007&lt;&gt;$C695)*100000))+1)</f>
        <v>0</v>
      </c>
      <c r="L695" s="19" t="str">
        <f aca="false">IF($A695="","",IF($J695=0,"Sem registro anterior",IF($K695&lt;21,"Histórico insuficiente",IF($J695&lt;0.8,"Subcarga",IF($J695&lt;=1.3,"Zona ideal",IF($J695&lt;=1.5,"Atenção","Risco elevado"))))))</f>
        <v/>
      </c>
      <c r="M695" s="20"/>
    </row>
    <row r="696" customFormat="false" ht="15" hidden="false" customHeight="false" outlineLevel="0" collapsed="false">
      <c r="A696" s="21"/>
      <c r="B696" s="33" t="n">
        <f aca="false">IF($A696="",0,INT(($A696-Macrociclo!$C$11)/7)+1)</f>
        <v>0</v>
      </c>
      <c r="C696" s="20"/>
      <c r="D696" s="20"/>
      <c r="E696" s="22"/>
      <c r="F696" s="22"/>
      <c r="G696" s="48" t="n">
        <f aca="false">IF(OR($E696="",$F696=""),0,$E696*$F696)</f>
        <v>0</v>
      </c>
      <c r="H696" s="48" t="n">
        <f aca="false">IF($A696="",0,SUMIFS($G$8:$G$1007,$C$8:$C$1007,$C696,$A$8:$A$1007,"&gt;="&amp;$A696-6,$A$8:$A$1007,"&lt;="&amp;$A696))</f>
        <v>0</v>
      </c>
      <c r="I696" s="48" t="n">
        <f aca="false">IF($A696="",0,SUMIFS($G$8:$G$1007,$C$8:$C$1007,$C696,$A$8:$A$1007,"&gt;="&amp;$A696-27,$A$8:$A$1007,"&lt;="&amp;$A696)/4)</f>
        <v>0</v>
      </c>
      <c r="J696" s="67" t="n">
        <f aca="false">IF(OR($A696="",$I696=0),0,$H696/$I696)</f>
        <v>0</v>
      </c>
      <c r="K696" s="33" t="n">
        <f aca="false">IF($A696="",0,$A696-SUMPRODUCT(MIN(($C$8:$C$1007=$C696)*$A$8:$A$1007+($C$8:$C$1007&lt;&gt;$C696)*100000))+1)</f>
        <v>0</v>
      </c>
      <c r="L696" s="19" t="str">
        <f aca="false">IF($A696="","",IF($J696=0,"Sem registro anterior",IF($K696&lt;21,"Histórico insuficiente",IF($J696&lt;0.8,"Subcarga",IF($J696&lt;=1.3,"Zona ideal",IF($J696&lt;=1.5,"Atenção","Risco elevado"))))))</f>
        <v/>
      </c>
      <c r="M696" s="20"/>
    </row>
    <row r="697" customFormat="false" ht="15" hidden="false" customHeight="false" outlineLevel="0" collapsed="false">
      <c r="A697" s="21"/>
      <c r="B697" s="33" t="n">
        <f aca="false">IF($A697="",0,INT(($A697-Macrociclo!$C$11)/7)+1)</f>
        <v>0</v>
      </c>
      <c r="C697" s="20"/>
      <c r="D697" s="20"/>
      <c r="E697" s="22"/>
      <c r="F697" s="22"/>
      <c r="G697" s="48" t="n">
        <f aca="false">IF(OR($E697="",$F697=""),0,$E697*$F697)</f>
        <v>0</v>
      </c>
      <c r="H697" s="48" t="n">
        <f aca="false">IF($A697="",0,SUMIFS($G$8:$G$1007,$C$8:$C$1007,$C697,$A$8:$A$1007,"&gt;="&amp;$A697-6,$A$8:$A$1007,"&lt;="&amp;$A697))</f>
        <v>0</v>
      </c>
      <c r="I697" s="48" t="n">
        <f aca="false">IF($A697="",0,SUMIFS($G$8:$G$1007,$C$8:$C$1007,$C697,$A$8:$A$1007,"&gt;="&amp;$A697-27,$A$8:$A$1007,"&lt;="&amp;$A697)/4)</f>
        <v>0</v>
      </c>
      <c r="J697" s="67" t="n">
        <f aca="false">IF(OR($A697="",$I697=0),0,$H697/$I697)</f>
        <v>0</v>
      </c>
      <c r="K697" s="33" t="n">
        <f aca="false">IF($A697="",0,$A697-SUMPRODUCT(MIN(($C$8:$C$1007=$C697)*$A$8:$A$1007+($C$8:$C$1007&lt;&gt;$C697)*100000))+1)</f>
        <v>0</v>
      </c>
      <c r="L697" s="19" t="str">
        <f aca="false">IF($A697="","",IF($J697=0,"Sem registro anterior",IF($K697&lt;21,"Histórico insuficiente",IF($J697&lt;0.8,"Subcarga",IF($J697&lt;=1.3,"Zona ideal",IF($J697&lt;=1.5,"Atenção","Risco elevado"))))))</f>
        <v/>
      </c>
      <c r="M697" s="20"/>
    </row>
    <row r="698" customFormat="false" ht="15" hidden="false" customHeight="false" outlineLevel="0" collapsed="false">
      <c r="A698" s="21"/>
      <c r="B698" s="33" t="n">
        <f aca="false">IF($A698="",0,INT(($A698-Macrociclo!$C$11)/7)+1)</f>
        <v>0</v>
      </c>
      <c r="C698" s="20"/>
      <c r="D698" s="20"/>
      <c r="E698" s="22"/>
      <c r="F698" s="22"/>
      <c r="G698" s="48" t="n">
        <f aca="false">IF(OR($E698="",$F698=""),0,$E698*$F698)</f>
        <v>0</v>
      </c>
      <c r="H698" s="48" t="n">
        <f aca="false">IF($A698="",0,SUMIFS($G$8:$G$1007,$C$8:$C$1007,$C698,$A$8:$A$1007,"&gt;="&amp;$A698-6,$A$8:$A$1007,"&lt;="&amp;$A698))</f>
        <v>0</v>
      </c>
      <c r="I698" s="48" t="n">
        <f aca="false">IF($A698="",0,SUMIFS($G$8:$G$1007,$C$8:$C$1007,$C698,$A$8:$A$1007,"&gt;="&amp;$A698-27,$A$8:$A$1007,"&lt;="&amp;$A698)/4)</f>
        <v>0</v>
      </c>
      <c r="J698" s="67" t="n">
        <f aca="false">IF(OR($A698="",$I698=0),0,$H698/$I698)</f>
        <v>0</v>
      </c>
      <c r="K698" s="33" t="n">
        <f aca="false">IF($A698="",0,$A698-SUMPRODUCT(MIN(($C$8:$C$1007=$C698)*$A$8:$A$1007+($C$8:$C$1007&lt;&gt;$C698)*100000))+1)</f>
        <v>0</v>
      </c>
      <c r="L698" s="19" t="str">
        <f aca="false">IF($A698="","",IF($J698=0,"Sem registro anterior",IF($K698&lt;21,"Histórico insuficiente",IF($J698&lt;0.8,"Subcarga",IF($J698&lt;=1.3,"Zona ideal",IF($J698&lt;=1.5,"Atenção","Risco elevado"))))))</f>
        <v/>
      </c>
      <c r="M698" s="20"/>
    </row>
    <row r="699" customFormat="false" ht="15" hidden="false" customHeight="false" outlineLevel="0" collapsed="false">
      <c r="A699" s="21"/>
      <c r="B699" s="33" t="n">
        <f aca="false">IF($A699="",0,INT(($A699-Macrociclo!$C$11)/7)+1)</f>
        <v>0</v>
      </c>
      <c r="C699" s="20"/>
      <c r="D699" s="20"/>
      <c r="E699" s="22"/>
      <c r="F699" s="22"/>
      <c r="G699" s="48" t="n">
        <f aca="false">IF(OR($E699="",$F699=""),0,$E699*$F699)</f>
        <v>0</v>
      </c>
      <c r="H699" s="48" t="n">
        <f aca="false">IF($A699="",0,SUMIFS($G$8:$G$1007,$C$8:$C$1007,$C699,$A$8:$A$1007,"&gt;="&amp;$A699-6,$A$8:$A$1007,"&lt;="&amp;$A699))</f>
        <v>0</v>
      </c>
      <c r="I699" s="48" t="n">
        <f aca="false">IF($A699="",0,SUMIFS($G$8:$G$1007,$C$8:$C$1007,$C699,$A$8:$A$1007,"&gt;="&amp;$A699-27,$A$8:$A$1007,"&lt;="&amp;$A699)/4)</f>
        <v>0</v>
      </c>
      <c r="J699" s="67" t="n">
        <f aca="false">IF(OR($A699="",$I699=0),0,$H699/$I699)</f>
        <v>0</v>
      </c>
      <c r="K699" s="33" t="n">
        <f aca="false">IF($A699="",0,$A699-SUMPRODUCT(MIN(($C$8:$C$1007=$C699)*$A$8:$A$1007+($C$8:$C$1007&lt;&gt;$C699)*100000))+1)</f>
        <v>0</v>
      </c>
      <c r="L699" s="19" t="str">
        <f aca="false">IF($A699="","",IF($J699=0,"Sem registro anterior",IF($K699&lt;21,"Histórico insuficiente",IF($J699&lt;0.8,"Subcarga",IF($J699&lt;=1.3,"Zona ideal",IF($J699&lt;=1.5,"Atenção","Risco elevado"))))))</f>
        <v/>
      </c>
      <c r="M699" s="20"/>
    </row>
    <row r="700" customFormat="false" ht="15" hidden="false" customHeight="false" outlineLevel="0" collapsed="false">
      <c r="A700" s="21"/>
      <c r="B700" s="33" t="n">
        <f aca="false">IF($A700="",0,INT(($A700-Macrociclo!$C$11)/7)+1)</f>
        <v>0</v>
      </c>
      <c r="C700" s="20"/>
      <c r="D700" s="20"/>
      <c r="E700" s="22"/>
      <c r="F700" s="22"/>
      <c r="G700" s="48" t="n">
        <f aca="false">IF(OR($E700="",$F700=""),0,$E700*$F700)</f>
        <v>0</v>
      </c>
      <c r="H700" s="48" t="n">
        <f aca="false">IF($A700="",0,SUMIFS($G$8:$G$1007,$C$8:$C$1007,$C700,$A$8:$A$1007,"&gt;="&amp;$A700-6,$A$8:$A$1007,"&lt;="&amp;$A700))</f>
        <v>0</v>
      </c>
      <c r="I700" s="48" t="n">
        <f aca="false">IF($A700="",0,SUMIFS($G$8:$G$1007,$C$8:$C$1007,$C700,$A$8:$A$1007,"&gt;="&amp;$A700-27,$A$8:$A$1007,"&lt;="&amp;$A700)/4)</f>
        <v>0</v>
      </c>
      <c r="J700" s="67" t="n">
        <f aca="false">IF(OR($A700="",$I700=0),0,$H700/$I700)</f>
        <v>0</v>
      </c>
      <c r="K700" s="33" t="n">
        <f aca="false">IF($A700="",0,$A700-SUMPRODUCT(MIN(($C$8:$C$1007=$C700)*$A$8:$A$1007+($C$8:$C$1007&lt;&gt;$C700)*100000))+1)</f>
        <v>0</v>
      </c>
      <c r="L700" s="19" t="str">
        <f aca="false">IF($A700="","",IF($J700=0,"Sem registro anterior",IF($K700&lt;21,"Histórico insuficiente",IF($J700&lt;0.8,"Subcarga",IF($J700&lt;=1.3,"Zona ideal",IF($J700&lt;=1.5,"Atenção","Risco elevado"))))))</f>
        <v/>
      </c>
      <c r="M700" s="20"/>
    </row>
    <row r="701" customFormat="false" ht="15" hidden="false" customHeight="false" outlineLevel="0" collapsed="false">
      <c r="A701" s="21"/>
      <c r="B701" s="33" t="n">
        <f aca="false">IF($A701="",0,INT(($A701-Macrociclo!$C$11)/7)+1)</f>
        <v>0</v>
      </c>
      <c r="C701" s="20"/>
      <c r="D701" s="20"/>
      <c r="E701" s="22"/>
      <c r="F701" s="22"/>
      <c r="G701" s="48" t="n">
        <f aca="false">IF(OR($E701="",$F701=""),0,$E701*$F701)</f>
        <v>0</v>
      </c>
      <c r="H701" s="48" t="n">
        <f aca="false">IF($A701="",0,SUMIFS($G$8:$G$1007,$C$8:$C$1007,$C701,$A$8:$A$1007,"&gt;="&amp;$A701-6,$A$8:$A$1007,"&lt;="&amp;$A701))</f>
        <v>0</v>
      </c>
      <c r="I701" s="48" t="n">
        <f aca="false">IF($A701="",0,SUMIFS($G$8:$G$1007,$C$8:$C$1007,$C701,$A$8:$A$1007,"&gt;="&amp;$A701-27,$A$8:$A$1007,"&lt;="&amp;$A701)/4)</f>
        <v>0</v>
      </c>
      <c r="J701" s="67" t="n">
        <f aca="false">IF(OR($A701="",$I701=0),0,$H701/$I701)</f>
        <v>0</v>
      </c>
      <c r="K701" s="33" t="n">
        <f aca="false">IF($A701="",0,$A701-SUMPRODUCT(MIN(($C$8:$C$1007=$C701)*$A$8:$A$1007+($C$8:$C$1007&lt;&gt;$C701)*100000))+1)</f>
        <v>0</v>
      </c>
      <c r="L701" s="19" t="str">
        <f aca="false">IF($A701="","",IF($J701=0,"Sem registro anterior",IF($K701&lt;21,"Histórico insuficiente",IF($J701&lt;0.8,"Subcarga",IF($J701&lt;=1.3,"Zona ideal",IF($J701&lt;=1.5,"Atenção","Risco elevado"))))))</f>
        <v/>
      </c>
      <c r="M701" s="20"/>
    </row>
    <row r="702" customFormat="false" ht="15" hidden="false" customHeight="false" outlineLevel="0" collapsed="false">
      <c r="A702" s="21"/>
      <c r="B702" s="33" t="n">
        <f aca="false">IF($A702="",0,INT(($A702-Macrociclo!$C$11)/7)+1)</f>
        <v>0</v>
      </c>
      <c r="C702" s="20"/>
      <c r="D702" s="20"/>
      <c r="E702" s="22"/>
      <c r="F702" s="22"/>
      <c r="G702" s="48" t="n">
        <f aca="false">IF(OR($E702="",$F702=""),0,$E702*$F702)</f>
        <v>0</v>
      </c>
      <c r="H702" s="48" t="n">
        <f aca="false">IF($A702="",0,SUMIFS($G$8:$G$1007,$C$8:$C$1007,$C702,$A$8:$A$1007,"&gt;="&amp;$A702-6,$A$8:$A$1007,"&lt;="&amp;$A702))</f>
        <v>0</v>
      </c>
      <c r="I702" s="48" t="n">
        <f aca="false">IF($A702="",0,SUMIFS($G$8:$G$1007,$C$8:$C$1007,$C702,$A$8:$A$1007,"&gt;="&amp;$A702-27,$A$8:$A$1007,"&lt;="&amp;$A702)/4)</f>
        <v>0</v>
      </c>
      <c r="J702" s="67" t="n">
        <f aca="false">IF(OR($A702="",$I702=0),0,$H702/$I702)</f>
        <v>0</v>
      </c>
      <c r="K702" s="33" t="n">
        <f aca="false">IF($A702="",0,$A702-SUMPRODUCT(MIN(($C$8:$C$1007=$C702)*$A$8:$A$1007+($C$8:$C$1007&lt;&gt;$C702)*100000))+1)</f>
        <v>0</v>
      </c>
      <c r="L702" s="19" t="str">
        <f aca="false">IF($A702="","",IF($J702=0,"Sem registro anterior",IF($K702&lt;21,"Histórico insuficiente",IF($J702&lt;0.8,"Subcarga",IF($J702&lt;=1.3,"Zona ideal",IF($J702&lt;=1.5,"Atenção","Risco elevado"))))))</f>
        <v/>
      </c>
      <c r="M702" s="20"/>
    </row>
    <row r="703" customFormat="false" ht="15" hidden="false" customHeight="false" outlineLevel="0" collapsed="false">
      <c r="A703" s="21"/>
      <c r="B703" s="33" t="n">
        <f aca="false">IF($A703="",0,INT(($A703-Macrociclo!$C$11)/7)+1)</f>
        <v>0</v>
      </c>
      <c r="C703" s="20"/>
      <c r="D703" s="20"/>
      <c r="E703" s="22"/>
      <c r="F703" s="22"/>
      <c r="G703" s="48" t="n">
        <f aca="false">IF(OR($E703="",$F703=""),0,$E703*$F703)</f>
        <v>0</v>
      </c>
      <c r="H703" s="48" t="n">
        <f aca="false">IF($A703="",0,SUMIFS($G$8:$G$1007,$C$8:$C$1007,$C703,$A$8:$A$1007,"&gt;="&amp;$A703-6,$A$8:$A$1007,"&lt;="&amp;$A703))</f>
        <v>0</v>
      </c>
      <c r="I703" s="48" t="n">
        <f aca="false">IF($A703="",0,SUMIFS($G$8:$G$1007,$C$8:$C$1007,$C703,$A$8:$A$1007,"&gt;="&amp;$A703-27,$A$8:$A$1007,"&lt;="&amp;$A703)/4)</f>
        <v>0</v>
      </c>
      <c r="J703" s="67" t="n">
        <f aca="false">IF(OR($A703="",$I703=0),0,$H703/$I703)</f>
        <v>0</v>
      </c>
      <c r="K703" s="33" t="n">
        <f aca="false">IF($A703="",0,$A703-SUMPRODUCT(MIN(($C$8:$C$1007=$C703)*$A$8:$A$1007+($C$8:$C$1007&lt;&gt;$C703)*100000))+1)</f>
        <v>0</v>
      </c>
      <c r="L703" s="19" t="str">
        <f aca="false">IF($A703="","",IF($J703=0,"Sem registro anterior",IF($K703&lt;21,"Histórico insuficiente",IF($J703&lt;0.8,"Subcarga",IF($J703&lt;=1.3,"Zona ideal",IF($J703&lt;=1.5,"Atenção","Risco elevado"))))))</f>
        <v/>
      </c>
      <c r="M703" s="20"/>
    </row>
    <row r="704" customFormat="false" ht="15" hidden="false" customHeight="false" outlineLevel="0" collapsed="false">
      <c r="A704" s="21"/>
      <c r="B704" s="33" t="n">
        <f aca="false">IF($A704="",0,INT(($A704-Macrociclo!$C$11)/7)+1)</f>
        <v>0</v>
      </c>
      <c r="C704" s="20"/>
      <c r="D704" s="20"/>
      <c r="E704" s="22"/>
      <c r="F704" s="22"/>
      <c r="G704" s="48" t="n">
        <f aca="false">IF(OR($E704="",$F704=""),0,$E704*$F704)</f>
        <v>0</v>
      </c>
      <c r="H704" s="48" t="n">
        <f aca="false">IF($A704="",0,SUMIFS($G$8:$G$1007,$C$8:$C$1007,$C704,$A$8:$A$1007,"&gt;="&amp;$A704-6,$A$8:$A$1007,"&lt;="&amp;$A704))</f>
        <v>0</v>
      </c>
      <c r="I704" s="48" t="n">
        <f aca="false">IF($A704="",0,SUMIFS($G$8:$G$1007,$C$8:$C$1007,$C704,$A$8:$A$1007,"&gt;="&amp;$A704-27,$A$8:$A$1007,"&lt;="&amp;$A704)/4)</f>
        <v>0</v>
      </c>
      <c r="J704" s="67" t="n">
        <f aca="false">IF(OR($A704="",$I704=0),0,$H704/$I704)</f>
        <v>0</v>
      </c>
      <c r="K704" s="33" t="n">
        <f aca="false">IF($A704="",0,$A704-SUMPRODUCT(MIN(($C$8:$C$1007=$C704)*$A$8:$A$1007+($C$8:$C$1007&lt;&gt;$C704)*100000))+1)</f>
        <v>0</v>
      </c>
      <c r="L704" s="19" t="str">
        <f aca="false">IF($A704="","",IF($J704=0,"Sem registro anterior",IF($K704&lt;21,"Histórico insuficiente",IF($J704&lt;0.8,"Subcarga",IF($J704&lt;=1.3,"Zona ideal",IF($J704&lt;=1.5,"Atenção","Risco elevado"))))))</f>
        <v/>
      </c>
      <c r="M704" s="20"/>
    </row>
    <row r="705" customFormat="false" ht="15" hidden="false" customHeight="false" outlineLevel="0" collapsed="false">
      <c r="A705" s="21"/>
      <c r="B705" s="33" t="n">
        <f aca="false">IF($A705="",0,INT(($A705-Macrociclo!$C$11)/7)+1)</f>
        <v>0</v>
      </c>
      <c r="C705" s="20"/>
      <c r="D705" s="20"/>
      <c r="E705" s="22"/>
      <c r="F705" s="22"/>
      <c r="G705" s="48" t="n">
        <f aca="false">IF(OR($E705="",$F705=""),0,$E705*$F705)</f>
        <v>0</v>
      </c>
      <c r="H705" s="48" t="n">
        <f aca="false">IF($A705="",0,SUMIFS($G$8:$G$1007,$C$8:$C$1007,$C705,$A$8:$A$1007,"&gt;="&amp;$A705-6,$A$8:$A$1007,"&lt;="&amp;$A705))</f>
        <v>0</v>
      </c>
      <c r="I705" s="48" t="n">
        <f aca="false">IF($A705="",0,SUMIFS($G$8:$G$1007,$C$8:$C$1007,$C705,$A$8:$A$1007,"&gt;="&amp;$A705-27,$A$8:$A$1007,"&lt;="&amp;$A705)/4)</f>
        <v>0</v>
      </c>
      <c r="J705" s="67" t="n">
        <f aca="false">IF(OR($A705="",$I705=0),0,$H705/$I705)</f>
        <v>0</v>
      </c>
      <c r="K705" s="33" t="n">
        <f aca="false">IF($A705="",0,$A705-SUMPRODUCT(MIN(($C$8:$C$1007=$C705)*$A$8:$A$1007+($C$8:$C$1007&lt;&gt;$C705)*100000))+1)</f>
        <v>0</v>
      </c>
      <c r="L705" s="19" t="str">
        <f aca="false">IF($A705="","",IF($J705=0,"Sem registro anterior",IF($K705&lt;21,"Histórico insuficiente",IF($J705&lt;0.8,"Subcarga",IF($J705&lt;=1.3,"Zona ideal",IF($J705&lt;=1.5,"Atenção","Risco elevado"))))))</f>
        <v/>
      </c>
      <c r="M705" s="20"/>
    </row>
    <row r="706" customFormat="false" ht="15" hidden="false" customHeight="false" outlineLevel="0" collapsed="false">
      <c r="A706" s="21"/>
      <c r="B706" s="33" t="n">
        <f aca="false">IF($A706="",0,INT(($A706-Macrociclo!$C$11)/7)+1)</f>
        <v>0</v>
      </c>
      <c r="C706" s="20"/>
      <c r="D706" s="20"/>
      <c r="E706" s="22"/>
      <c r="F706" s="22"/>
      <c r="G706" s="48" t="n">
        <f aca="false">IF(OR($E706="",$F706=""),0,$E706*$F706)</f>
        <v>0</v>
      </c>
      <c r="H706" s="48" t="n">
        <f aca="false">IF($A706="",0,SUMIFS($G$8:$G$1007,$C$8:$C$1007,$C706,$A$8:$A$1007,"&gt;="&amp;$A706-6,$A$8:$A$1007,"&lt;="&amp;$A706))</f>
        <v>0</v>
      </c>
      <c r="I706" s="48" t="n">
        <f aca="false">IF($A706="",0,SUMIFS($G$8:$G$1007,$C$8:$C$1007,$C706,$A$8:$A$1007,"&gt;="&amp;$A706-27,$A$8:$A$1007,"&lt;="&amp;$A706)/4)</f>
        <v>0</v>
      </c>
      <c r="J706" s="67" t="n">
        <f aca="false">IF(OR($A706="",$I706=0),0,$H706/$I706)</f>
        <v>0</v>
      </c>
      <c r="K706" s="33" t="n">
        <f aca="false">IF($A706="",0,$A706-SUMPRODUCT(MIN(($C$8:$C$1007=$C706)*$A$8:$A$1007+($C$8:$C$1007&lt;&gt;$C706)*100000))+1)</f>
        <v>0</v>
      </c>
      <c r="L706" s="19" t="str">
        <f aca="false">IF($A706="","",IF($J706=0,"Sem registro anterior",IF($K706&lt;21,"Histórico insuficiente",IF($J706&lt;0.8,"Subcarga",IF($J706&lt;=1.3,"Zona ideal",IF($J706&lt;=1.5,"Atenção","Risco elevado"))))))</f>
        <v/>
      </c>
      <c r="M706" s="20"/>
    </row>
    <row r="707" customFormat="false" ht="15" hidden="false" customHeight="false" outlineLevel="0" collapsed="false">
      <c r="A707" s="21"/>
      <c r="B707" s="33" t="n">
        <f aca="false">IF($A707="",0,INT(($A707-Macrociclo!$C$11)/7)+1)</f>
        <v>0</v>
      </c>
      <c r="C707" s="20"/>
      <c r="D707" s="20"/>
      <c r="E707" s="22"/>
      <c r="F707" s="22"/>
      <c r="G707" s="48" t="n">
        <f aca="false">IF(OR($E707="",$F707=""),0,$E707*$F707)</f>
        <v>0</v>
      </c>
      <c r="H707" s="48" t="n">
        <f aca="false">IF($A707="",0,SUMIFS($G$8:$G$1007,$C$8:$C$1007,$C707,$A$8:$A$1007,"&gt;="&amp;$A707-6,$A$8:$A$1007,"&lt;="&amp;$A707))</f>
        <v>0</v>
      </c>
      <c r="I707" s="48" t="n">
        <f aca="false">IF($A707="",0,SUMIFS($G$8:$G$1007,$C$8:$C$1007,$C707,$A$8:$A$1007,"&gt;="&amp;$A707-27,$A$8:$A$1007,"&lt;="&amp;$A707)/4)</f>
        <v>0</v>
      </c>
      <c r="J707" s="67" t="n">
        <f aca="false">IF(OR($A707="",$I707=0),0,$H707/$I707)</f>
        <v>0</v>
      </c>
      <c r="K707" s="33" t="n">
        <f aca="false">IF($A707="",0,$A707-SUMPRODUCT(MIN(($C$8:$C$1007=$C707)*$A$8:$A$1007+($C$8:$C$1007&lt;&gt;$C707)*100000))+1)</f>
        <v>0</v>
      </c>
      <c r="L707" s="19" t="str">
        <f aca="false">IF($A707="","",IF($J707=0,"Sem registro anterior",IF($K707&lt;21,"Histórico insuficiente",IF($J707&lt;0.8,"Subcarga",IF($J707&lt;=1.3,"Zona ideal",IF($J707&lt;=1.5,"Atenção","Risco elevado"))))))</f>
        <v/>
      </c>
      <c r="M707" s="20"/>
    </row>
    <row r="708" customFormat="false" ht="15" hidden="false" customHeight="false" outlineLevel="0" collapsed="false">
      <c r="A708" s="21"/>
      <c r="B708" s="33" t="n">
        <f aca="false">IF($A708="",0,INT(($A708-Macrociclo!$C$11)/7)+1)</f>
        <v>0</v>
      </c>
      <c r="C708" s="20"/>
      <c r="D708" s="20"/>
      <c r="E708" s="22"/>
      <c r="F708" s="22"/>
      <c r="G708" s="48" t="n">
        <f aca="false">IF(OR($E708="",$F708=""),0,$E708*$F708)</f>
        <v>0</v>
      </c>
      <c r="H708" s="48" t="n">
        <f aca="false">IF($A708="",0,SUMIFS($G$8:$G$1007,$C$8:$C$1007,$C708,$A$8:$A$1007,"&gt;="&amp;$A708-6,$A$8:$A$1007,"&lt;="&amp;$A708))</f>
        <v>0</v>
      </c>
      <c r="I708" s="48" t="n">
        <f aca="false">IF($A708="",0,SUMIFS($G$8:$G$1007,$C$8:$C$1007,$C708,$A$8:$A$1007,"&gt;="&amp;$A708-27,$A$8:$A$1007,"&lt;="&amp;$A708)/4)</f>
        <v>0</v>
      </c>
      <c r="J708" s="67" t="n">
        <f aca="false">IF(OR($A708="",$I708=0),0,$H708/$I708)</f>
        <v>0</v>
      </c>
      <c r="K708" s="33" t="n">
        <f aca="false">IF($A708="",0,$A708-SUMPRODUCT(MIN(($C$8:$C$1007=$C708)*$A$8:$A$1007+($C$8:$C$1007&lt;&gt;$C708)*100000))+1)</f>
        <v>0</v>
      </c>
      <c r="L708" s="19" t="str">
        <f aca="false">IF($A708="","",IF($J708=0,"Sem registro anterior",IF($K708&lt;21,"Histórico insuficiente",IF($J708&lt;0.8,"Subcarga",IF($J708&lt;=1.3,"Zona ideal",IF($J708&lt;=1.5,"Atenção","Risco elevado"))))))</f>
        <v/>
      </c>
      <c r="M708" s="20"/>
    </row>
    <row r="709" customFormat="false" ht="15" hidden="false" customHeight="false" outlineLevel="0" collapsed="false">
      <c r="A709" s="21"/>
      <c r="B709" s="33" t="n">
        <f aca="false">IF($A709="",0,INT(($A709-Macrociclo!$C$11)/7)+1)</f>
        <v>0</v>
      </c>
      <c r="C709" s="20"/>
      <c r="D709" s="20"/>
      <c r="E709" s="22"/>
      <c r="F709" s="22"/>
      <c r="G709" s="48" t="n">
        <f aca="false">IF(OR($E709="",$F709=""),0,$E709*$F709)</f>
        <v>0</v>
      </c>
      <c r="H709" s="48" t="n">
        <f aca="false">IF($A709="",0,SUMIFS($G$8:$G$1007,$C$8:$C$1007,$C709,$A$8:$A$1007,"&gt;="&amp;$A709-6,$A$8:$A$1007,"&lt;="&amp;$A709))</f>
        <v>0</v>
      </c>
      <c r="I709" s="48" t="n">
        <f aca="false">IF($A709="",0,SUMIFS($G$8:$G$1007,$C$8:$C$1007,$C709,$A$8:$A$1007,"&gt;="&amp;$A709-27,$A$8:$A$1007,"&lt;="&amp;$A709)/4)</f>
        <v>0</v>
      </c>
      <c r="J709" s="67" t="n">
        <f aca="false">IF(OR($A709="",$I709=0),0,$H709/$I709)</f>
        <v>0</v>
      </c>
      <c r="K709" s="33" t="n">
        <f aca="false">IF($A709="",0,$A709-SUMPRODUCT(MIN(($C$8:$C$1007=$C709)*$A$8:$A$1007+($C$8:$C$1007&lt;&gt;$C709)*100000))+1)</f>
        <v>0</v>
      </c>
      <c r="L709" s="19" t="str">
        <f aca="false">IF($A709="","",IF($J709=0,"Sem registro anterior",IF($K709&lt;21,"Histórico insuficiente",IF($J709&lt;0.8,"Subcarga",IF($J709&lt;=1.3,"Zona ideal",IF($J709&lt;=1.5,"Atenção","Risco elevado"))))))</f>
        <v/>
      </c>
      <c r="M709" s="20"/>
    </row>
    <row r="710" customFormat="false" ht="15" hidden="false" customHeight="false" outlineLevel="0" collapsed="false">
      <c r="A710" s="21"/>
      <c r="B710" s="33" t="n">
        <f aca="false">IF($A710="",0,INT(($A710-Macrociclo!$C$11)/7)+1)</f>
        <v>0</v>
      </c>
      <c r="C710" s="20"/>
      <c r="D710" s="20"/>
      <c r="E710" s="22"/>
      <c r="F710" s="22"/>
      <c r="G710" s="48" t="n">
        <f aca="false">IF(OR($E710="",$F710=""),0,$E710*$F710)</f>
        <v>0</v>
      </c>
      <c r="H710" s="48" t="n">
        <f aca="false">IF($A710="",0,SUMIFS($G$8:$G$1007,$C$8:$C$1007,$C710,$A$8:$A$1007,"&gt;="&amp;$A710-6,$A$8:$A$1007,"&lt;="&amp;$A710))</f>
        <v>0</v>
      </c>
      <c r="I710" s="48" t="n">
        <f aca="false">IF($A710="",0,SUMIFS($G$8:$G$1007,$C$8:$C$1007,$C710,$A$8:$A$1007,"&gt;="&amp;$A710-27,$A$8:$A$1007,"&lt;="&amp;$A710)/4)</f>
        <v>0</v>
      </c>
      <c r="J710" s="67" t="n">
        <f aca="false">IF(OR($A710="",$I710=0),0,$H710/$I710)</f>
        <v>0</v>
      </c>
      <c r="K710" s="33" t="n">
        <f aca="false">IF($A710="",0,$A710-SUMPRODUCT(MIN(($C$8:$C$1007=$C710)*$A$8:$A$1007+($C$8:$C$1007&lt;&gt;$C710)*100000))+1)</f>
        <v>0</v>
      </c>
      <c r="L710" s="19" t="str">
        <f aca="false">IF($A710="","",IF($J710=0,"Sem registro anterior",IF($K710&lt;21,"Histórico insuficiente",IF($J710&lt;0.8,"Subcarga",IF($J710&lt;=1.3,"Zona ideal",IF($J710&lt;=1.5,"Atenção","Risco elevado"))))))</f>
        <v/>
      </c>
      <c r="M710" s="20"/>
    </row>
    <row r="711" customFormat="false" ht="15" hidden="false" customHeight="false" outlineLevel="0" collapsed="false">
      <c r="A711" s="21"/>
      <c r="B711" s="33" t="n">
        <f aca="false">IF($A711="",0,INT(($A711-Macrociclo!$C$11)/7)+1)</f>
        <v>0</v>
      </c>
      <c r="C711" s="20"/>
      <c r="D711" s="20"/>
      <c r="E711" s="22"/>
      <c r="F711" s="22"/>
      <c r="G711" s="48" t="n">
        <f aca="false">IF(OR($E711="",$F711=""),0,$E711*$F711)</f>
        <v>0</v>
      </c>
      <c r="H711" s="48" t="n">
        <f aca="false">IF($A711="",0,SUMIFS($G$8:$G$1007,$C$8:$C$1007,$C711,$A$8:$A$1007,"&gt;="&amp;$A711-6,$A$8:$A$1007,"&lt;="&amp;$A711))</f>
        <v>0</v>
      </c>
      <c r="I711" s="48" t="n">
        <f aca="false">IF($A711="",0,SUMIFS($G$8:$G$1007,$C$8:$C$1007,$C711,$A$8:$A$1007,"&gt;="&amp;$A711-27,$A$8:$A$1007,"&lt;="&amp;$A711)/4)</f>
        <v>0</v>
      </c>
      <c r="J711" s="67" t="n">
        <f aca="false">IF(OR($A711="",$I711=0),0,$H711/$I711)</f>
        <v>0</v>
      </c>
      <c r="K711" s="33" t="n">
        <f aca="false">IF($A711="",0,$A711-SUMPRODUCT(MIN(($C$8:$C$1007=$C711)*$A$8:$A$1007+($C$8:$C$1007&lt;&gt;$C711)*100000))+1)</f>
        <v>0</v>
      </c>
      <c r="L711" s="19" t="str">
        <f aca="false">IF($A711="","",IF($J711=0,"Sem registro anterior",IF($K711&lt;21,"Histórico insuficiente",IF($J711&lt;0.8,"Subcarga",IF($J711&lt;=1.3,"Zona ideal",IF($J711&lt;=1.5,"Atenção","Risco elevado"))))))</f>
        <v/>
      </c>
      <c r="M711" s="20"/>
    </row>
    <row r="712" customFormat="false" ht="15" hidden="false" customHeight="false" outlineLevel="0" collapsed="false">
      <c r="A712" s="21"/>
      <c r="B712" s="33" t="n">
        <f aca="false">IF($A712="",0,INT(($A712-Macrociclo!$C$11)/7)+1)</f>
        <v>0</v>
      </c>
      <c r="C712" s="20"/>
      <c r="D712" s="20"/>
      <c r="E712" s="22"/>
      <c r="F712" s="22"/>
      <c r="G712" s="48" t="n">
        <f aca="false">IF(OR($E712="",$F712=""),0,$E712*$F712)</f>
        <v>0</v>
      </c>
      <c r="H712" s="48" t="n">
        <f aca="false">IF($A712="",0,SUMIFS($G$8:$G$1007,$C$8:$C$1007,$C712,$A$8:$A$1007,"&gt;="&amp;$A712-6,$A$8:$A$1007,"&lt;="&amp;$A712))</f>
        <v>0</v>
      </c>
      <c r="I712" s="48" t="n">
        <f aca="false">IF($A712="",0,SUMIFS($G$8:$G$1007,$C$8:$C$1007,$C712,$A$8:$A$1007,"&gt;="&amp;$A712-27,$A$8:$A$1007,"&lt;="&amp;$A712)/4)</f>
        <v>0</v>
      </c>
      <c r="J712" s="67" t="n">
        <f aca="false">IF(OR($A712="",$I712=0),0,$H712/$I712)</f>
        <v>0</v>
      </c>
      <c r="K712" s="33" t="n">
        <f aca="false">IF($A712="",0,$A712-SUMPRODUCT(MIN(($C$8:$C$1007=$C712)*$A$8:$A$1007+($C$8:$C$1007&lt;&gt;$C712)*100000))+1)</f>
        <v>0</v>
      </c>
      <c r="L712" s="19" t="str">
        <f aca="false">IF($A712="","",IF($J712=0,"Sem registro anterior",IF($K712&lt;21,"Histórico insuficiente",IF($J712&lt;0.8,"Subcarga",IF($J712&lt;=1.3,"Zona ideal",IF($J712&lt;=1.5,"Atenção","Risco elevado"))))))</f>
        <v/>
      </c>
      <c r="M712" s="20"/>
    </row>
    <row r="713" customFormat="false" ht="15" hidden="false" customHeight="false" outlineLevel="0" collapsed="false">
      <c r="A713" s="21"/>
      <c r="B713" s="33" t="n">
        <f aca="false">IF($A713="",0,INT(($A713-Macrociclo!$C$11)/7)+1)</f>
        <v>0</v>
      </c>
      <c r="C713" s="20"/>
      <c r="D713" s="20"/>
      <c r="E713" s="22"/>
      <c r="F713" s="22"/>
      <c r="G713" s="48" t="n">
        <f aca="false">IF(OR($E713="",$F713=""),0,$E713*$F713)</f>
        <v>0</v>
      </c>
      <c r="H713" s="48" t="n">
        <f aca="false">IF($A713="",0,SUMIFS($G$8:$G$1007,$C$8:$C$1007,$C713,$A$8:$A$1007,"&gt;="&amp;$A713-6,$A$8:$A$1007,"&lt;="&amp;$A713))</f>
        <v>0</v>
      </c>
      <c r="I713" s="48" t="n">
        <f aca="false">IF($A713="",0,SUMIFS($G$8:$G$1007,$C$8:$C$1007,$C713,$A$8:$A$1007,"&gt;="&amp;$A713-27,$A$8:$A$1007,"&lt;="&amp;$A713)/4)</f>
        <v>0</v>
      </c>
      <c r="J713" s="67" t="n">
        <f aca="false">IF(OR($A713="",$I713=0),0,$H713/$I713)</f>
        <v>0</v>
      </c>
      <c r="K713" s="33" t="n">
        <f aca="false">IF($A713="",0,$A713-SUMPRODUCT(MIN(($C$8:$C$1007=$C713)*$A$8:$A$1007+($C$8:$C$1007&lt;&gt;$C713)*100000))+1)</f>
        <v>0</v>
      </c>
      <c r="L713" s="19" t="str">
        <f aca="false">IF($A713="","",IF($J713=0,"Sem registro anterior",IF($K713&lt;21,"Histórico insuficiente",IF($J713&lt;0.8,"Subcarga",IF($J713&lt;=1.3,"Zona ideal",IF($J713&lt;=1.5,"Atenção","Risco elevado"))))))</f>
        <v/>
      </c>
      <c r="M713" s="20"/>
    </row>
    <row r="714" customFormat="false" ht="15" hidden="false" customHeight="false" outlineLevel="0" collapsed="false">
      <c r="A714" s="21"/>
      <c r="B714" s="33" t="n">
        <f aca="false">IF($A714="",0,INT(($A714-Macrociclo!$C$11)/7)+1)</f>
        <v>0</v>
      </c>
      <c r="C714" s="20"/>
      <c r="D714" s="20"/>
      <c r="E714" s="22"/>
      <c r="F714" s="22"/>
      <c r="G714" s="48" t="n">
        <f aca="false">IF(OR($E714="",$F714=""),0,$E714*$F714)</f>
        <v>0</v>
      </c>
      <c r="H714" s="48" t="n">
        <f aca="false">IF($A714="",0,SUMIFS($G$8:$G$1007,$C$8:$C$1007,$C714,$A$8:$A$1007,"&gt;="&amp;$A714-6,$A$8:$A$1007,"&lt;="&amp;$A714))</f>
        <v>0</v>
      </c>
      <c r="I714" s="48" t="n">
        <f aca="false">IF($A714="",0,SUMIFS($G$8:$G$1007,$C$8:$C$1007,$C714,$A$8:$A$1007,"&gt;="&amp;$A714-27,$A$8:$A$1007,"&lt;="&amp;$A714)/4)</f>
        <v>0</v>
      </c>
      <c r="J714" s="67" t="n">
        <f aca="false">IF(OR($A714="",$I714=0),0,$H714/$I714)</f>
        <v>0</v>
      </c>
      <c r="K714" s="33" t="n">
        <f aca="false">IF($A714="",0,$A714-SUMPRODUCT(MIN(($C$8:$C$1007=$C714)*$A$8:$A$1007+($C$8:$C$1007&lt;&gt;$C714)*100000))+1)</f>
        <v>0</v>
      </c>
      <c r="L714" s="19" t="str">
        <f aca="false">IF($A714="","",IF($J714=0,"Sem registro anterior",IF($K714&lt;21,"Histórico insuficiente",IF($J714&lt;0.8,"Subcarga",IF($J714&lt;=1.3,"Zona ideal",IF($J714&lt;=1.5,"Atenção","Risco elevado"))))))</f>
        <v/>
      </c>
      <c r="M714" s="20"/>
    </row>
    <row r="715" customFormat="false" ht="15" hidden="false" customHeight="false" outlineLevel="0" collapsed="false">
      <c r="A715" s="21"/>
      <c r="B715" s="33" t="n">
        <f aca="false">IF($A715="",0,INT(($A715-Macrociclo!$C$11)/7)+1)</f>
        <v>0</v>
      </c>
      <c r="C715" s="20"/>
      <c r="D715" s="20"/>
      <c r="E715" s="22"/>
      <c r="F715" s="22"/>
      <c r="G715" s="48" t="n">
        <f aca="false">IF(OR($E715="",$F715=""),0,$E715*$F715)</f>
        <v>0</v>
      </c>
      <c r="H715" s="48" t="n">
        <f aca="false">IF($A715="",0,SUMIFS($G$8:$G$1007,$C$8:$C$1007,$C715,$A$8:$A$1007,"&gt;="&amp;$A715-6,$A$8:$A$1007,"&lt;="&amp;$A715))</f>
        <v>0</v>
      </c>
      <c r="I715" s="48" t="n">
        <f aca="false">IF($A715="",0,SUMIFS($G$8:$G$1007,$C$8:$C$1007,$C715,$A$8:$A$1007,"&gt;="&amp;$A715-27,$A$8:$A$1007,"&lt;="&amp;$A715)/4)</f>
        <v>0</v>
      </c>
      <c r="J715" s="67" t="n">
        <f aca="false">IF(OR($A715="",$I715=0),0,$H715/$I715)</f>
        <v>0</v>
      </c>
      <c r="K715" s="33" t="n">
        <f aca="false">IF($A715="",0,$A715-SUMPRODUCT(MIN(($C$8:$C$1007=$C715)*$A$8:$A$1007+($C$8:$C$1007&lt;&gt;$C715)*100000))+1)</f>
        <v>0</v>
      </c>
      <c r="L715" s="19" t="str">
        <f aca="false">IF($A715="","",IF($J715=0,"Sem registro anterior",IF($K715&lt;21,"Histórico insuficiente",IF($J715&lt;0.8,"Subcarga",IF($J715&lt;=1.3,"Zona ideal",IF($J715&lt;=1.5,"Atenção","Risco elevado"))))))</f>
        <v/>
      </c>
      <c r="M715" s="20"/>
    </row>
    <row r="716" customFormat="false" ht="15" hidden="false" customHeight="false" outlineLevel="0" collapsed="false">
      <c r="A716" s="21"/>
      <c r="B716" s="33" t="n">
        <f aca="false">IF($A716="",0,INT(($A716-Macrociclo!$C$11)/7)+1)</f>
        <v>0</v>
      </c>
      <c r="C716" s="20"/>
      <c r="D716" s="20"/>
      <c r="E716" s="22"/>
      <c r="F716" s="22"/>
      <c r="G716" s="48" t="n">
        <f aca="false">IF(OR($E716="",$F716=""),0,$E716*$F716)</f>
        <v>0</v>
      </c>
      <c r="H716" s="48" t="n">
        <f aca="false">IF($A716="",0,SUMIFS($G$8:$G$1007,$C$8:$C$1007,$C716,$A$8:$A$1007,"&gt;="&amp;$A716-6,$A$8:$A$1007,"&lt;="&amp;$A716))</f>
        <v>0</v>
      </c>
      <c r="I716" s="48" t="n">
        <f aca="false">IF($A716="",0,SUMIFS($G$8:$G$1007,$C$8:$C$1007,$C716,$A$8:$A$1007,"&gt;="&amp;$A716-27,$A$8:$A$1007,"&lt;="&amp;$A716)/4)</f>
        <v>0</v>
      </c>
      <c r="J716" s="67" t="n">
        <f aca="false">IF(OR($A716="",$I716=0),0,$H716/$I716)</f>
        <v>0</v>
      </c>
      <c r="K716" s="33" t="n">
        <f aca="false">IF($A716="",0,$A716-SUMPRODUCT(MIN(($C$8:$C$1007=$C716)*$A$8:$A$1007+($C$8:$C$1007&lt;&gt;$C716)*100000))+1)</f>
        <v>0</v>
      </c>
      <c r="L716" s="19" t="str">
        <f aca="false">IF($A716="","",IF($J716=0,"Sem registro anterior",IF($K716&lt;21,"Histórico insuficiente",IF($J716&lt;0.8,"Subcarga",IF($J716&lt;=1.3,"Zona ideal",IF($J716&lt;=1.5,"Atenção","Risco elevado"))))))</f>
        <v/>
      </c>
      <c r="M716" s="20"/>
    </row>
    <row r="717" customFormat="false" ht="15" hidden="false" customHeight="false" outlineLevel="0" collapsed="false">
      <c r="A717" s="21"/>
      <c r="B717" s="33" t="n">
        <f aca="false">IF($A717="",0,INT(($A717-Macrociclo!$C$11)/7)+1)</f>
        <v>0</v>
      </c>
      <c r="C717" s="20"/>
      <c r="D717" s="20"/>
      <c r="E717" s="22"/>
      <c r="F717" s="22"/>
      <c r="G717" s="48" t="n">
        <f aca="false">IF(OR($E717="",$F717=""),0,$E717*$F717)</f>
        <v>0</v>
      </c>
      <c r="H717" s="48" t="n">
        <f aca="false">IF($A717="",0,SUMIFS($G$8:$G$1007,$C$8:$C$1007,$C717,$A$8:$A$1007,"&gt;="&amp;$A717-6,$A$8:$A$1007,"&lt;="&amp;$A717))</f>
        <v>0</v>
      </c>
      <c r="I717" s="48" t="n">
        <f aca="false">IF($A717="",0,SUMIFS($G$8:$G$1007,$C$8:$C$1007,$C717,$A$8:$A$1007,"&gt;="&amp;$A717-27,$A$8:$A$1007,"&lt;="&amp;$A717)/4)</f>
        <v>0</v>
      </c>
      <c r="J717" s="67" t="n">
        <f aca="false">IF(OR($A717="",$I717=0),0,$H717/$I717)</f>
        <v>0</v>
      </c>
      <c r="K717" s="33" t="n">
        <f aca="false">IF($A717="",0,$A717-SUMPRODUCT(MIN(($C$8:$C$1007=$C717)*$A$8:$A$1007+($C$8:$C$1007&lt;&gt;$C717)*100000))+1)</f>
        <v>0</v>
      </c>
      <c r="L717" s="19" t="str">
        <f aca="false">IF($A717="","",IF($J717=0,"Sem registro anterior",IF($K717&lt;21,"Histórico insuficiente",IF($J717&lt;0.8,"Subcarga",IF($J717&lt;=1.3,"Zona ideal",IF($J717&lt;=1.5,"Atenção","Risco elevado"))))))</f>
        <v/>
      </c>
      <c r="M717" s="20"/>
    </row>
    <row r="718" customFormat="false" ht="15" hidden="false" customHeight="false" outlineLevel="0" collapsed="false">
      <c r="A718" s="21"/>
      <c r="B718" s="33" t="n">
        <f aca="false">IF($A718="",0,INT(($A718-Macrociclo!$C$11)/7)+1)</f>
        <v>0</v>
      </c>
      <c r="C718" s="20"/>
      <c r="D718" s="20"/>
      <c r="E718" s="22"/>
      <c r="F718" s="22"/>
      <c r="G718" s="48" t="n">
        <f aca="false">IF(OR($E718="",$F718=""),0,$E718*$F718)</f>
        <v>0</v>
      </c>
      <c r="H718" s="48" t="n">
        <f aca="false">IF($A718="",0,SUMIFS($G$8:$G$1007,$C$8:$C$1007,$C718,$A$8:$A$1007,"&gt;="&amp;$A718-6,$A$8:$A$1007,"&lt;="&amp;$A718))</f>
        <v>0</v>
      </c>
      <c r="I718" s="48" t="n">
        <f aca="false">IF($A718="",0,SUMIFS($G$8:$G$1007,$C$8:$C$1007,$C718,$A$8:$A$1007,"&gt;="&amp;$A718-27,$A$8:$A$1007,"&lt;="&amp;$A718)/4)</f>
        <v>0</v>
      </c>
      <c r="J718" s="67" t="n">
        <f aca="false">IF(OR($A718="",$I718=0),0,$H718/$I718)</f>
        <v>0</v>
      </c>
      <c r="K718" s="33" t="n">
        <f aca="false">IF($A718="",0,$A718-SUMPRODUCT(MIN(($C$8:$C$1007=$C718)*$A$8:$A$1007+($C$8:$C$1007&lt;&gt;$C718)*100000))+1)</f>
        <v>0</v>
      </c>
      <c r="L718" s="19" t="str">
        <f aca="false">IF($A718="","",IF($J718=0,"Sem registro anterior",IF($K718&lt;21,"Histórico insuficiente",IF($J718&lt;0.8,"Subcarga",IF($J718&lt;=1.3,"Zona ideal",IF($J718&lt;=1.5,"Atenção","Risco elevado"))))))</f>
        <v/>
      </c>
      <c r="M718" s="20"/>
    </row>
    <row r="719" customFormat="false" ht="15" hidden="false" customHeight="false" outlineLevel="0" collapsed="false">
      <c r="A719" s="21"/>
      <c r="B719" s="33" t="n">
        <f aca="false">IF($A719="",0,INT(($A719-Macrociclo!$C$11)/7)+1)</f>
        <v>0</v>
      </c>
      <c r="C719" s="20"/>
      <c r="D719" s="20"/>
      <c r="E719" s="22"/>
      <c r="F719" s="22"/>
      <c r="G719" s="48" t="n">
        <f aca="false">IF(OR($E719="",$F719=""),0,$E719*$F719)</f>
        <v>0</v>
      </c>
      <c r="H719" s="48" t="n">
        <f aca="false">IF($A719="",0,SUMIFS($G$8:$G$1007,$C$8:$C$1007,$C719,$A$8:$A$1007,"&gt;="&amp;$A719-6,$A$8:$A$1007,"&lt;="&amp;$A719))</f>
        <v>0</v>
      </c>
      <c r="I719" s="48" t="n">
        <f aca="false">IF($A719="",0,SUMIFS($G$8:$G$1007,$C$8:$C$1007,$C719,$A$8:$A$1007,"&gt;="&amp;$A719-27,$A$8:$A$1007,"&lt;="&amp;$A719)/4)</f>
        <v>0</v>
      </c>
      <c r="J719" s="67" t="n">
        <f aca="false">IF(OR($A719="",$I719=0),0,$H719/$I719)</f>
        <v>0</v>
      </c>
      <c r="K719" s="33" t="n">
        <f aca="false">IF($A719="",0,$A719-SUMPRODUCT(MIN(($C$8:$C$1007=$C719)*$A$8:$A$1007+($C$8:$C$1007&lt;&gt;$C719)*100000))+1)</f>
        <v>0</v>
      </c>
      <c r="L719" s="19" t="str">
        <f aca="false">IF($A719="","",IF($J719=0,"Sem registro anterior",IF($K719&lt;21,"Histórico insuficiente",IF($J719&lt;0.8,"Subcarga",IF($J719&lt;=1.3,"Zona ideal",IF($J719&lt;=1.5,"Atenção","Risco elevado"))))))</f>
        <v/>
      </c>
      <c r="M719" s="20"/>
    </row>
    <row r="720" customFormat="false" ht="15" hidden="false" customHeight="false" outlineLevel="0" collapsed="false">
      <c r="A720" s="21"/>
      <c r="B720" s="33" t="n">
        <f aca="false">IF($A720="",0,INT(($A720-Macrociclo!$C$11)/7)+1)</f>
        <v>0</v>
      </c>
      <c r="C720" s="20"/>
      <c r="D720" s="20"/>
      <c r="E720" s="22"/>
      <c r="F720" s="22"/>
      <c r="G720" s="48" t="n">
        <f aca="false">IF(OR($E720="",$F720=""),0,$E720*$F720)</f>
        <v>0</v>
      </c>
      <c r="H720" s="48" t="n">
        <f aca="false">IF($A720="",0,SUMIFS($G$8:$G$1007,$C$8:$C$1007,$C720,$A$8:$A$1007,"&gt;="&amp;$A720-6,$A$8:$A$1007,"&lt;="&amp;$A720))</f>
        <v>0</v>
      </c>
      <c r="I720" s="48" t="n">
        <f aca="false">IF($A720="",0,SUMIFS($G$8:$G$1007,$C$8:$C$1007,$C720,$A$8:$A$1007,"&gt;="&amp;$A720-27,$A$8:$A$1007,"&lt;="&amp;$A720)/4)</f>
        <v>0</v>
      </c>
      <c r="J720" s="67" t="n">
        <f aca="false">IF(OR($A720="",$I720=0),0,$H720/$I720)</f>
        <v>0</v>
      </c>
      <c r="K720" s="33" t="n">
        <f aca="false">IF($A720="",0,$A720-SUMPRODUCT(MIN(($C$8:$C$1007=$C720)*$A$8:$A$1007+($C$8:$C$1007&lt;&gt;$C720)*100000))+1)</f>
        <v>0</v>
      </c>
      <c r="L720" s="19" t="str">
        <f aca="false">IF($A720="","",IF($J720=0,"Sem registro anterior",IF($K720&lt;21,"Histórico insuficiente",IF($J720&lt;0.8,"Subcarga",IF($J720&lt;=1.3,"Zona ideal",IF($J720&lt;=1.5,"Atenção","Risco elevado"))))))</f>
        <v/>
      </c>
      <c r="M720" s="20"/>
    </row>
    <row r="721" customFormat="false" ht="15" hidden="false" customHeight="false" outlineLevel="0" collapsed="false">
      <c r="A721" s="21"/>
      <c r="B721" s="33" t="n">
        <f aca="false">IF($A721="",0,INT(($A721-Macrociclo!$C$11)/7)+1)</f>
        <v>0</v>
      </c>
      <c r="C721" s="20"/>
      <c r="D721" s="20"/>
      <c r="E721" s="22"/>
      <c r="F721" s="22"/>
      <c r="G721" s="48" t="n">
        <f aca="false">IF(OR($E721="",$F721=""),0,$E721*$F721)</f>
        <v>0</v>
      </c>
      <c r="H721" s="48" t="n">
        <f aca="false">IF($A721="",0,SUMIFS($G$8:$G$1007,$C$8:$C$1007,$C721,$A$8:$A$1007,"&gt;="&amp;$A721-6,$A$8:$A$1007,"&lt;="&amp;$A721))</f>
        <v>0</v>
      </c>
      <c r="I721" s="48" t="n">
        <f aca="false">IF($A721="",0,SUMIFS($G$8:$G$1007,$C$8:$C$1007,$C721,$A$8:$A$1007,"&gt;="&amp;$A721-27,$A$8:$A$1007,"&lt;="&amp;$A721)/4)</f>
        <v>0</v>
      </c>
      <c r="J721" s="67" t="n">
        <f aca="false">IF(OR($A721="",$I721=0),0,$H721/$I721)</f>
        <v>0</v>
      </c>
      <c r="K721" s="33" t="n">
        <f aca="false">IF($A721="",0,$A721-SUMPRODUCT(MIN(($C$8:$C$1007=$C721)*$A$8:$A$1007+($C$8:$C$1007&lt;&gt;$C721)*100000))+1)</f>
        <v>0</v>
      </c>
      <c r="L721" s="19" t="str">
        <f aca="false">IF($A721="","",IF($J721=0,"Sem registro anterior",IF($K721&lt;21,"Histórico insuficiente",IF($J721&lt;0.8,"Subcarga",IF($J721&lt;=1.3,"Zona ideal",IF($J721&lt;=1.5,"Atenção","Risco elevado"))))))</f>
        <v/>
      </c>
      <c r="M721" s="20"/>
    </row>
    <row r="722" customFormat="false" ht="15" hidden="false" customHeight="false" outlineLevel="0" collapsed="false">
      <c r="A722" s="21"/>
      <c r="B722" s="33" t="n">
        <f aca="false">IF($A722="",0,INT(($A722-Macrociclo!$C$11)/7)+1)</f>
        <v>0</v>
      </c>
      <c r="C722" s="20"/>
      <c r="D722" s="20"/>
      <c r="E722" s="22"/>
      <c r="F722" s="22"/>
      <c r="G722" s="48" t="n">
        <f aca="false">IF(OR($E722="",$F722=""),0,$E722*$F722)</f>
        <v>0</v>
      </c>
      <c r="H722" s="48" t="n">
        <f aca="false">IF($A722="",0,SUMIFS($G$8:$G$1007,$C$8:$C$1007,$C722,$A$8:$A$1007,"&gt;="&amp;$A722-6,$A$8:$A$1007,"&lt;="&amp;$A722))</f>
        <v>0</v>
      </c>
      <c r="I722" s="48" t="n">
        <f aca="false">IF($A722="",0,SUMIFS($G$8:$G$1007,$C$8:$C$1007,$C722,$A$8:$A$1007,"&gt;="&amp;$A722-27,$A$8:$A$1007,"&lt;="&amp;$A722)/4)</f>
        <v>0</v>
      </c>
      <c r="J722" s="67" t="n">
        <f aca="false">IF(OR($A722="",$I722=0),0,$H722/$I722)</f>
        <v>0</v>
      </c>
      <c r="K722" s="33" t="n">
        <f aca="false">IF($A722="",0,$A722-SUMPRODUCT(MIN(($C$8:$C$1007=$C722)*$A$8:$A$1007+($C$8:$C$1007&lt;&gt;$C722)*100000))+1)</f>
        <v>0</v>
      </c>
      <c r="L722" s="19" t="str">
        <f aca="false">IF($A722="","",IF($J722=0,"Sem registro anterior",IF($K722&lt;21,"Histórico insuficiente",IF($J722&lt;0.8,"Subcarga",IF($J722&lt;=1.3,"Zona ideal",IF($J722&lt;=1.5,"Atenção","Risco elevado"))))))</f>
        <v/>
      </c>
      <c r="M722" s="20"/>
    </row>
    <row r="723" customFormat="false" ht="15" hidden="false" customHeight="false" outlineLevel="0" collapsed="false">
      <c r="A723" s="21"/>
      <c r="B723" s="33" t="n">
        <f aca="false">IF($A723="",0,INT(($A723-Macrociclo!$C$11)/7)+1)</f>
        <v>0</v>
      </c>
      <c r="C723" s="20"/>
      <c r="D723" s="20"/>
      <c r="E723" s="22"/>
      <c r="F723" s="22"/>
      <c r="G723" s="48" t="n">
        <f aca="false">IF(OR($E723="",$F723=""),0,$E723*$F723)</f>
        <v>0</v>
      </c>
      <c r="H723" s="48" t="n">
        <f aca="false">IF($A723="",0,SUMIFS($G$8:$G$1007,$C$8:$C$1007,$C723,$A$8:$A$1007,"&gt;="&amp;$A723-6,$A$8:$A$1007,"&lt;="&amp;$A723))</f>
        <v>0</v>
      </c>
      <c r="I723" s="48" t="n">
        <f aca="false">IF($A723="",0,SUMIFS($G$8:$G$1007,$C$8:$C$1007,$C723,$A$8:$A$1007,"&gt;="&amp;$A723-27,$A$8:$A$1007,"&lt;="&amp;$A723)/4)</f>
        <v>0</v>
      </c>
      <c r="J723" s="67" t="n">
        <f aca="false">IF(OR($A723="",$I723=0),0,$H723/$I723)</f>
        <v>0</v>
      </c>
      <c r="K723" s="33" t="n">
        <f aca="false">IF($A723="",0,$A723-SUMPRODUCT(MIN(($C$8:$C$1007=$C723)*$A$8:$A$1007+($C$8:$C$1007&lt;&gt;$C723)*100000))+1)</f>
        <v>0</v>
      </c>
      <c r="L723" s="19" t="str">
        <f aca="false">IF($A723="","",IF($J723=0,"Sem registro anterior",IF($K723&lt;21,"Histórico insuficiente",IF($J723&lt;0.8,"Subcarga",IF($J723&lt;=1.3,"Zona ideal",IF($J723&lt;=1.5,"Atenção","Risco elevado"))))))</f>
        <v/>
      </c>
      <c r="M723" s="20"/>
    </row>
    <row r="724" customFormat="false" ht="15" hidden="false" customHeight="false" outlineLevel="0" collapsed="false">
      <c r="A724" s="21"/>
      <c r="B724" s="33" t="n">
        <f aca="false">IF($A724="",0,INT(($A724-Macrociclo!$C$11)/7)+1)</f>
        <v>0</v>
      </c>
      <c r="C724" s="20"/>
      <c r="D724" s="20"/>
      <c r="E724" s="22"/>
      <c r="F724" s="22"/>
      <c r="G724" s="48" t="n">
        <f aca="false">IF(OR($E724="",$F724=""),0,$E724*$F724)</f>
        <v>0</v>
      </c>
      <c r="H724" s="48" t="n">
        <f aca="false">IF($A724="",0,SUMIFS($G$8:$G$1007,$C$8:$C$1007,$C724,$A$8:$A$1007,"&gt;="&amp;$A724-6,$A$8:$A$1007,"&lt;="&amp;$A724))</f>
        <v>0</v>
      </c>
      <c r="I724" s="48" t="n">
        <f aca="false">IF($A724="",0,SUMIFS($G$8:$G$1007,$C$8:$C$1007,$C724,$A$8:$A$1007,"&gt;="&amp;$A724-27,$A$8:$A$1007,"&lt;="&amp;$A724)/4)</f>
        <v>0</v>
      </c>
      <c r="J724" s="67" t="n">
        <f aca="false">IF(OR($A724="",$I724=0),0,$H724/$I724)</f>
        <v>0</v>
      </c>
      <c r="K724" s="33" t="n">
        <f aca="false">IF($A724="",0,$A724-SUMPRODUCT(MIN(($C$8:$C$1007=$C724)*$A$8:$A$1007+($C$8:$C$1007&lt;&gt;$C724)*100000))+1)</f>
        <v>0</v>
      </c>
      <c r="L724" s="19" t="str">
        <f aca="false">IF($A724="","",IF($J724=0,"Sem registro anterior",IF($K724&lt;21,"Histórico insuficiente",IF($J724&lt;0.8,"Subcarga",IF($J724&lt;=1.3,"Zona ideal",IF($J724&lt;=1.5,"Atenção","Risco elevado"))))))</f>
        <v/>
      </c>
      <c r="M724" s="20"/>
    </row>
    <row r="725" customFormat="false" ht="15" hidden="false" customHeight="false" outlineLevel="0" collapsed="false">
      <c r="A725" s="21"/>
      <c r="B725" s="33" t="n">
        <f aca="false">IF($A725="",0,INT(($A725-Macrociclo!$C$11)/7)+1)</f>
        <v>0</v>
      </c>
      <c r="C725" s="20"/>
      <c r="D725" s="20"/>
      <c r="E725" s="22"/>
      <c r="F725" s="22"/>
      <c r="G725" s="48" t="n">
        <f aca="false">IF(OR($E725="",$F725=""),0,$E725*$F725)</f>
        <v>0</v>
      </c>
      <c r="H725" s="48" t="n">
        <f aca="false">IF($A725="",0,SUMIFS($G$8:$G$1007,$C$8:$C$1007,$C725,$A$8:$A$1007,"&gt;="&amp;$A725-6,$A$8:$A$1007,"&lt;="&amp;$A725))</f>
        <v>0</v>
      </c>
      <c r="I725" s="48" t="n">
        <f aca="false">IF($A725="",0,SUMIFS($G$8:$G$1007,$C$8:$C$1007,$C725,$A$8:$A$1007,"&gt;="&amp;$A725-27,$A$8:$A$1007,"&lt;="&amp;$A725)/4)</f>
        <v>0</v>
      </c>
      <c r="J725" s="67" t="n">
        <f aca="false">IF(OR($A725="",$I725=0),0,$H725/$I725)</f>
        <v>0</v>
      </c>
      <c r="K725" s="33" t="n">
        <f aca="false">IF($A725="",0,$A725-SUMPRODUCT(MIN(($C$8:$C$1007=$C725)*$A$8:$A$1007+($C$8:$C$1007&lt;&gt;$C725)*100000))+1)</f>
        <v>0</v>
      </c>
      <c r="L725" s="19" t="str">
        <f aca="false">IF($A725="","",IF($J725=0,"Sem registro anterior",IF($K725&lt;21,"Histórico insuficiente",IF($J725&lt;0.8,"Subcarga",IF($J725&lt;=1.3,"Zona ideal",IF($J725&lt;=1.5,"Atenção","Risco elevado"))))))</f>
        <v/>
      </c>
      <c r="M725" s="20"/>
    </row>
    <row r="726" customFormat="false" ht="15" hidden="false" customHeight="false" outlineLevel="0" collapsed="false">
      <c r="A726" s="21"/>
      <c r="B726" s="33" t="n">
        <f aca="false">IF($A726="",0,INT(($A726-Macrociclo!$C$11)/7)+1)</f>
        <v>0</v>
      </c>
      <c r="C726" s="20"/>
      <c r="D726" s="20"/>
      <c r="E726" s="22"/>
      <c r="F726" s="22"/>
      <c r="G726" s="48" t="n">
        <f aca="false">IF(OR($E726="",$F726=""),0,$E726*$F726)</f>
        <v>0</v>
      </c>
      <c r="H726" s="48" t="n">
        <f aca="false">IF($A726="",0,SUMIFS($G$8:$G$1007,$C$8:$C$1007,$C726,$A$8:$A$1007,"&gt;="&amp;$A726-6,$A$8:$A$1007,"&lt;="&amp;$A726))</f>
        <v>0</v>
      </c>
      <c r="I726" s="48" t="n">
        <f aca="false">IF($A726="",0,SUMIFS($G$8:$G$1007,$C$8:$C$1007,$C726,$A$8:$A$1007,"&gt;="&amp;$A726-27,$A$8:$A$1007,"&lt;="&amp;$A726)/4)</f>
        <v>0</v>
      </c>
      <c r="J726" s="67" t="n">
        <f aca="false">IF(OR($A726="",$I726=0),0,$H726/$I726)</f>
        <v>0</v>
      </c>
      <c r="K726" s="33" t="n">
        <f aca="false">IF($A726="",0,$A726-SUMPRODUCT(MIN(($C$8:$C$1007=$C726)*$A$8:$A$1007+($C$8:$C$1007&lt;&gt;$C726)*100000))+1)</f>
        <v>0</v>
      </c>
      <c r="L726" s="19" t="str">
        <f aca="false">IF($A726="","",IF($J726=0,"Sem registro anterior",IF($K726&lt;21,"Histórico insuficiente",IF($J726&lt;0.8,"Subcarga",IF($J726&lt;=1.3,"Zona ideal",IF($J726&lt;=1.5,"Atenção","Risco elevado"))))))</f>
        <v/>
      </c>
      <c r="M726" s="20"/>
    </row>
    <row r="727" customFormat="false" ht="15" hidden="false" customHeight="false" outlineLevel="0" collapsed="false">
      <c r="A727" s="21"/>
      <c r="B727" s="33" t="n">
        <f aca="false">IF($A727="",0,INT(($A727-Macrociclo!$C$11)/7)+1)</f>
        <v>0</v>
      </c>
      <c r="C727" s="20"/>
      <c r="D727" s="20"/>
      <c r="E727" s="22"/>
      <c r="F727" s="22"/>
      <c r="G727" s="48" t="n">
        <f aca="false">IF(OR($E727="",$F727=""),0,$E727*$F727)</f>
        <v>0</v>
      </c>
      <c r="H727" s="48" t="n">
        <f aca="false">IF($A727="",0,SUMIFS($G$8:$G$1007,$C$8:$C$1007,$C727,$A$8:$A$1007,"&gt;="&amp;$A727-6,$A$8:$A$1007,"&lt;="&amp;$A727))</f>
        <v>0</v>
      </c>
      <c r="I727" s="48" t="n">
        <f aca="false">IF($A727="",0,SUMIFS($G$8:$G$1007,$C$8:$C$1007,$C727,$A$8:$A$1007,"&gt;="&amp;$A727-27,$A$8:$A$1007,"&lt;="&amp;$A727)/4)</f>
        <v>0</v>
      </c>
      <c r="J727" s="67" t="n">
        <f aca="false">IF(OR($A727="",$I727=0),0,$H727/$I727)</f>
        <v>0</v>
      </c>
      <c r="K727" s="33" t="n">
        <f aca="false">IF($A727="",0,$A727-SUMPRODUCT(MIN(($C$8:$C$1007=$C727)*$A$8:$A$1007+($C$8:$C$1007&lt;&gt;$C727)*100000))+1)</f>
        <v>0</v>
      </c>
      <c r="L727" s="19" t="str">
        <f aca="false">IF($A727="","",IF($J727=0,"Sem registro anterior",IF($K727&lt;21,"Histórico insuficiente",IF($J727&lt;0.8,"Subcarga",IF($J727&lt;=1.3,"Zona ideal",IF($J727&lt;=1.5,"Atenção","Risco elevado"))))))</f>
        <v/>
      </c>
      <c r="M727" s="20"/>
    </row>
    <row r="728" customFormat="false" ht="15" hidden="false" customHeight="false" outlineLevel="0" collapsed="false">
      <c r="A728" s="21"/>
      <c r="B728" s="33" t="n">
        <f aca="false">IF($A728="",0,INT(($A728-Macrociclo!$C$11)/7)+1)</f>
        <v>0</v>
      </c>
      <c r="C728" s="20"/>
      <c r="D728" s="20"/>
      <c r="E728" s="22"/>
      <c r="F728" s="22"/>
      <c r="G728" s="48" t="n">
        <f aca="false">IF(OR($E728="",$F728=""),0,$E728*$F728)</f>
        <v>0</v>
      </c>
      <c r="H728" s="48" t="n">
        <f aca="false">IF($A728="",0,SUMIFS($G$8:$G$1007,$C$8:$C$1007,$C728,$A$8:$A$1007,"&gt;="&amp;$A728-6,$A$8:$A$1007,"&lt;="&amp;$A728))</f>
        <v>0</v>
      </c>
      <c r="I728" s="48" t="n">
        <f aca="false">IF($A728="",0,SUMIFS($G$8:$G$1007,$C$8:$C$1007,$C728,$A$8:$A$1007,"&gt;="&amp;$A728-27,$A$8:$A$1007,"&lt;="&amp;$A728)/4)</f>
        <v>0</v>
      </c>
      <c r="J728" s="67" t="n">
        <f aca="false">IF(OR($A728="",$I728=0),0,$H728/$I728)</f>
        <v>0</v>
      </c>
      <c r="K728" s="33" t="n">
        <f aca="false">IF($A728="",0,$A728-SUMPRODUCT(MIN(($C$8:$C$1007=$C728)*$A$8:$A$1007+($C$8:$C$1007&lt;&gt;$C728)*100000))+1)</f>
        <v>0</v>
      </c>
      <c r="L728" s="19" t="str">
        <f aca="false">IF($A728="","",IF($J728=0,"Sem registro anterior",IF($K728&lt;21,"Histórico insuficiente",IF($J728&lt;0.8,"Subcarga",IF($J728&lt;=1.3,"Zona ideal",IF($J728&lt;=1.5,"Atenção","Risco elevado"))))))</f>
        <v/>
      </c>
      <c r="M728" s="20"/>
    </row>
    <row r="729" customFormat="false" ht="15" hidden="false" customHeight="false" outlineLevel="0" collapsed="false">
      <c r="A729" s="21"/>
      <c r="B729" s="33" t="n">
        <f aca="false">IF($A729="",0,INT(($A729-Macrociclo!$C$11)/7)+1)</f>
        <v>0</v>
      </c>
      <c r="C729" s="20"/>
      <c r="D729" s="20"/>
      <c r="E729" s="22"/>
      <c r="F729" s="22"/>
      <c r="G729" s="48" t="n">
        <f aca="false">IF(OR($E729="",$F729=""),0,$E729*$F729)</f>
        <v>0</v>
      </c>
      <c r="H729" s="48" t="n">
        <f aca="false">IF($A729="",0,SUMIFS($G$8:$G$1007,$C$8:$C$1007,$C729,$A$8:$A$1007,"&gt;="&amp;$A729-6,$A$8:$A$1007,"&lt;="&amp;$A729))</f>
        <v>0</v>
      </c>
      <c r="I729" s="48" t="n">
        <f aca="false">IF($A729="",0,SUMIFS($G$8:$G$1007,$C$8:$C$1007,$C729,$A$8:$A$1007,"&gt;="&amp;$A729-27,$A$8:$A$1007,"&lt;="&amp;$A729)/4)</f>
        <v>0</v>
      </c>
      <c r="J729" s="67" t="n">
        <f aca="false">IF(OR($A729="",$I729=0),0,$H729/$I729)</f>
        <v>0</v>
      </c>
      <c r="K729" s="33" t="n">
        <f aca="false">IF($A729="",0,$A729-SUMPRODUCT(MIN(($C$8:$C$1007=$C729)*$A$8:$A$1007+($C$8:$C$1007&lt;&gt;$C729)*100000))+1)</f>
        <v>0</v>
      </c>
      <c r="L729" s="19" t="str">
        <f aca="false">IF($A729="","",IF($J729=0,"Sem registro anterior",IF($K729&lt;21,"Histórico insuficiente",IF($J729&lt;0.8,"Subcarga",IF($J729&lt;=1.3,"Zona ideal",IF($J729&lt;=1.5,"Atenção","Risco elevado"))))))</f>
        <v/>
      </c>
      <c r="M729" s="20"/>
    </row>
    <row r="730" customFormat="false" ht="15" hidden="false" customHeight="false" outlineLevel="0" collapsed="false">
      <c r="A730" s="21"/>
      <c r="B730" s="33" t="n">
        <f aca="false">IF($A730="",0,INT(($A730-Macrociclo!$C$11)/7)+1)</f>
        <v>0</v>
      </c>
      <c r="C730" s="20"/>
      <c r="D730" s="20"/>
      <c r="E730" s="22"/>
      <c r="F730" s="22"/>
      <c r="G730" s="48" t="n">
        <f aca="false">IF(OR($E730="",$F730=""),0,$E730*$F730)</f>
        <v>0</v>
      </c>
      <c r="H730" s="48" t="n">
        <f aca="false">IF($A730="",0,SUMIFS($G$8:$G$1007,$C$8:$C$1007,$C730,$A$8:$A$1007,"&gt;="&amp;$A730-6,$A$8:$A$1007,"&lt;="&amp;$A730))</f>
        <v>0</v>
      </c>
      <c r="I730" s="48" t="n">
        <f aca="false">IF($A730="",0,SUMIFS($G$8:$G$1007,$C$8:$C$1007,$C730,$A$8:$A$1007,"&gt;="&amp;$A730-27,$A$8:$A$1007,"&lt;="&amp;$A730)/4)</f>
        <v>0</v>
      </c>
      <c r="J730" s="67" t="n">
        <f aca="false">IF(OR($A730="",$I730=0),0,$H730/$I730)</f>
        <v>0</v>
      </c>
      <c r="K730" s="33" t="n">
        <f aca="false">IF($A730="",0,$A730-SUMPRODUCT(MIN(($C$8:$C$1007=$C730)*$A$8:$A$1007+($C$8:$C$1007&lt;&gt;$C730)*100000))+1)</f>
        <v>0</v>
      </c>
      <c r="L730" s="19" t="str">
        <f aca="false">IF($A730="","",IF($J730=0,"Sem registro anterior",IF($K730&lt;21,"Histórico insuficiente",IF($J730&lt;0.8,"Subcarga",IF($J730&lt;=1.3,"Zona ideal",IF($J730&lt;=1.5,"Atenção","Risco elevado"))))))</f>
        <v/>
      </c>
      <c r="M730" s="20"/>
    </row>
    <row r="731" customFormat="false" ht="15" hidden="false" customHeight="false" outlineLevel="0" collapsed="false">
      <c r="A731" s="21"/>
      <c r="B731" s="33" t="n">
        <f aca="false">IF($A731="",0,INT(($A731-Macrociclo!$C$11)/7)+1)</f>
        <v>0</v>
      </c>
      <c r="C731" s="20"/>
      <c r="D731" s="20"/>
      <c r="E731" s="22"/>
      <c r="F731" s="22"/>
      <c r="G731" s="48" t="n">
        <f aca="false">IF(OR($E731="",$F731=""),0,$E731*$F731)</f>
        <v>0</v>
      </c>
      <c r="H731" s="48" t="n">
        <f aca="false">IF($A731="",0,SUMIFS($G$8:$G$1007,$C$8:$C$1007,$C731,$A$8:$A$1007,"&gt;="&amp;$A731-6,$A$8:$A$1007,"&lt;="&amp;$A731))</f>
        <v>0</v>
      </c>
      <c r="I731" s="48" t="n">
        <f aca="false">IF($A731="",0,SUMIFS($G$8:$G$1007,$C$8:$C$1007,$C731,$A$8:$A$1007,"&gt;="&amp;$A731-27,$A$8:$A$1007,"&lt;="&amp;$A731)/4)</f>
        <v>0</v>
      </c>
      <c r="J731" s="67" t="n">
        <f aca="false">IF(OR($A731="",$I731=0),0,$H731/$I731)</f>
        <v>0</v>
      </c>
      <c r="K731" s="33" t="n">
        <f aca="false">IF($A731="",0,$A731-SUMPRODUCT(MIN(($C$8:$C$1007=$C731)*$A$8:$A$1007+($C$8:$C$1007&lt;&gt;$C731)*100000))+1)</f>
        <v>0</v>
      </c>
      <c r="L731" s="19" t="str">
        <f aca="false">IF($A731="","",IF($J731=0,"Sem registro anterior",IF($K731&lt;21,"Histórico insuficiente",IF($J731&lt;0.8,"Subcarga",IF($J731&lt;=1.3,"Zona ideal",IF($J731&lt;=1.5,"Atenção","Risco elevado"))))))</f>
        <v/>
      </c>
      <c r="M731" s="20"/>
    </row>
    <row r="732" customFormat="false" ht="15" hidden="false" customHeight="false" outlineLevel="0" collapsed="false">
      <c r="A732" s="21"/>
      <c r="B732" s="33" t="n">
        <f aca="false">IF($A732="",0,INT(($A732-Macrociclo!$C$11)/7)+1)</f>
        <v>0</v>
      </c>
      <c r="C732" s="20"/>
      <c r="D732" s="20"/>
      <c r="E732" s="22"/>
      <c r="F732" s="22"/>
      <c r="G732" s="48" t="n">
        <f aca="false">IF(OR($E732="",$F732=""),0,$E732*$F732)</f>
        <v>0</v>
      </c>
      <c r="H732" s="48" t="n">
        <f aca="false">IF($A732="",0,SUMIFS($G$8:$G$1007,$C$8:$C$1007,$C732,$A$8:$A$1007,"&gt;="&amp;$A732-6,$A$8:$A$1007,"&lt;="&amp;$A732))</f>
        <v>0</v>
      </c>
      <c r="I732" s="48" t="n">
        <f aca="false">IF($A732="",0,SUMIFS($G$8:$G$1007,$C$8:$C$1007,$C732,$A$8:$A$1007,"&gt;="&amp;$A732-27,$A$8:$A$1007,"&lt;="&amp;$A732)/4)</f>
        <v>0</v>
      </c>
      <c r="J732" s="67" t="n">
        <f aca="false">IF(OR($A732="",$I732=0),0,$H732/$I732)</f>
        <v>0</v>
      </c>
      <c r="K732" s="33" t="n">
        <f aca="false">IF($A732="",0,$A732-SUMPRODUCT(MIN(($C$8:$C$1007=$C732)*$A$8:$A$1007+($C$8:$C$1007&lt;&gt;$C732)*100000))+1)</f>
        <v>0</v>
      </c>
      <c r="L732" s="19" t="str">
        <f aca="false">IF($A732="","",IF($J732=0,"Sem registro anterior",IF($K732&lt;21,"Histórico insuficiente",IF($J732&lt;0.8,"Subcarga",IF($J732&lt;=1.3,"Zona ideal",IF($J732&lt;=1.5,"Atenção","Risco elevado"))))))</f>
        <v/>
      </c>
      <c r="M732" s="20"/>
    </row>
    <row r="733" customFormat="false" ht="15" hidden="false" customHeight="false" outlineLevel="0" collapsed="false">
      <c r="A733" s="21"/>
      <c r="B733" s="33" t="n">
        <f aca="false">IF($A733="",0,INT(($A733-Macrociclo!$C$11)/7)+1)</f>
        <v>0</v>
      </c>
      <c r="C733" s="20"/>
      <c r="D733" s="20"/>
      <c r="E733" s="22"/>
      <c r="F733" s="22"/>
      <c r="G733" s="48" t="n">
        <f aca="false">IF(OR($E733="",$F733=""),0,$E733*$F733)</f>
        <v>0</v>
      </c>
      <c r="H733" s="48" t="n">
        <f aca="false">IF($A733="",0,SUMIFS($G$8:$G$1007,$C$8:$C$1007,$C733,$A$8:$A$1007,"&gt;="&amp;$A733-6,$A$8:$A$1007,"&lt;="&amp;$A733))</f>
        <v>0</v>
      </c>
      <c r="I733" s="48" t="n">
        <f aca="false">IF($A733="",0,SUMIFS($G$8:$G$1007,$C$8:$C$1007,$C733,$A$8:$A$1007,"&gt;="&amp;$A733-27,$A$8:$A$1007,"&lt;="&amp;$A733)/4)</f>
        <v>0</v>
      </c>
      <c r="J733" s="67" t="n">
        <f aca="false">IF(OR($A733="",$I733=0),0,$H733/$I733)</f>
        <v>0</v>
      </c>
      <c r="K733" s="33" t="n">
        <f aca="false">IF($A733="",0,$A733-SUMPRODUCT(MIN(($C$8:$C$1007=$C733)*$A$8:$A$1007+($C$8:$C$1007&lt;&gt;$C733)*100000))+1)</f>
        <v>0</v>
      </c>
      <c r="L733" s="19" t="str">
        <f aca="false">IF($A733="","",IF($J733=0,"Sem registro anterior",IF($K733&lt;21,"Histórico insuficiente",IF($J733&lt;0.8,"Subcarga",IF($J733&lt;=1.3,"Zona ideal",IF($J733&lt;=1.5,"Atenção","Risco elevado"))))))</f>
        <v/>
      </c>
      <c r="M733" s="20"/>
    </row>
    <row r="734" customFormat="false" ht="15" hidden="false" customHeight="false" outlineLevel="0" collapsed="false">
      <c r="A734" s="21"/>
      <c r="B734" s="33" t="n">
        <f aca="false">IF($A734="",0,INT(($A734-Macrociclo!$C$11)/7)+1)</f>
        <v>0</v>
      </c>
      <c r="C734" s="20"/>
      <c r="D734" s="20"/>
      <c r="E734" s="22"/>
      <c r="F734" s="22"/>
      <c r="G734" s="48" t="n">
        <f aca="false">IF(OR($E734="",$F734=""),0,$E734*$F734)</f>
        <v>0</v>
      </c>
      <c r="H734" s="48" t="n">
        <f aca="false">IF($A734="",0,SUMIFS($G$8:$G$1007,$C$8:$C$1007,$C734,$A$8:$A$1007,"&gt;="&amp;$A734-6,$A$8:$A$1007,"&lt;="&amp;$A734))</f>
        <v>0</v>
      </c>
      <c r="I734" s="48" t="n">
        <f aca="false">IF($A734="",0,SUMIFS($G$8:$G$1007,$C$8:$C$1007,$C734,$A$8:$A$1007,"&gt;="&amp;$A734-27,$A$8:$A$1007,"&lt;="&amp;$A734)/4)</f>
        <v>0</v>
      </c>
      <c r="J734" s="67" t="n">
        <f aca="false">IF(OR($A734="",$I734=0),0,$H734/$I734)</f>
        <v>0</v>
      </c>
      <c r="K734" s="33" t="n">
        <f aca="false">IF($A734="",0,$A734-SUMPRODUCT(MIN(($C$8:$C$1007=$C734)*$A$8:$A$1007+($C$8:$C$1007&lt;&gt;$C734)*100000))+1)</f>
        <v>0</v>
      </c>
      <c r="L734" s="19" t="str">
        <f aca="false">IF($A734="","",IF($J734=0,"Sem registro anterior",IF($K734&lt;21,"Histórico insuficiente",IF($J734&lt;0.8,"Subcarga",IF($J734&lt;=1.3,"Zona ideal",IF($J734&lt;=1.5,"Atenção","Risco elevado"))))))</f>
        <v/>
      </c>
      <c r="M734" s="20"/>
    </row>
    <row r="735" customFormat="false" ht="15" hidden="false" customHeight="false" outlineLevel="0" collapsed="false">
      <c r="A735" s="21"/>
      <c r="B735" s="33" t="n">
        <f aca="false">IF($A735="",0,INT(($A735-Macrociclo!$C$11)/7)+1)</f>
        <v>0</v>
      </c>
      <c r="C735" s="20"/>
      <c r="D735" s="20"/>
      <c r="E735" s="22"/>
      <c r="F735" s="22"/>
      <c r="G735" s="48" t="n">
        <f aca="false">IF(OR($E735="",$F735=""),0,$E735*$F735)</f>
        <v>0</v>
      </c>
      <c r="H735" s="48" t="n">
        <f aca="false">IF($A735="",0,SUMIFS($G$8:$G$1007,$C$8:$C$1007,$C735,$A$8:$A$1007,"&gt;="&amp;$A735-6,$A$8:$A$1007,"&lt;="&amp;$A735))</f>
        <v>0</v>
      </c>
      <c r="I735" s="48" t="n">
        <f aca="false">IF($A735="",0,SUMIFS($G$8:$G$1007,$C$8:$C$1007,$C735,$A$8:$A$1007,"&gt;="&amp;$A735-27,$A$8:$A$1007,"&lt;="&amp;$A735)/4)</f>
        <v>0</v>
      </c>
      <c r="J735" s="67" t="n">
        <f aca="false">IF(OR($A735="",$I735=0),0,$H735/$I735)</f>
        <v>0</v>
      </c>
      <c r="K735" s="33" t="n">
        <f aca="false">IF($A735="",0,$A735-SUMPRODUCT(MIN(($C$8:$C$1007=$C735)*$A$8:$A$1007+($C$8:$C$1007&lt;&gt;$C735)*100000))+1)</f>
        <v>0</v>
      </c>
      <c r="L735" s="19" t="str">
        <f aca="false">IF($A735="","",IF($J735=0,"Sem registro anterior",IF($K735&lt;21,"Histórico insuficiente",IF($J735&lt;0.8,"Subcarga",IF($J735&lt;=1.3,"Zona ideal",IF($J735&lt;=1.5,"Atenção","Risco elevado"))))))</f>
        <v/>
      </c>
      <c r="M735" s="20"/>
    </row>
    <row r="736" customFormat="false" ht="15" hidden="false" customHeight="false" outlineLevel="0" collapsed="false">
      <c r="A736" s="21"/>
      <c r="B736" s="33" t="n">
        <f aca="false">IF($A736="",0,INT(($A736-Macrociclo!$C$11)/7)+1)</f>
        <v>0</v>
      </c>
      <c r="C736" s="20"/>
      <c r="D736" s="20"/>
      <c r="E736" s="22"/>
      <c r="F736" s="22"/>
      <c r="G736" s="48" t="n">
        <f aca="false">IF(OR($E736="",$F736=""),0,$E736*$F736)</f>
        <v>0</v>
      </c>
      <c r="H736" s="48" t="n">
        <f aca="false">IF($A736="",0,SUMIFS($G$8:$G$1007,$C$8:$C$1007,$C736,$A$8:$A$1007,"&gt;="&amp;$A736-6,$A$8:$A$1007,"&lt;="&amp;$A736))</f>
        <v>0</v>
      </c>
      <c r="I736" s="48" t="n">
        <f aca="false">IF($A736="",0,SUMIFS($G$8:$G$1007,$C$8:$C$1007,$C736,$A$8:$A$1007,"&gt;="&amp;$A736-27,$A$8:$A$1007,"&lt;="&amp;$A736)/4)</f>
        <v>0</v>
      </c>
      <c r="J736" s="67" t="n">
        <f aca="false">IF(OR($A736="",$I736=0),0,$H736/$I736)</f>
        <v>0</v>
      </c>
      <c r="K736" s="33" t="n">
        <f aca="false">IF($A736="",0,$A736-SUMPRODUCT(MIN(($C$8:$C$1007=$C736)*$A$8:$A$1007+($C$8:$C$1007&lt;&gt;$C736)*100000))+1)</f>
        <v>0</v>
      </c>
      <c r="L736" s="19" t="str">
        <f aca="false">IF($A736="","",IF($J736=0,"Sem registro anterior",IF($K736&lt;21,"Histórico insuficiente",IF($J736&lt;0.8,"Subcarga",IF($J736&lt;=1.3,"Zona ideal",IF($J736&lt;=1.5,"Atenção","Risco elevado"))))))</f>
        <v/>
      </c>
      <c r="M736" s="20"/>
    </row>
    <row r="737" customFormat="false" ht="15" hidden="false" customHeight="false" outlineLevel="0" collapsed="false">
      <c r="A737" s="21"/>
      <c r="B737" s="33" t="n">
        <f aca="false">IF($A737="",0,INT(($A737-Macrociclo!$C$11)/7)+1)</f>
        <v>0</v>
      </c>
      <c r="C737" s="20"/>
      <c r="D737" s="20"/>
      <c r="E737" s="22"/>
      <c r="F737" s="22"/>
      <c r="G737" s="48" t="n">
        <f aca="false">IF(OR($E737="",$F737=""),0,$E737*$F737)</f>
        <v>0</v>
      </c>
      <c r="H737" s="48" t="n">
        <f aca="false">IF($A737="",0,SUMIFS($G$8:$G$1007,$C$8:$C$1007,$C737,$A$8:$A$1007,"&gt;="&amp;$A737-6,$A$8:$A$1007,"&lt;="&amp;$A737))</f>
        <v>0</v>
      </c>
      <c r="I737" s="48" t="n">
        <f aca="false">IF($A737="",0,SUMIFS($G$8:$G$1007,$C$8:$C$1007,$C737,$A$8:$A$1007,"&gt;="&amp;$A737-27,$A$8:$A$1007,"&lt;="&amp;$A737)/4)</f>
        <v>0</v>
      </c>
      <c r="J737" s="67" t="n">
        <f aca="false">IF(OR($A737="",$I737=0),0,$H737/$I737)</f>
        <v>0</v>
      </c>
      <c r="K737" s="33" t="n">
        <f aca="false">IF($A737="",0,$A737-SUMPRODUCT(MIN(($C$8:$C$1007=$C737)*$A$8:$A$1007+($C$8:$C$1007&lt;&gt;$C737)*100000))+1)</f>
        <v>0</v>
      </c>
      <c r="L737" s="19" t="str">
        <f aca="false">IF($A737="","",IF($J737=0,"Sem registro anterior",IF($K737&lt;21,"Histórico insuficiente",IF($J737&lt;0.8,"Subcarga",IF($J737&lt;=1.3,"Zona ideal",IF($J737&lt;=1.5,"Atenção","Risco elevado"))))))</f>
        <v/>
      </c>
      <c r="M737" s="20"/>
    </row>
    <row r="738" customFormat="false" ht="15" hidden="false" customHeight="false" outlineLevel="0" collapsed="false">
      <c r="A738" s="21"/>
      <c r="B738" s="33" t="n">
        <f aca="false">IF($A738="",0,INT(($A738-Macrociclo!$C$11)/7)+1)</f>
        <v>0</v>
      </c>
      <c r="C738" s="20"/>
      <c r="D738" s="20"/>
      <c r="E738" s="22"/>
      <c r="F738" s="22"/>
      <c r="G738" s="48" t="n">
        <f aca="false">IF(OR($E738="",$F738=""),0,$E738*$F738)</f>
        <v>0</v>
      </c>
      <c r="H738" s="48" t="n">
        <f aca="false">IF($A738="",0,SUMIFS($G$8:$G$1007,$C$8:$C$1007,$C738,$A$8:$A$1007,"&gt;="&amp;$A738-6,$A$8:$A$1007,"&lt;="&amp;$A738))</f>
        <v>0</v>
      </c>
      <c r="I738" s="48" t="n">
        <f aca="false">IF($A738="",0,SUMIFS($G$8:$G$1007,$C$8:$C$1007,$C738,$A$8:$A$1007,"&gt;="&amp;$A738-27,$A$8:$A$1007,"&lt;="&amp;$A738)/4)</f>
        <v>0</v>
      </c>
      <c r="J738" s="67" t="n">
        <f aca="false">IF(OR($A738="",$I738=0),0,$H738/$I738)</f>
        <v>0</v>
      </c>
      <c r="K738" s="33" t="n">
        <f aca="false">IF($A738="",0,$A738-SUMPRODUCT(MIN(($C$8:$C$1007=$C738)*$A$8:$A$1007+($C$8:$C$1007&lt;&gt;$C738)*100000))+1)</f>
        <v>0</v>
      </c>
      <c r="L738" s="19" t="str">
        <f aca="false">IF($A738="","",IF($J738=0,"Sem registro anterior",IF($K738&lt;21,"Histórico insuficiente",IF($J738&lt;0.8,"Subcarga",IF($J738&lt;=1.3,"Zona ideal",IF($J738&lt;=1.5,"Atenção","Risco elevado"))))))</f>
        <v/>
      </c>
      <c r="M738" s="20"/>
    </row>
    <row r="739" customFormat="false" ht="15" hidden="false" customHeight="false" outlineLevel="0" collapsed="false">
      <c r="A739" s="21"/>
      <c r="B739" s="33" t="n">
        <f aca="false">IF($A739="",0,INT(($A739-Macrociclo!$C$11)/7)+1)</f>
        <v>0</v>
      </c>
      <c r="C739" s="20"/>
      <c r="D739" s="20"/>
      <c r="E739" s="22"/>
      <c r="F739" s="22"/>
      <c r="G739" s="48" t="n">
        <f aca="false">IF(OR($E739="",$F739=""),0,$E739*$F739)</f>
        <v>0</v>
      </c>
      <c r="H739" s="48" t="n">
        <f aca="false">IF($A739="",0,SUMIFS($G$8:$G$1007,$C$8:$C$1007,$C739,$A$8:$A$1007,"&gt;="&amp;$A739-6,$A$8:$A$1007,"&lt;="&amp;$A739))</f>
        <v>0</v>
      </c>
      <c r="I739" s="48" t="n">
        <f aca="false">IF($A739="",0,SUMIFS($G$8:$G$1007,$C$8:$C$1007,$C739,$A$8:$A$1007,"&gt;="&amp;$A739-27,$A$8:$A$1007,"&lt;="&amp;$A739)/4)</f>
        <v>0</v>
      </c>
      <c r="J739" s="67" t="n">
        <f aca="false">IF(OR($A739="",$I739=0),0,$H739/$I739)</f>
        <v>0</v>
      </c>
      <c r="K739" s="33" t="n">
        <f aca="false">IF($A739="",0,$A739-SUMPRODUCT(MIN(($C$8:$C$1007=$C739)*$A$8:$A$1007+($C$8:$C$1007&lt;&gt;$C739)*100000))+1)</f>
        <v>0</v>
      </c>
      <c r="L739" s="19" t="str">
        <f aca="false">IF($A739="","",IF($J739=0,"Sem registro anterior",IF($K739&lt;21,"Histórico insuficiente",IF($J739&lt;0.8,"Subcarga",IF($J739&lt;=1.3,"Zona ideal",IF($J739&lt;=1.5,"Atenção","Risco elevado"))))))</f>
        <v/>
      </c>
      <c r="M739" s="20"/>
    </row>
    <row r="740" customFormat="false" ht="15" hidden="false" customHeight="false" outlineLevel="0" collapsed="false">
      <c r="A740" s="21"/>
      <c r="B740" s="33" t="n">
        <f aca="false">IF($A740="",0,INT(($A740-Macrociclo!$C$11)/7)+1)</f>
        <v>0</v>
      </c>
      <c r="C740" s="20"/>
      <c r="D740" s="20"/>
      <c r="E740" s="22"/>
      <c r="F740" s="22"/>
      <c r="G740" s="48" t="n">
        <f aca="false">IF(OR($E740="",$F740=""),0,$E740*$F740)</f>
        <v>0</v>
      </c>
      <c r="H740" s="48" t="n">
        <f aca="false">IF($A740="",0,SUMIFS($G$8:$G$1007,$C$8:$C$1007,$C740,$A$8:$A$1007,"&gt;="&amp;$A740-6,$A$8:$A$1007,"&lt;="&amp;$A740))</f>
        <v>0</v>
      </c>
      <c r="I740" s="48" t="n">
        <f aca="false">IF($A740="",0,SUMIFS($G$8:$G$1007,$C$8:$C$1007,$C740,$A$8:$A$1007,"&gt;="&amp;$A740-27,$A$8:$A$1007,"&lt;="&amp;$A740)/4)</f>
        <v>0</v>
      </c>
      <c r="J740" s="67" t="n">
        <f aca="false">IF(OR($A740="",$I740=0),0,$H740/$I740)</f>
        <v>0</v>
      </c>
      <c r="K740" s="33" t="n">
        <f aca="false">IF($A740="",0,$A740-SUMPRODUCT(MIN(($C$8:$C$1007=$C740)*$A$8:$A$1007+($C$8:$C$1007&lt;&gt;$C740)*100000))+1)</f>
        <v>0</v>
      </c>
      <c r="L740" s="19" t="str">
        <f aca="false">IF($A740="","",IF($J740=0,"Sem registro anterior",IF($K740&lt;21,"Histórico insuficiente",IF($J740&lt;0.8,"Subcarga",IF($J740&lt;=1.3,"Zona ideal",IF($J740&lt;=1.5,"Atenção","Risco elevado"))))))</f>
        <v/>
      </c>
      <c r="M740" s="20"/>
    </row>
    <row r="741" customFormat="false" ht="15" hidden="false" customHeight="false" outlineLevel="0" collapsed="false">
      <c r="A741" s="21"/>
      <c r="B741" s="33" t="n">
        <f aca="false">IF($A741="",0,INT(($A741-Macrociclo!$C$11)/7)+1)</f>
        <v>0</v>
      </c>
      <c r="C741" s="20"/>
      <c r="D741" s="20"/>
      <c r="E741" s="22"/>
      <c r="F741" s="22"/>
      <c r="G741" s="48" t="n">
        <f aca="false">IF(OR($E741="",$F741=""),0,$E741*$F741)</f>
        <v>0</v>
      </c>
      <c r="H741" s="48" t="n">
        <f aca="false">IF($A741="",0,SUMIFS($G$8:$G$1007,$C$8:$C$1007,$C741,$A$8:$A$1007,"&gt;="&amp;$A741-6,$A$8:$A$1007,"&lt;="&amp;$A741))</f>
        <v>0</v>
      </c>
      <c r="I741" s="48" t="n">
        <f aca="false">IF($A741="",0,SUMIFS($G$8:$G$1007,$C$8:$C$1007,$C741,$A$8:$A$1007,"&gt;="&amp;$A741-27,$A$8:$A$1007,"&lt;="&amp;$A741)/4)</f>
        <v>0</v>
      </c>
      <c r="J741" s="67" t="n">
        <f aca="false">IF(OR($A741="",$I741=0),0,$H741/$I741)</f>
        <v>0</v>
      </c>
      <c r="K741" s="33" t="n">
        <f aca="false">IF($A741="",0,$A741-SUMPRODUCT(MIN(($C$8:$C$1007=$C741)*$A$8:$A$1007+($C$8:$C$1007&lt;&gt;$C741)*100000))+1)</f>
        <v>0</v>
      </c>
      <c r="L741" s="19" t="str">
        <f aca="false">IF($A741="","",IF($J741=0,"Sem registro anterior",IF($K741&lt;21,"Histórico insuficiente",IF($J741&lt;0.8,"Subcarga",IF($J741&lt;=1.3,"Zona ideal",IF($J741&lt;=1.5,"Atenção","Risco elevado"))))))</f>
        <v/>
      </c>
      <c r="M741" s="20"/>
    </row>
    <row r="742" customFormat="false" ht="15" hidden="false" customHeight="false" outlineLevel="0" collapsed="false">
      <c r="A742" s="21"/>
      <c r="B742" s="33" t="n">
        <f aca="false">IF($A742="",0,INT(($A742-Macrociclo!$C$11)/7)+1)</f>
        <v>0</v>
      </c>
      <c r="C742" s="20"/>
      <c r="D742" s="20"/>
      <c r="E742" s="22"/>
      <c r="F742" s="22"/>
      <c r="G742" s="48" t="n">
        <f aca="false">IF(OR($E742="",$F742=""),0,$E742*$F742)</f>
        <v>0</v>
      </c>
      <c r="H742" s="48" t="n">
        <f aca="false">IF($A742="",0,SUMIFS($G$8:$G$1007,$C$8:$C$1007,$C742,$A$8:$A$1007,"&gt;="&amp;$A742-6,$A$8:$A$1007,"&lt;="&amp;$A742))</f>
        <v>0</v>
      </c>
      <c r="I742" s="48" t="n">
        <f aca="false">IF($A742="",0,SUMIFS($G$8:$G$1007,$C$8:$C$1007,$C742,$A$8:$A$1007,"&gt;="&amp;$A742-27,$A$8:$A$1007,"&lt;="&amp;$A742)/4)</f>
        <v>0</v>
      </c>
      <c r="J742" s="67" t="n">
        <f aca="false">IF(OR($A742="",$I742=0),0,$H742/$I742)</f>
        <v>0</v>
      </c>
      <c r="K742" s="33" t="n">
        <f aca="false">IF($A742="",0,$A742-SUMPRODUCT(MIN(($C$8:$C$1007=$C742)*$A$8:$A$1007+($C$8:$C$1007&lt;&gt;$C742)*100000))+1)</f>
        <v>0</v>
      </c>
      <c r="L742" s="19" t="str">
        <f aca="false">IF($A742="","",IF($J742=0,"Sem registro anterior",IF($K742&lt;21,"Histórico insuficiente",IF($J742&lt;0.8,"Subcarga",IF($J742&lt;=1.3,"Zona ideal",IF($J742&lt;=1.5,"Atenção","Risco elevado"))))))</f>
        <v/>
      </c>
      <c r="M742" s="20"/>
    </row>
    <row r="743" customFormat="false" ht="15" hidden="false" customHeight="false" outlineLevel="0" collapsed="false">
      <c r="A743" s="21"/>
      <c r="B743" s="33" t="n">
        <f aca="false">IF($A743="",0,INT(($A743-Macrociclo!$C$11)/7)+1)</f>
        <v>0</v>
      </c>
      <c r="C743" s="20"/>
      <c r="D743" s="20"/>
      <c r="E743" s="22"/>
      <c r="F743" s="22"/>
      <c r="G743" s="48" t="n">
        <f aca="false">IF(OR($E743="",$F743=""),0,$E743*$F743)</f>
        <v>0</v>
      </c>
      <c r="H743" s="48" t="n">
        <f aca="false">IF($A743="",0,SUMIFS($G$8:$G$1007,$C$8:$C$1007,$C743,$A$8:$A$1007,"&gt;="&amp;$A743-6,$A$8:$A$1007,"&lt;="&amp;$A743))</f>
        <v>0</v>
      </c>
      <c r="I743" s="48" t="n">
        <f aca="false">IF($A743="",0,SUMIFS($G$8:$G$1007,$C$8:$C$1007,$C743,$A$8:$A$1007,"&gt;="&amp;$A743-27,$A$8:$A$1007,"&lt;="&amp;$A743)/4)</f>
        <v>0</v>
      </c>
      <c r="J743" s="67" t="n">
        <f aca="false">IF(OR($A743="",$I743=0),0,$H743/$I743)</f>
        <v>0</v>
      </c>
      <c r="K743" s="33" t="n">
        <f aca="false">IF($A743="",0,$A743-SUMPRODUCT(MIN(($C$8:$C$1007=$C743)*$A$8:$A$1007+($C$8:$C$1007&lt;&gt;$C743)*100000))+1)</f>
        <v>0</v>
      </c>
      <c r="L743" s="19" t="str">
        <f aca="false">IF($A743="","",IF($J743=0,"Sem registro anterior",IF($K743&lt;21,"Histórico insuficiente",IF($J743&lt;0.8,"Subcarga",IF($J743&lt;=1.3,"Zona ideal",IF($J743&lt;=1.5,"Atenção","Risco elevado"))))))</f>
        <v/>
      </c>
      <c r="M743" s="20"/>
    </row>
    <row r="744" customFormat="false" ht="15" hidden="false" customHeight="false" outlineLevel="0" collapsed="false">
      <c r="A744" s="21"/>
      <c r="B744" s="33" t="n">
        <f aca="false">IF($A744="",0,INT(($A744-Macrociclo!$C$11)/7)+1)</f>
        <v>0</v>
      </c>
      <c r="C744" s="20"/>
      <c r="D744" s="20"/>
      <c r="E744" s="22"/>
      <c r="F744" s="22"/>
      <c r="G744" s="48" t="n">
        <f aca="false">IF(OR($E744="",$F744=""),0,$E744*$F744)</f>
        <v>0</v>
      </c>
      <c r="H744" s="48" t="n">
        <f aca="false">IF($A744="",0,SUMIFS($G$8:$G$1007,$C$8:$C$1007,$C744,$A$8:$A$1007,"&gt;="&amp;$A744-6,$A$8:$A$1007,"&lt;="&amp;$A744))</f>
        <v>0</v>
      </c>
      <c r="I744" s="48" t="n">
        <f aca="false">IF($A744="",0,SUMIFS($G$8:$G$1007,$C$8:$C$1007,$C744,$A$8:$A$1007,"&gt;="&amp;$A744-27,$A$8:$A$1007,"&lt;="&amp;$A744)/4)</f>
        <v>0</v>
      </c>
      <c r="J744" s="67" t="n">
        <f aca="false">IF(OR($A744="",$I744=0),0,$H744/$I744)</f>
        <v>0</v>
      </c>
      <c r="K744" s="33" t="n">
        <f aca="false">IF($A744="",0,$A744-SUMPRODUCT(MIN(($C$8:$C$1007=$C744)*$A$8:$A$1007+($C$8:$C$1007&lt;&gt;$C744)*100000))+1)</f>
        <v>0</v>
      </c>
      <c r="L744" s="19" t="str">
        <f aca="false">IF($A744="","",IF($J744=0,"Sem registro anterior",IF($K744&lt;21,"Histórico insuficiente",IF($J744&lt;0.8,"Subcarga",IF($J744&lt;=1.3,"Zona ideal",IF($J744&lt;=1.5,"Atenção","Risco elevado"))))))</f>
        <v/>
      </c>
      <c r="M744" s="20"/>
    </row>
    <row r="745" customFormat="false" ht="15" hidden="false" customHeight="false" outlineLevel="0" collapsed="false">
      <c r="A745" s="21"/>
      <c r="B745" s="33" t="n">
        <f aca="false">IF($A745="",0,INT(($A745-Macrociclo!$C$11)/7)+1)</f>
        <v>0</v>
      </c>
      <c r="C745" s="20"/>
      <c r="D745" s="20"/>
      <c r="E745" s="22"/>
      <c r="F745" s="22"/>
      <c r="G745" s="48" t="n">
        <f aca="false">IF(OR($E745="",$F745=""),0,$E745*$F745)</f>
        <v>0</v>
      </c>
      <c r="H745" s="48" t="n">
        <f aca="false">IF($A745="",0,SUMIFS($G$8:$G$1007,$C$8:$C$1007,$C745,$A$8:$A$1007,"&gt;="&amp;$A745-6,$A$8:$A$1007,"&lt;="&amp;$A745))</f>
        <v>0</v>
      </c>
      <c r="I745" s="48" t="n">
        <f aca="false">IF($A745="",0,SUMIFS($G$8:$G$1007,$C$8:$C$1007,$C745,$A$8:$A$1007,"&gt;="&amp;$A745-27,$A$8:$A$1007,"&lt;="&amp;$A745)/4)</f>
        <v>0</v>
      </c>
      <c r="J745" s="67" t="n">
        <f aca="false">IF(OR($A745="",$I745=0),0,$H745/$I745)</f>
        <v>0</v>
      </c>
      <c r="K745" s="33" t="n">
        <f aca="false">IF($A745="",0,$A745-SUMPRODUCT(MIN(($C$8:$C$1007=$C745)*$A$8:$A$1007+($C$8:$C$1007&lt;&gt;$C745)*100000))+1)</f>
        <v>0</v>
      </c>
      <c r="L745" s="19" t="str">
        <f aca="false">IF($A745="","",IF($J745=0,"Sem registro anterior",IF($K745&lt;21,"Histórico insuficiente",IF($J745&lt;0.8,"Subcarga",IF($J745&lt;=1.3,"Zona ideal",IF($J745&lt;=1.5,"Atenção","Risco elevado"))))))</f>
        <v/>
      </c>
      <c r="M745" s="20"/>
    </row>
    <row r="746" customFormat="false" ht="15" hidden="false" customHeight="false" outlineLevel="0" collapsed="false">
      <c r="A746" s="21"/>
      <c r="B746" s="33" t="n">
        <f aca="false">IF($A746="",0,INT(($A746-Macrociclo!$C$11)/7)+1)</f>
        <v>0</v>
      </c>
      <c r="C746" s="20"/>
      <c r="D746" s="20"/>
      <c r="E746" s="22"/>
      <c r="F746" s="22"/>
      <c r="G746" s="48" t="n">
        <f aca="false">IF(OR($E746="",$F746=""),0,$E746*$F746)</f>
        <v>0</v>
      </c>
      <c r="H746" s="48" t="n">
        <f aca="false">IF($A746="",0,SUMIFS($G$8:$G$1007,$C$8:$C$1007,$C746,$A$8:$A$1007,"&gt;="&amp;$A746-6,$A$8:$A$1007,"&lt;="&amp;$A746))</f>
        <v>0</v>
      </c>
      <c r="I746" s="48" t="n">
        <f aca="false">IF($A746="",0,SUMIFS($G$8:$G$1007,$C$8:$C$1007,$C746,$A$8:$A$1007,"&gt;="&amp;$A746-27,$A$8:$A$1007,"&lt;="&amp;$A746)/4)</f>
        <v>0</v>
      </c>
      <c r="J746" s="67" t="n">
        <f aca="false">IF(OR($A746="",$I746=0),0,$H746/$I746)</f>
        <v>0</v>
      </c>
      <c r="K746" s="33" t="n">
        <f aca="false">IF($A746="",0,$A746-SUMPRODUCT(MIN(($C$8:$C$1007=$C746)*$A$8:$A$1007+($C$8:$C$1007&lt;&gt;$C746)*100000))+1)</f>
        <v>0</v>
      </c>
      <c r="L746" s="19" t="str">
        <f aca="false">IF($A746="","",IF($J746=0,"Sem registro anterior",IF($K746&lt;21,"Histórico insuficiente",IF($J746&lt;0.8,"Subcarga",IF($J746&lt;=1.3,"Zona ideal",IF($J746&lt;=1.5,"Atenção","Risco elevado"))))))</f>
        <v/>
      </c>
      <c r="M746" s="20"/>
    </row>
    <row r="747" customFormat="false" ht="15" hidden="false" customHeight="false" outlineLevel="0" collapsed="false">
      <c r="A747" s="21"/>
      <c r="B747" s="33" t="n">
        <f aca="false">IF($A747="",0,INT(($A747-Macrociclo!$C$11)/7)+1)</f>
        <v>0</v>
      </c>
      <c r="C747" s="20"/>
      <c r="D747" s="20"/>
      <c r="E747" s="22"/>
      <c r="F747" s="22"/>
      <c r="G747" s="48" t="n">
        <f aca="false">IF(OR($E747="",$F747=""),0,$E747*$F747)</f>
        <v>0</v>
      </c>
      <c r="H747" s="48" t="n">
        <f aca="false">IF($A747="",0,SUMIFS($G$8:$G$1007,$C$8:$C$1007,$C747,$A$8:$A$1007,"&gt;="&amp;$A747-6,$A$8:$A$1007,"&lt;="&amp;$A747))</f>
        <v>0</v>
      </c>
      <c r="I747" s="48" t="n">
        <f aca="false">IF($A747="",0,SUMIFS($G$8:$G$1007,$C$8:$C$1007,$C747,$A$8:$A$1007,"&gt;="&amp;$A747-27,$A$8:$A$1007,"&lt;="&amp;$A747)/4)</f>
        <v>0</v>
      </c>
      <c r="J747" s="67" t="n">
        <f aca="false">IF(OR($A747="",$I747=0),0,$H747/$I747)</f>
        <v>0</v>
      </c>
      <c r="K747" s="33" t="n">
        <f aca="false">IF($A747="",0,$A747-SUMPRODUCT(MIN(($C$8:$C$1007=$C747)*$A$8:$A$1007+($C$8:$C$1007&lt;&gt;$C747)*100000))+1)</f>
        <v>0</v>
      </c>
      <c r="L747" s="19" t="str">
        <f aca="false">IF($A747="","",IF($J747=0,"Sem registro anterior",IF($K747&lt;21,"Histórico insuficiente",IF($J747&lt;0.8,"Subcarga",IF($J747&lt;=1.3,"Zona ideal",IF($J747&lt;=1.5,"Atenção","Risco elevado"))))))</f>
        <v/>
      </c>
      <c r="M747" s="20"/>
    </row>
    <row r="748" customFormat="false" ht="15" hidden="false" customHeight="false" outlineLevel="0" collapsed="false">
      <c r="A748" s="21"/>
      <c r="B748" s="33" t="n">
        <f aca="false">IF($A748="",0,INT(($A748-Macrociclo!$C$11)/7)+1)</f>
        <v>0</v>
      </c>
      <c r="C748" s="20"/>
      <c r="D748" s="20"/>
      <c r="E748" s="22"/>
      <c r="F748" s="22"/>
      <c r="G748" s="48" t="n">
        <f aca="false">IF(OR($E748="",$F748=""),0,$E748*$F748)</f>
        <v>0</v>
      </c>
      <c r="H748" s="48" t="n">
        <f aca="false">IF($A748="",0,SUMIFS($G$8:$G$1007,$C$8:$C$1007,$C748,$A$8:$A$1007,"&gt;="&amp;$A748-6,$A$8:$A$1007,"&lt;="&amp;$A748))</f>
        <v>0</v>
      </c>
      <c r="I748" s="48" t="n">
        <f aca="false">IF($A748="",0,SUMIFS($G$8:$G$1007,$C$8:$C$1007,$C748,$A$8:$A$1007,"&gt;="&amp;$A748-27,$A$8:$A$1007,"&lt;="&amp;$A748)/4)</f>
        <v>0</v>
      </c>
      <c r="J748" s="67" t="n">
        <f aca="false">IF(OR($A748="",$I748=0),0,$H748/$I748)</f>
        <v>0</v>
      </c>
      <c r="K748" s="33" t="n">
        <f aca="false">IF($A748="",0,$A748-SUMPRODUCT(MIN(($C$8:$C$1007=$C748)*$A$8:$A$1007+($C$8:$C$1007&lt;&gt;$C748)*100000))+1)</f>
        <v>0</v>
      </c>
      <c r="L748" s="19" t="str">
        <f aca="false">IF($A748="","",IF($J748=0,"Sem registro anterior",IF($K748&lt;21,"Histórico insuficiente",IF($J748&lt;0.8,"Subcarga",IF($J748&lt;=1.3,"Zona ideal",IF($J748&lt;=1.5,"Atenção","Risco elevado"))))))</f>
        <v/>
      </c>
      <c r="M748" s="20"/>
    </row>
    <row r="749" customFormat="false" ht="15" hidden="false" customHeight="false" outlineLevel="0" collapsed="false">
      <c r="A749" s="21"/>
      <c r="B749" s="33" t="n">
        <f aca="false">IF($A749="",0,INT(($A749-Macrociclo!$C$11)/7)+1)</f>
        <v>0</v>
      </c>
      <c r="C749" s="20"/>
      <c r="D749" s="20"/>
      <c r="E749" s="22"/>
      <c r="F749" s="22"/>
      <c r="G749" s="48" t="n">
        <f aca="false">IF(OR($E749="",$F749=""),0,$E749*$F749)</f>
        <v>0</v>
      </c>
      <c r="H749" s="48" t="n">
        <f aca="false">IF($A749="",0,SUMIFS($G$8:$G$1007,$C$8:$C$1007,$C749,$A$8:$A$1007,"&gt;="&amp;$A749-6,$A$8:$A$1007,"&lt;="&amp;$A749))</f>
        <v>0</v>
      </c>
      <c r="I749" s="48" t="n">
        <f aca="false">IF($A749="",0,SUMIFS($G$8:$G$1007,$C$8:$C$1007,$C749,$A$8:$A$1007,"&gt;="&amp;$A749-27,$A$8:$A$1007,"&lt;="&amp;$A749)/4)</f>
        <v>0</v>
      </c>
      <c r="J749" s="67" t="n">
        <f aca="false">IF(OR($A749="",$I749=0),0,$H749/$I749)</f>
        <v>0</v>
      </c>
      <c r="K749" s="33" t="n">
        <f aca="false">IF($A749="",0,$A749-SUMPRODUCT(MIN(($C$8:$C$1007=$C749)*$A$8:$A$1007+($C$8:$C$1007&lt;&gt;$C749)*100000))+1)</f>
        <v>0</v>
      </c>
      <c r="L749" s="19" t="str">
        <f aca="false">IF($A749="","",IF($J749=0,"Sem registro anterior",IF($K749&lt;21,"Histórico insuficiente",IF($J749&lt;0.8,"Subcarga",IF($J749&lt;=1.3,"Zona ideal",IF($J749&lt;=1.5,"Atenção","Risco elevado"))))))</f>
        <v/>
      </c>
      <c r="M749" s="20"/>
    </row>
    <row r="750" customFormat="false" ht="15" hidden="false" customHeight="false" outlineLevel="0" collapsed="false">
      <c r="A750" s="21"/>
      <c r="B750" s="33" t="n">
        <f aca="false">IF($A750="",0,INT(($A750-Macrociclo!$C$11)/7)+1)</f>
        <v>0</v>
      </c>
      <c r="C750" s="20"/>
      <c r="D750" s="20"/>
      <c r="E750" s="22"/>
      <c r="F750" s="22"/>
      <c r="G750" s="48" t="n">
        <f aca="false">IF(OR($E750="",$F750=""),0,$E750*$F750)</f>
        <v>0</v>
      </c>
      <c r="H750" s="48" t="n">
        <f aca="false">IF($A750="",0,SUMIFS($G$8:$G$1007,$C$8:$C$1007,$C750,$A$8:$A$1007,"&gt;="&amp;$A750-6,$A$8:$A$1007,"&lt;="&amp;$A750))</f>
        <v>0</v>
      </c>
      <c r="I750" s="48" t="n">
        <f aca="false">IF($A750="",0,SUMIFS($G$8:$G$1007,$C$8:$C$1007,$C750,$A$8:$A$1007,"&gt;="&amp;$A750-27,$A$8:$A$1007,"&lt;="&amp;$A750)/4)</f>
        <v>0</v>
      </c>
      <c r="J750" s="67" t="n">
        <f aca="false">IF(OR($A750="",$I750=0),0,$H750/$I750)</f>
        <v>0</v>
      </c>
      <c r="K750" s="33" t="n">
        <f aca="false">IF($A750="",0,$A750-SUMPRODUCT(MIN(($C$8:$C$1007=$C750)*$A$8:$A$1007+($C$8:$C$1007&lt;&gt;$C750)*100000))+1)</f>
        <v>0</v>
      </c>
      <c r="L750" s="19" t="str">
        <f aca="false">IF($A750="","",IF($J750=0,"Sem registro anterior",IF($K750&lt;21,"Histórico insuficiente",IF($J750&lt;0.8,"Subcarga",IF($J750&lt;=1.3,"Zona ideal",IF($J750&lt;=1.5,"Atenção","Risco elevado"))))))</f>
        <v/>
      </c>
      <c r="M750" s="20"/>
    </row>
    <row r="751" customFormat="false" ht="15" hidden="false" customHeight="false" outlineLevel="0" collapsed="false">
      <c r="A751" s="21"/>
      <c r="B751" s="33" t="n">
        <f aca="false">IF($A751="",0,INT(($A751-Macrociclo!$C$11)/7)+1)</f>
        <v>0</v>
      </c>
      <c r="C751" s="20"/>
      <c r="D751" s="20"/>
      <c r="E751" s="22"/>
      <c r="F751" s="22"/>
      <c r="G751" s="48" t="n">
        <f aca="false">IF(OR($E751="",$F751=""),0,$E751*$F751)</f>
        <v>0</v>
      </c>
      <c r="H751" s="48" t="n">
        <f aca="false">IF($A751="",0,SUMIFS($G$8:$G$1007,$C$8:$C$1007,$C751,$A$8:$A$1007,"&gt;="&amp;$A751-6,$A$8:$A$1007,"&lt;="&amp;$A751))</f>
        <v>0</v>
      </c>
      <c r="I751" s="48" t="n">
        <f aca="false">IF($A751="",0,SUMIFS($G$8:$G$1007,$C$8:$C$1007,$C751,$A$8:$A$1007,"&gt;="&amp;$A751-27,$A$8:$A$1007,"&lt;="&amp;$A751)/4)</f>
        <v>0</v>
      </c>
      <c r="J751" s="67" t="n">
        <f aca="false">IF(OR($A751="",$I751=0),0,$H751/$I751)</f>
        <v>0</v>
      </c>
      <c r="K751" s="33" t="n">
        <f aca="false">IF($A751="",0,$A751-SUMPRODUCT(MIN(($C$8:$C$1007=$C751)*$A$8:$A$1007+($C$8:$C$1007&lt;&gt;$C751)*100000))+1)</f>
        <v>0</v>
      </c>
      <c r="L751" s="19" t="str">
        <f aca="false">IF($A751="","",IF($J751=0,"Sem registro anterior",IF($K751&lt;21,"Histórico insuficiente",IF($J751&lt;0.8,"Subcarga",IF($J751&lt;=1.3,"Zona ideal",IF($J751&lt;=1.5,"Atenção","Risco elevado"))))))</f>
        <v/>
      </c>
      <c r="M751" s="20"/>
    </row>
    <row r="752" customFormat="false" ht="15" hidden="false" customHeight="false" outlineLevel="0" collapsed="false">
      <c r="A752" s="21"/>
      <c r="B752" s="33" t="n">
        <f aca="false">IF($A752="",0,INT(($A752-Macrociclo!$C$11)/7)+1)</f>
        <v>0</v>
      </c>
      <c r="C752" s="20"/>
      <c r="D752" s="20"/>
      <c r="E752" s="22"/>
      <c r="F752" s="22"/>
      <c r="G752" s="48" t="n">
        <f aca="false">IF(OR($E752="",$F752=""),0,$E752*$F752)</f>
        <v>0</v>
      </c>
      <c r="H752" s="48" t="n">
        <f aca="false">IF($A752="",0,SUMIFS($G$8:$G$1007,$C$8:$C$1007,$C752,$A$8:$A$1007,"&gt;="&amp;$A752-6,$A$8:$A$1007,"&lt;="&amp;$A752))</f>
        <v>0</v>
      </c>
      <c r="I752" s="48" t="n">
        <f aca="false">IF($A752="",0,SUMIFS($G$8:$G$1007,$C$8:$C$1007,$C752,$A$8:$A$1007,"&gt;="&amp;$A752-27,$A$8:$A$1007,"&lt;="&amp;$A752)/4)</f>
        <v>0</v>
      </c>
      <c r="J752" s="67" t="n">
        <f aca="false">IF(OR($A752="",$I752=0),0,$H752/$I752)</f>
        <v>0</v>
      </c>
      <c r="K752" s="33" t="n">
        <f aca="false">IF($A752="",0,$A752-SUMPRODUCT(MIN(($C$8:$C$1007=$C752)*$A$8:$A$1007+($C$8:$C$1007&lt;&gt;$C752)*100000))+1)</f>
        <v>0</v>
      </c>
      <c r="L752" s="19" t="str">
        <f aca="false">IF($A752="","",IF($J752=0,"Sem registro anterior",IF($K752&lt;21,"Histórico insuficiente",IF($J752&lt;0.8,"Subcarga",IF($J752&lt;=1.3,"Zona ideal",IF($J752&lt;=1.5,"Atenção","Risco elevado"))))))</f>
        <v/>
      </c>
      <c r="M752" s="20"/>
    </row>
    <row r="753" customFormat="false" ht="15" hidden="false" customHeight="false" outlineLevel="0" collapsed="false">
      <c r="A753" s="21"/>
      <c r="B753" s="33" t="n">
        <f aca="false">IF($A753="",0,INT(($A753-Macrociclo!$C$11)/7)+1)</f>
        <v>0</v>
      </c>
      <c r="C753" s="20"/>
      <c r="D753" s="20"/>
      <c r="E753" s="22"/>
      <c r="F753" s="22"/>
      <c r="G753" s="48" t="n">
        <f aca="false">IF(OR($E753="",$F753=""),0,$E753*$F753)</f>
        <v>0</v>
      </c>
      <c r="H753" s="48" t="n">
        <f aca="false">IF($A753="",0,SUMIFS($G$8:$G$1007,$C$8:$C$1007,$C753,$A$8:$A$1007,"&gt;="&amp;$A753-6,$A$8:$A$1007,"&lt;="&amp;$A753))</f>
        <v>0</v>
      </c>
      <c r="I753" s="48" t="n">
        <f aca="false">IF($A753="",0,SUMIFS($G$8:$G$1007,$C$8:$C$1007,$C753,$A$8:$A$1007,"&gt;="&amp;$A753-27,$A$8:$A$1007,"&lt;="&amp;$A753)/4)</f>
        <v>0</v>
      </c>
      <c r="J753" s="67" t="n">
        <f aca="false">IF(OR($A753="",$I753=0),0,$H753/$I753)</f>
        <v>0</v>
      </c>
      <c r="K753" s="33" t="n">
        <f aca="false">IF($A753="",0,$A753-SUMPRODUCT(MIN(($C$8:$C$1007=$C753)*$A$8:$A$1007+($C$8:$C$1007&lt;&gt;$C753)*100000))+1)</f>
        <v>0</v>
      </c>
      <c r="L753" s="19" t="str">
        <f aca="false">IF($A753="","",IF($J753=0,"Sem registro anterior",IF($K753&lt;21,"Histórico insuficiente",IF($J753&lt;0.8,"Subcarga",IF($J753&lt;=1.3,"Zona ideal",IF($J753&lt;=1.5,"Atenção","Risco elevado"))))))</f>
        <v/>
      </c>
      <c r="M753" s="20"/>
    </row>
    <row r="754" customFormat="false" ht="15" hidden="false" customHeight="false" outlineLevel="0" collapsed="false">
      <c r="A754" s="21"/>
      <c r="B754" s="33" t="n">
        <f aca="false">IF($A754="",0,INT(($A754-Macrociclo!$C$11)/7)+1)</f>
        <v>0</v>
      </c>
      <c r="C754" s="20"/>
      <c r="D754" s="20"/>
      <c r="E754" s="22"/>
      <c r="F754" s="22"/>
      <c r="G754" s="48" t="n">
        <f aca="false">IF(OR($E754="",$F754=""),0,$E754*$F754)</f>
        <v>0</v>
      </c>
      <c r="H754" s="48" t="n">
        <f aca="false">IF($A754="",0,SUMIFS($G$8:$G$1007,$C$8:$C$1007,$C754,$A$8:$A$1007,"&gt;="&amp;$A754-6,$A$8:$A$1007,"&lt;="&amp;$A754))</f>
        <v>0</v>
      </c>
      <c r="I754" s="48" t="n">
        <f aca="false">IF($A754="",0,SUMIFS($G$8:$G$1007,$C$8:$C$1007,$C754,$A$8:$A$1007,"&gt;="&amp;$A754-27,$A$8:$A$1007,"&lt;="&amp;$A754)/4)</f>
        <v>0</v>
      </c>
      <c r="J754" s="67" t="n">
        <f aca="false">IF(OR($A754="",$I754=0),0,$H754/$I754)</f>
        <v>0</v>
      </c>
      <c r="K754" s="33" t="n">
        <f aca="false">IF($A754="",0,$A754-SUMPRODUCT(MIN(($C$8:$C$1007=$C754)*$A$8:$A$1007+($C$8:$C$1007&lt;&gt;$C754)*100000))+1)</f>
        <v>0</v>
      </c>
      <c r="L754" s="19" t="str">
        <f aca="false">IF($A754="","",IF($J754=0,"Sem registro anterior",IF($K754&lt;21,"Histórico insuficiente",IF($J754&lt;0.8,"Subcarga",IF($J754&lt;=1.3,"Zona ideal",IF($J754&lt;=1.5,"Atenção","Risco elevado"))))))</f>
        <v/>
      </c>
      <c r="M754" s="20"/>
    </row>
    <row r="755" customFormat="false" ht="15" hidden="false" customHeight="false" outlineLevel="0" collapsed="false">
      <c r="A755" s="21"/>
      <c r="B755" s="33" t="n">
        <f aca="false">IF($A755="",0,INT(($A755-Macrociclo!$C$11)/7)+1)</f>
        <v>0</v>
      </c>
      <c r="C755" s="20"/>
      <c r="D755" s="20"/>
      <c r="E755" s="22"/>
      <c r="F755" s="22"/>
      <c r="G755" s="48" t="n">
        <f aca="false">IF(OR($E755="",$F755=""),0,$E755*$F755)</f>
        <v>0</v>
      </c>
      <c r="H755" s="48" t="n">
        <f aca="false">IF($A755="",0,SUMIFS($G$8:$G$1007,$C$8:$C$1007,$C755,$A$8:$A$1007,"&gt;="&amp;$A755-6,$A$8:$A$1007,"&lt;="&amp;$A755))</f>
        <v>0</v>
      </c>
      <c r="I755" s="48" t="n">
        <f aca="false">IF($A755="",0,SUMIFS($G$8:$G$1007,$C$8:$C$1007,$C755,$A$8:$A$1007,"&gt;="&amp;$A755-27,$A$8:$A$1007,"&lt;="&amp;$A755)/4)</f>
        <v>0</v>
      </c>
      <c r="J755" s="67" t="n">
        <f aca="false">IF(OR($A755="",$I755=0),0,$H755/$I755)</f>
        <v>0</v>
      </c>
      <c r="K755" s="33" t="n">
        <f aca="false">IF($A755="",0,$A755-SUMPRODUCT(MIN(($C$8:$C$1007=$C755)*$A$8:$A$1007+($C$8:$C$1007&lt;&gt;$C755)*100000))+1)</f>
        <v>0</v>
      </c>
      <c r="L755" s="19" t="str">
        <f aca="false">IF($A755="","",IF($J755=0,"Sem registro anterior",IF($K755&lt;21,"Histórico insuficiente",IF($J755&lt;0.8,"Subcarga",IF($J755&lt;=1.3,"Zona ideal",IF($J755&lt;=1.5,"Atenção","Risco elevado"))))))</f>
        <v/>
      </c>
      <c r="M755" s="20"/>
    </row>
    <row r="756" customFormat="false" ht="15" hidden="false" customHeight="false" outlineLevel="0" collapsed="false">
      <c r="A756" s="21"/>
      <c r="B756" s="33" t="n">
        <f aca="false">IF($A756="",0,INT(($A756-Macrociclo!$C$11)/7)+1)</f>
        <v>0</v>
      </c>
      <c r="C756" s="20"/>
      <c r="D756" s="20"/>
      <c r="E756" s="22"/>
      <c r="F756" s="22"/>
      <c r="G756" s="48" t="n">
        <f aca="false">IF(OR($E756="",$F756=""),0,$E756*$F756)</f>
        <v>0</v>
      </c>
      <c r="H756" s="48" t="n">
        <f aca="false">IF($A756="",0,SUMIFS($G$8:$G$1007,$C$8:$C$1007,$C756,$A$8:$A$1007,"&gt;="&amp;$A756-6,$A$8:$A$1007,"&lt;="&amp;$A756))</f>
        <v>0</v>
      </c>
      <c r="I756" s="48" t="n">
        <f aca="false">IF($A756="",0,SUMIFS($G$8:$G$1007,$C$8:$C$1007,$C756,$A$8:$A$1007,"&gt;="&amp;$A756-27,$A$8:$A$1007,"&lt;="&amp;$A756)/4)</f>
        <v>0</v>
      </c>
      <c r="J756" s="67" t="n">
        <f aca="false">IF(OR($A756="",$I756=0),0,$H756/$I756)</f>
        <v>0</v>
      </c>
      <c r="K756" s="33" t="n">
        <f aca="false">IF($A756="",0,$A756-SUMPRODUCT(MIN(($C$8:$C$1007=$C756)*$A$8:$A$1007+($C$8:$C$1007&lt;&gt;$C756)*100000))+1)</f>
        <v>0</v>
      </c>
      <c r="L756" s="19" t="str">
        <f aca="false">IF($A756="","",IF($J756=0,"Sem registro anterior",IF($K756&lt;21,"Histórico insuficiente",IF($J756&lt;0.8,"Subcarga",IF($J756&lt;=1.3,"Zona ideal",IF($J756&lt;=1.5,"Atenção","Risco elevado"))))))</f>
        <v/>
      </c>
      <c r="M756" s="20"/>
    </row>
    <row r="757" customFormat="false" ht="15" hidden="false" customHeight="false" outlineLevel="0" collapsed="false">
      <c r="A757" s="21"/>
      <c r="B757" s="33" t="n">
        <f aca="false">IF($A757="",0,INT(($A757-Macrociclo!$C$11)/7)+1)</f>
        <v>0</v>
      </c>
      <c r="C757" s="20"/>
      <c r="D757" s="20"/>
      <c r="E757" s="22"/>
      <c r="F757" s="22"/>
      <c r="G757" s="48" t="n">
        <f aca="false">IF(OR($E757="",$F757=""),0,$E757*$F757)</f>
        <v>0</v>
      </c>
      <c r="H757" s="48" t="n">
        <f aca="false">IF($A757="",0,SUMIFS($G$8:$G$1007,$C$8:$C$1007,$C757,$A$8:$A$1007,"&gt;="&amp;$A757-6,$A$8:$A$1007,"&lt;="&amp;$A757))</f>
        <v>0</v>
      </c>
      <c r="I757" s="48" t="n">
        <f aca="false">IF($A757="",0,SUMIFS($G$8:$G$1007,$C$8:$C$1007,$C757,$A$8:$A$1007,"&gt;="&amp;$A757-27,$A$8:$A$1007,"&lt;="&amp;$A757)/4)</f>
        <v>0</v>
      </c>
      <c r="J757" s="67" t="n">
        <f aca="false">IF(OR($A757="",$I757=0),0,$H757/$I757)</f>
        <v>0</v>
      </c>
      <c r="K757" s="33" t="n">
        <f aca="false">IF($A757="",0,$A757-SUMPRODUCT(MIN(($C$8:$C$1007=$C757)*$A$8:$A$1007+($C$8:$C$1007&lt;&gt;$C757)*100000))+1)</f>
        <v>0</v>
      </c>
      <c r="L757" s="19" t="str">
        <f aca="false">IF($A757="","",IF($J757=0,"Sem registro anterior",IF($K757&lt;21,"Histórico insuficiente",IF($J757&lt;0.8,"Subcarga",IF($J757&lt;=1.3,"Zona ideal",IF($J757&lt;=1.5,"Atenção","Risco elevado"))))))</f>
        <v/>
      </c>
      <c r="M757" s="20"/>
    </row>
    <row r="758" customFormat="false" ht="15" hidden="false" customHeight="false" outlineLevel="0" collapsed="false">
      <c r="A758" s="21"/>
      <c r="B758" s="33" t="n">
        <f aca="false">IF($A758="",0,INT(($A758-Macrociclo!$C$11)/7)+1)</f>
        <v>0</v>
      </c>
      <c r="C758" s="20"/>
      <c r="D758" s="20"/>
      <c r="E758" s="22"/>
      <c r="F758" s="22"/>
      <c r="G758" s="48" t="n">
        <f aca="false">IF(OR($E758="",$F758=""),0,$E758*$F758)</f>
        <v>0</v>
      </c>
      <c r="H758" s="48" t="n">
        <f aca="false">IF($A758="",0,SUMIFS($G$8:$G$1007,$C$8:$C$1007,$C758,$A$8:$A$1007,"&gt;="&amp;$A758-6,$A$8:$A$1007,"&lt;="&amp;$A758))</f>
        <v>0</v>
      </c>
      <c r="I758" s="48" t="n">
        <f aca="false">IF($A758="",0,SUMIFS($G$8:$G$1007,$C$8:$C$1007,$C758,$A$8:$A$1007,"&gt;="&amp;$A758-27,$A$8:$A$1007,"&lt;="&amp;$A758)/4)</f>
        <v>0</v>
      </c>
      <c r="J758" s="67" t="n">
        <f aca="false">IF(OR($A758="",$I758=0),0,$H758/$I758)</f>
        <v>0</v>
      </c>
      <c r="K758" s="33" t="n">
        <f aca="false">IF($A758="",0,$A758-SUMPRODUCT(MIN(($C$8:$C$1007=$C758)*$A$8:$A$1007+($C$8:$C$1007&lt;&gt;$C758)*100000))+1)</f>
        <v>0</v>
      </c>
      <c r="L758" s="19" t="str">
        <f aca="false">IF($A758="","",IF($J758=0,"Sem registro anterior",IF($K758&lt;21,"Histórico insuficiente",IF($J758&lt;0.8,"Subcarga",IF($J758&lt;=1.3,"Zona ideal",IF($J758&lt;=1.5,"Atenção","Risco elevado"))))))</f>
        <v/>
      </c>
      <c r="M758" s="20"/>
    </row>
    <row r="759" customFormat="false" ht="15" hidden="false" customHeight="false" outlineLevel="0" collapsed="false">
      <c r="A759" s="21"/>
      <c r="B759" s="33" t="n">
        <f aca="false">IF($A759="",0,INT(($A759-Macrociclo!$C$11)/7)+1)</f>
        <v>0</v>
      </c>
      <c r="C759" s="20"/>
      <c r="D759" s="20"/>
      <c r="E759" s="22"/>
      <c r="F759" s="22"/>
      <c r="G759" s="48" t="n">
        <f aca="false">IF(OR($E759="",$F759=""),0,$E759*$F759)</f>
        <v>0</v>
      </c>
      <c r="H759" s="48" t="n">
        <f aca="false">IF($A759="",0,SUMIFS($G$8:$G$1007,$C$8:$C$1007,$C759,$A$8:$A$1007,"&gt;="&amp;$A759-6,$A$8:$A$1007,"&lt;="&amp;$A759))</f>
        <v>0</v>
      </c>
      <c r="I759" s="48" t="n">
        <f aca="false">IF($A759="",0,SUMIFS($G$8:$G$1007,$C$8:$C$1007,$C759,$A$8:$A$1007,"&gt;="&amp;$A759-27,$A$8:$A$1007,"&lt;="&amp;$A759)/4)</f>
        <v>0</v>
      </c>
      <c r="J759" s="67" t="n">
        <f aca="false">IF(OR($A759="",$I759=0),0,$H759/$I759)</f>
        <v>0</v>
      </c>
      <c r="K759" s="33" t="n">
        <f aca="false">IF($A759="",0,$A759-SUMPRODUCT(MIN(($C$8:$C$1007=$C759)*$A$8:$A$1007+($C$8:$C$1007&lt;&gt;$C759)*100000))+1)</f>
        <v>0</v>
      </c>
      <c r="L759" s="19" t="str">
        <f aca="false">IF($A759="","",IF($J759=0,"Sem registro anterior",IF($K759&lt;21,"Histórico insuficiente",IF($J759&lt;0.8,"Subcarga",IF($J759&lt;=1.3,"Zona ideal",IF($J759&lt;=1.5,"Atenção","Risco elevado"))))))</f>
        <v/>
      </c>
      <c r="M759" s="20"/>
    </row>
    <row r="760" customFormat="false" ht="15" hidden="false" customHeight="false" outlineLevel="0" collapsed="false">
      <c r="A760" s="21"/>
      <c r="B760" s="33" t="n">
        <f aca="false">IF($A760="",0,INT(($A760-Macrociclo!$C$11)/7)+1)</f>
        <v>0</v>
      </c>
      <c r="C760" s="20"/>
      <c r="D760" s="20"/>
      <c r="E760" s="22"/>
      <c r="F760" s="22"/>
      <c r="G760" s="48" t="n">
        <f aca="false">IF(OR($E760="",$F760=""),0,$E760*$F760)</f>
        <v>0</v>
      </c>
      <c r="H760" s="48" t="n">
        <f aca="false">IF($A760="",0,SUMIFS($G$8:$G$1007,$C$8:$C$1007,$C760,$A$8:$A$1007,"&gt;="&amp;$A760-6,$A$8:$A$1007,"&lt;="&amp;$A760))</f>
        <v>0</v>
      </c>
      <c r="I760" s="48" t="n">
        <f aca="false">IF($A760="",0,SUMIFS($G$8:$G$1007,$C$8:$C$1007,$C760,$A$8:$A$1007,"&gt;="&amp;$A760-27,$A$8:$A$1007,"&lt;="&amp;$A760)/4)</f>
        <v>0</v>
      </c>
      <c r="J760" s="67" t="n">
        <f aca="false">IF(OR($A760="",$I760=0),0,$H760/$I760)</f>
        <v>0</v>
      </c>
      <c r="K760" s="33" t="n">
        <f aca="false">IF($A760="",0,$A760-SUMPRODUCT(MIN(($C$8:$C$1007=$C760)*$A$8:$A$1007+($C$8:$C$1007&lt;&gt;$C760)*100000))+1)</f>
        <v>0</v>
      </c>
      <c r="L760" s="19" t="str">
        <f aca="false">IF($A760="","",IF($J760=0,"Sem registro anterior",IF($K760&lt;21,"Histórico insuficiente",IF($J760&lt;0.8,"Subcarga",IF($J760&lt;=1.3,"Zona ideal",IF($J760&lt;=1.5,"Atenção","Risco elevado"))))))</f>
        <v/>
      </c>
      <c r="M760" s="20"/>
    </row>
    <row r="761" customFormat="false" ht="15" hidden="false" customHeight="false" outlineLevel="0" collapsed="false">
      <c r="A761" s="21"/>
      <c r="B761" s="33" t="n">
        <f aca="false">IF($A761="",0,INT(($A761-Macrociclo!$C$11)/7)+1)</f>
        <v>0</v>
      </c>
      <c r="C761" s="20"/>
      <c r="D761" s="20"/>
      <c r="E761" s="22"/>
      <c r="F761" s="22"/>
      <c r="G761" s="48" t="n">
        <f aca="false">IF(OR($E761="",$F761=""),0,$E761*$F761)</f>
        <v>0</v>
      </c>
      <c r="H761" s="48" t="n">
        <f aca="false">IF($A761="",0,SUMIFS($G$8:$G$1007,$C$8:$C$1007,$C761,$A$8:$A$1007,"&gt;="&amp;$A761-6,$A$8:$A$1007,"&lt;="&amp;$A761))</f>
        <v>0</v>
      </c>
      <c r="I761" s="48" t="n">
        <f aca="false">IF($A761="",0,SUMIFS($G$8:$G$1007,$C$8:$C$1007,$C761,$A$8:$A$1007,"&gt;="&amp;$A761-27,$A$8:$A$1007,"&lt;="&amp;$A761)/4)</f>
        <v>0</v>
      </c>
      <c r="J761" s="67" t="n">
        <f aca="false">IF(OR($A761="",$I761=0),0,$H761/$I761)</f>
        <v>0</v>
      </c>
      <c r="K761" s="33" t="n">
        <f aca="false">IF($A761="",0,$A761-SUMPRODUCT(MIN(($C$8:$C$1007=$C761)*$A$8:$A$1007+($C$8:$C$1007&lt;&gt;$C761)*100000))+1)</f>
        <v>0</v>
      </c>
      <c r="L761" s="19" t="str">
        <f aca="false">IF($A761="","",IF($J761=0,"Sem registro anterior",IF($K761&lt;21,"Histórico insuficiente",IF($J761&lt;0.8,"Subcarga",IF($J761&lt;=1.3,"Zona ideal",IF($J761&lt;=1.5,"Atenção","Risco elevado"))))))</f>
        <v/>
      </c>
      <c r="M761" s="20"/>
    </row>
    <row r="762" customFormat="false" ht="15" hidden="false" customHeight="false" outlineLevel="0" collapsed="false">
      <c r="A762" s="21"/>
      <c r="B762" s="33" t="n">
        <f aca="false">IF($A762="",0,INT(($A762-Macrociclo!$C$11)/7)+1)</f>
        <v>0</v>
      </c>
      <c r="C762" s="20"/>
      <c r="D762" s="20"/>
      <c r="E762" s="22"/>
      <c r="F762" s="22"/>
      <c r="G762" s="48" t="n">
        <f aca="false">IF(OR($E762="",$F762=""),0,$E762*$F762)</f>
        <v>0</v>
      </c>
      <c r="H762" s="48" t="n">
        <f aca="false">IF($A762="",0,SUMIFS($G$8:$G$1007,$C$8:$C$1007,$C762,$A$8:$A$1007,"&gt;="&amp;$A762-6,$A$8:$A$1007,"&lt;="&amp;$A762))</f>
        <v>0</v>
      </c>
      <c r="I762" s="48" t="n">
        <f aca="false">IF($A762="",0,SUMIFS($G$8:$G$1007,$C$8:$C$1007,$C762,$A$8:$A$1007,"&gt;="&amp;$A762-27,$A$8:$A$1007,"&lt;="&amp;$A762)/4)</f>
        <v>0</v>
      </c>
      <c r="J762" s="67" t="n">
        <f aca="false">IF(OR($A762="",$I762=0),0,$H762/$I762)</f>
        <v>0</v>
      </c>
      <c r="K762" s="33" t="n">
        <f aca="false">IF($A762="",0,$A762-SUMPRODUCT(MIN(($C$8:$C$1007=$C762)*$A$8:$A$1007+($C$8:$C$1007&lt;&gt;$C762)*100000))+1)</f>
        <v>0</v>
      </c>
      <c r="L762" s="19" t="str">
        <f aca="false">IF($A762="","",IF($J762=0,"Sem registro anterior",IF($K762&lt;21,"Histórico insuficiente",IF($J762&lt;0.8,"Subcarga",IF($J762&lt;=1.3,"Zona ideal",IF($J762&lt;=1.5,"Atenção","Risco elevado"))))))</f>
        <v/>
      </c>
      <c r="M762" s="20"/>
    </row>
    <row r="763" customFormat="false" ht="15" hidden="false" customHeight="false" outlineLevel="0" collapsed="false">
      <c r="A763" s="21"/>
      <c r="B763" s="33" t="n">
        <f aca="false">IF($A763="",0,INT(($A763-Macrociclo!$C$11)/7)+1)</f>
        <v>0</v>
      </c>
      <c r="C763" s="20"/>
      <c r="D763" s="20"/>
      <c r="E763" s="22"/>
      <c r="F763" s="22"/>
      <c r="G763" s="48" t="n">
        <f aca="false">IF(OR($E763="",$F763=""),0,$E763*$F763)</f>
        <v>0</v>
      </c>
      <c r="H763" s="48" t="n">
        <f aca="false">IF($A763="",0,SUMIFS($G$8:$G$1007,$C$8:$C$1007,$C763,$A$8:$A$1007,"&gt;="&amp;$A763-6,$A$8:$A$1007,"&lt;="&amp;$A763))</f>
        <v>0</v>
      </c>
      <c r="I763" s="48" t="n">
        <f aca="false">IF($A763="",0,SUMIFS($G$8:$G$1007,$C$8:$C$1007,$C763,$A$8:$A$1007,"&gt;="&amp;$A763-27,$A$8:$A$1007,"&lt;="&amp;$A763)/4)</f>
        <v>0</v>
      </c>
      <c r="J763" s="67" t="n">
        <f aca="false">IF(OR($A763="",$I763=0),0,$H763/$I763)</f>
        <v>0</v>
      </c>
      <c r="K763" s="33" t="n">
        <f aca="false">IF($A763="",0,$A763-SUMPRODUCT(MIN(($C$8:$C$1007=$C763)*$A$8:$A$1007+($C$8:$C$1007&lt;&gt;$C763)*100000))+1)</f>
        <v>0</v>
      </c>
      <c r="L763" s="19" t="str">
        <f aca="false">IF($A763="","",IF($J763=0,"Sem registro anterior",IF($K763&lt;21,"Histórico insuficiente",IF($J763&lt;0.8,"Subcarga",IF($J763&lt;=1.3,"Zona ideal",IF($J763&lt;=1.5,"Atenção","Risco elevado"))))))</f>
        <v/>
      </c>
      <c r="M763" s="20"/>
    </row>
    <row r="764" customFormat="false" ht="15" hidden="false" customHeight="false" outlineLevel="0" collapsed="false">
      <c r="A764" s="21"/>
      <c r="B764" s="33" t="n">
        <f aca="false">IF($A764="",0,INT(($A764-Macrociclo!$C$11)/7)+1)</f>
        <v>0</v>
      </c>
      <c r="C764" s="20"/>
      <c r="D764" s="20"/>
      <c r="E764" s="22"/>
      <c r="F764" s="22"/>
      <c r="G764" s="48" t="n">
        <f aca="false">IF(OR($E764="",$F764=""),0,$E764*$F764)</f>
        <v>0</v>
      </c>
      <c r="H764" s="48" t="n">
        <f aca="false">IF($A764="",0,SUMIFS($G$8:$G$1007,$C$8:$C$1007,$C764,$A$8:$A$1007,"&gt;="&amp;$A764-6,$A$8:$A$1007,"&lt;="&amp;$A764))</f>
        <v>0</v>
      </c>
      <c r="I764" s="48" t="n">
        <f aca="false">IF($A764="",0,SUMIFS($G$8:$G$1007,$C$8:$C$1007,$C764,$A$8:$A$1007,"&gt;="&amp;$A764-27,$A$8:$A$1007,"&lt;="&amp;$A764)/4)</f>
        <v>0</v>
      </c>
      <c r="J764" s="67" t="n">
        <f aca="false">IF(OR($A764="",$I764=0),0,$H764/$I764)</f>
        <v>0</v>
      </c>
      <c r="K764" s="33" t="n">
        <f aca="false">IF($A764="",0,$A764-SUMPRODUCT(MIN(($C$8:$C$1007=$C764)*$A$8:$A$1007+($C$8:$C$1007&lt;&gt;$C764)*100000))+1)</f>
        <v>0</v>
      </c>
      <c r="L764" s="19" t="str">
        <f aca="false">IF($A764="","",IF($J764=0,"Sem registro anterior",IF($K764&lt;21,"Histórico insuficiente",IF($J764&lt;0.8,"Subcarga",IF($J764&lt;=1.3,"Zona ideal",IF($J764&lt;=1.5,"Atenção","Risco elevado"))))))</f>
        <v/>
      </c>
      <c r="M764" s="20"/>
    </row>
    <row r="765" customFormat="false" ht="15" hidden="false" customHeight="false" outlineLevel="0" collapsed="false">
      <c r="A765" s="21"/>
      <c r="B765" s="33" t="n">
        <f aca="false">IF($A765="",0,INT(($A765-Macrociclo!$C$11)/7)+1)</f>
        <v>0</v>
      </c>
      <c r="C765" s="20"/>
      <c r="D765" s="20"/>
      <c r="E765" s="22"/>
      <c r="F765" s="22"/>
      <c r="G765" s="48" t="n">
        <f aca="false">IF(OR($E765="",$F765=""),0,$E765*$F765)</f>
        <v>0</v>
      </c>
      <c r="H765" s="48" t="n">
        <f aca="false">IF($A765="",0,SUMIFS($G$8:$G$1007,$C$8:$C$1007,$C765,$A$8:$A$1007,"&gt;="&amp;$A765-6,$A$8:$A$1007,"&lt;="&amp;$A765))</f>
        <v>0</v>
      </c>
      <c r="I765" s="48" t="n">
        <f aca="false">IF($A765="",0,SUMIFS($G$8:$G$1007,$C$8:$C$1007,$C765,$A$8:$A$1007,"&gt;="&amp;$A765-27,$A$8:$A$1007,"&lt;="&amp;$A765)/4)</f>
        <v>0</v>
      </c>
      <c r="J765" s="67" t="n">
        <f aca="false">IF(OR($A765="",$I765=0),0,$H765/$I765)</f>
        <v>0</v>
      </c>
      <c r="K765" s="33" t="n">
        <f aca="false">IF($A765="",0,$A765-SUMPRODUCT(MIN(($C$8:$C$1007=$C765)*$A$8:$A$1007+($C$8:$C$1007&lt;&gt;$C765)*100000))+1)</f>
        <v>0</v>
      </c>
      <c r="L765" s="19" t="str">
        <f aca="false">IF($A765="","",IF($J765=0,"Sem registro anterior",IF($K765&lt;21,"Histórico insuficiente",IF($J765&lt;0.8,"Subcarga",IF($J765&lt;=1.3,"Zona ideal",IF($J765&lt;=1.5,"Atenção","Risco elevado"))))))</f>
        <v/>
      </c>
      <c r="M765" s="20"/>
    </row>
    <row r="766" customFormat="false" ht="15" hidden="false" customHeight="false" outlineLevel="0" collapsed="false">
      <c r="A766" s="21"/>
      <c r="B766" s="33" t="n">
        <f aca="false">IF($A766="",0,INT(($A766-Macrociclo!$C$11)/7)+1)</f>
        <v>0</v>
      </c>
      <c r="C766" s="20"/>
      <c r="D766" s="20"/>
      <c r="E766" s="22"/>
      <c r="F766" s="22"/>
      <c r="G766" s="48" t="n">
        <f aca="false">IF(OR($E766="",$F766=""),0,$E766*$F766)</f>
        <v>0</v>
      </c>
      <c r="H766" s="48" t="n">
        <f aca="false">IF($A766="",0,SUMIFS($G$8:$G$1007,$C$8:$C$1007,$C766,$A$8:$A$1007,"&gt;="&amp;$A766-6,$A$8:$A$1007,"&lt;="&amp;$A766))</f>
        <v>0</v>
      </c>
      <c r="I766" s="48" t="n">
        <f aca="false">IF($A766="",0,SUMIFS($G$8:$G$1007,$C$8:$C$1007,$C766,$A$8:$A$1007,"&gt;="&amp;$A766-27,$A$8:$A$1007,"&lt;="&amp;$A766)/4)</f>
        <v>0</v>
      </c>
      <c r="J766" s="67" t="n">
        <f aca="false">IF(OR($A766="",$I766=0),0,$H766/$I766)</f>
        <v>0</v>
      </c>
      <c r="K766" s="33" t="n">
        <f aca="false">IF($A766="",0,$A766-SUMPRODUCT(MIN(($C$8:$C$1007=$C766)*$A$8:$A$1007+($C$8:$C$1007&lt;&gt;$C766)*100000))+1)</f>
        <v>0</v>
      </c>
      <c r="L766" s="19" t="str">
        <f aca="false">IF($A766="","",IF($J766=0,"Sem registro anterior",IF($K766&lt;21,"Histórico insuficiente",IF($J766&lt;0.8,"Subcarga",IF($J766&lt;=1.3,"Zona ideal",IF($J766&lt;=1.5,"Atenção","Risco elevado"))))))</f>
        <v/>
      </c>
      <c r="M766" s="20"/>
    </row>
    <row r="767" customFormat="false" ht="15" hidden="false" customHeight="false" outlineLevel="0" collapsed="false">
      <c r="A767" s="21"/>
      <c r="B767" s="33" t="n">
        <f aca="false">IF($A767="",0,INT(($A767-Macrociclo!$C$11)/7)+1)</f>
        <v>0</v>
      </c>
      <c r="C767" s="20"/>
      <c r="D767" s="20"/>
      <c r="E767" s="22"/>
      <c r="F767" s="22"/>
      <c r="G767" s="48" t="n">
        <f aca="false">IF(OR($E767="",$F767=""),0,$E767*$F767)</f>
        <v>0</v>
      </c>
      <c r="H767" s="48" t="n">
        <f aca="false">IF($A767="",0,SUMIFS($G$8:$G$1007,$C$8:$C$1007,$C767,$A$8:$A$1007,"&gt;="&amp;$A767-6,$A$8:$A$1007,"&lt;="&amp;$A767))</f>
        <v>0</v>
      </c>
      <c r="I767" s="48" t="n">
        <f aca="false">IF($A767="",0,SUMIFS($G$8:$G$1007,$C$8:$C$1007,$C767,$A$8:$A$1007,"&gt;="&amp;$A767-27,$A$8:$A$1007,"&lt;="&amp;$A767)/4)</f>
        <v>0</v>
      </c>
      <c r="J767" s="67" t="n">
        <f aca="false">IF(OR($A767="",$I767=0),0,$H767/$I767)</f>
        <v>0</v>
      </c>
      <c r="K767" s="33" t="n">
        <f aca="false">IF($A767="",0,$A767-SUMPRODUCT(MIN(($C$8:$C$1007=$C767)*$A$8:$A$1007+($C$8:$C$1007&lt;&gt;$C767)*100000))+1)</f>
        <v>0</v>
      </c>
      <c r="L767" s="19" t="str">
        <f aca="false">IF($A767="","",IF($J767=0,"Sem registro anterior",IF($K767&lt;21,"Histórico insuficiente",IF($J767&lt;0.8,"Subcarga",IF($J767&lt;=1.3,"Zona ideal",IF($J767&lt;=1.5,"Atenção","Risco elevado"))))))</f>
        <v/>
      </c>
      <c r="M767" s="20"/>
    </row>
    <row r="768" customFormat="false" ht="15" hidden="false" customHeight="false" outlineLevel="0" collapsed="false">
      <c r="A768" s="21"/>
      <c r="B768" s="33" t="n">
        <f aca="false">IF($A768="",0,INT(($A768-Macrociclo!$C$11)/7)+1)</f>
        <v>0</v>
      </c>
      <c r="C768" s="20"/>
      <c r="D768" s="20"/>
      <c r="E768" s="22"/>
      <c r="F768" s="22"/>
      <c r="G768" s="48" t="n">
        <f aca="false">IF(OR($E768="",$F768=""),0,$E768*$F768)</f>
        <v>0</v>
      </c>
      <c r="H768" s="48" t="n">
        <f aca="false">IF($A768="",0,SUMIFS($G$8:$G$1007,$C$8:$C$1007,$C768,$A$8:$A$1007,"&gt;="&amp;$A768-6,$A$8:$A$1007,"&lt;="&amp;$A768))</f>
        <v>0</v>
      </c>
      <c r="I768" s="48" t="n">
        <f aca="false">IF($A768="",0,SUMIFS($G$8:$G$1007,$C$8:$C$1007,$C768,$A$8:$A$1007,"&gt;="&amp;$A768-27,$A$8:$A$1007,"&lt;="&amp;$A768)/4)</f>
        <v>0</v>
      </c>
      <c r="J768" s="67" t="n">
        <f aca="false">IF(OR($A768="",$I768=0),0,$H768/$I768)</f>
        <v>0</v>
      </c>
      <c r="K768" s="33" t="n">
        <f aca="false">IF($A768="",0,$A768-SUMPRODUCT(MIN(($C$8:$C$1007=$C768)*$A$8:$A$1007+($C$8:$C$1007&lt;&gt;$C768)*100000))+1)</f>
        <v>0</v>
      </c>
      <c r="L768" s="19" t="str">
        <f aca="false">IF($A768="","",IF($J768=0,"Sem registro anterior",IF($K768&lt;21,"Histórico insuficiente",IF($J768&lt;0.8,"Subcarga",IF($J768&lt;=1.3,"Zona ideal",IF($J768&lt;=1.5,"Atenção","Risco elevado"))))))</f>
        <v/>
      </c>
      <c r="M768" s="20"/>
    </row>
    <row r="769" customFormat="false" ht="15" hidden="false" customHeight="false" outlineLevel="0" collapsed="false">
      <c r="A769" s="21"/>
      <c r="B769" s="33" t="n">
        <f aca="false">IF($A769="",0,INT(($A769-Macrociclo!$C$11)/7)+1)</f>
        <v>0</v>
      </c>
      <c r="C769" s="20"/>
      <c r="D769" s="20"/>
      <c r="E769" s="22"/>
      <c r="F769" s="22"/>
      <c r="G769" s="48" t="n">
        <f aca="false">IF(OR($E769="",$F769=""),0,$E769*$F769)</f>
        <v>0</v>
      </c>
      <c r="H769" s="48" t="n">
        <f aca="false">IF($A769="",0,SUMIFS($G$8:$G$1007,$C$8:$C$1007,$C769,$A$8:$A$1007,"&gt;="&amp;$A769-6,$A$8:$A$1007,"&lt;="&amp;$A769))</f>
        <v>0</v>
      </c>
      <c r="I769" s="48" t="n">
        <f aca="false">IF($A769="",0,SUMIFS($G$8:$G$1007,$C$8:$C$1007,$C769,$A$8:$A$1007,"&gt;="&amp;$A769-27,$A$8:$A$1007,"&lt;="&amp;$A769)/4)</f>
        <v>0</v>
      </c>
      <c r="J769" s="67" t="n">
        <f aca="false">IF(OR($A769="",$I769=0),0,$H769/$I769)</f>
        <v>0</v>
      </c>
      <c r="K769" s="33" t="n">
        <f aca="false">IF($A769="",0,$A769-SUMPRODUCT(MIN(($C$8:$C$1007=$C769)*$A$8:$A$1007+($C$8:$C$1007&lt;&gt;$C769)*100000))+1)</f>
        <v>0</v>
      </c>
      <c r="L769" s="19" t="str">
        <f aca="false">IF($A769="","",IF($J769=0,"Sem registro anterior",IF($K769&lt;21,"Histórico insuficiente",IF($J769&lt;0.8,"Subcarga",IF($J769&lt;=1.3,"Zona ideal",IF($J769&lt;=1.5,"Atenção","Risco elevado"))))))</f>
        <v/>
      </c>
      <c r="M769" s="20"/>
    </row>
    <row r="770" customFormat="false" ht="15" hidden="false" customHeight="false" outlineLevel="0" collapsed="false">
      <c r="A770" s="21"/>
      <c r="B770" s="33" t="n">
        <f aca="false">IF($A770="",0,INT(($A770-Macrociclo!$C$11)/7)+1)</f>
        <v>0</v>
      </c>
      <c r="C770" s="20"/>
      <c r="D770" s="20"/>
      <c r="E770" s="22"/>
      <c r="F770" s="22"/>
      <c r="G770" s="48" t="n">
        <f aca="false">IF(OR($E770="",$F770=""),0,$E770*$F770)</f>
        <v>0</v>
      </c>
      <c r="H770" s="48" t="n">
        <f aca="false">IF($A770="",0,SUMIFS($G$8:$G$1007,$C$8:$C$1007,$C770,$A$8:$A$1007,"&gt;="&amp;$A770-6,$A$8:$A$1007,"&lt;="&amp;$A770))</f>
        <v>0</v>
      </c>
      <c r="I770" s="48" t="n">
        <f aca="false">IF($A770="",0,SUMIFS($G$8:$G$1007,$C$8:$C$1007,$C770,$A$8:$A$1007,"&gt;="&amp;$A770-27,$A$8:$A$1007,"&lt;="&amp;$A770)/4)</f>
        <v>0</v>
      </c>
      <c r="J770" s="67" t="n">
        <f aca="false">IF(OR($A770="",$I770=0),0,$H770/$I770)</f>
        <v>0</v>
      </c>
      <c r="K770" s="33" t="n">
        <f aca="false">IF($A770="",0,$A770-SUMPRODUCT(MIN(($C$8:$C$1007=$C770)*$A$8:$A$1007+($C$8:$C$1007&lt;&gt;$C770)*100000))+1)</f>
        <v>0</v>
      </c>
      <c r="L770" s="19" t="str">
        <f aca="false">IF($A770="","",IF($J770=0,"Sem registro anterior",IF($K770&lt;21,"Histórico insuficiente",IF($J770&lt;0.8,"Subcarga",IF($J770&lt;=1.3,"Zona ideal",IF($J770&lt;=1.5,"Atenção","Risco elevado"))))))</f>
        <v/>
      </c>
      <c r="M770" s="20"/>
    </row>
    <row r="771" customFormat="false" ht="15" hidden="false" customHeight="false" outlineLevel="0" collapsed="false">
      <c r="A771" s="21"/>
      <c r="B771" s="33" t="n">
        <f aca="false">IF($A771="",0,INT(($A771-Macrociclo!$C$11)/7)+1)</f>
        <v>0</v>
      </c>
      <c r="C771" s="20"/>
      <c r="D771" s="20"/>
      <c r="E771" s="22"/>
      <c r="F771" s="22"/>
      <c r="G771" s="48" t="n">
        <f aca="false">IF(OR($E771="",$F771=""),0,$E771*$F771)</f>
        <v>0</v>
      </c>
      <c r="H771" s="48" t="n">
        <f aca="false">IF($A771="",0,SUMIFS($G$8:$G$1007,$C$8:$C$1007,$C771,$A$8:$A$1007,"&gt;="&amp;$A771-6,$A$8:$A$1007,"&lt;="&amp;$A771))</f>
        <v>0</v>
      </c>
      <c r="I771" s="48" t="n">
        <f aca="false">IF($A771="",0,SUMIFS($G$8:$G$1007,$C$8:$C$1007,$C771,$A$8:$A$1007,"&gt;="&amp;$A771-27,$A$8:$A$1007,"&lt;="&amp;$A771)/4)</f>
        <v>0</v>
      </c>
      <c r="J771" s="67" t="n">
        <f aca="false">IF(OR($A771="",$I771=0),0,$H771/$I771)</f>
        <v>0</v>
      </c>
      <c r="K771" s="33" t="n">
        <f aca="false">IF($A771="",0,$A771-SUMPRODUCT(MIN(($C$8:$C$1007=$C771)*$A$8:$A$1007+($C$8:$C$1007&lt;&gt;$C771)*100000))+1)</f>
        <v>0</v>
      </c>
      <c r="L771" s="19" t="str">
        <f aca="false">IF($A771="","",IF($J771=0,"Sem registro anterior",IF($K771&lt;21,"Histórico insuficiente",IF($J771&lt;0.8,"Subcarga",IF($J771&lt;=1.3,"Zona ideal",IF($J771&lt;=1.5,"Atenção","Risco elevado"))))))</f>
        <v/>
      </c>
      <c r="M771" s="20"/>
    </row>
    <row r="772" customFormat="false" ht="15" hidden="false" customHeight="false" outlineLevel="0" collapsed="false">
      <c r="A772" s="21"/>
      <c r="B772" s="33" t="n">
        <f aca="false">IF($A772="",0,INT(($A772-Macrociclo!$C$11)/7)+1)</f>
        <v>0</v>
      </c>
      <c r="C772" s="20"/>
      <c r="D772" s="20"/>
      <c r="E772" s="22"/>
      <c r="F772" s="22"/>
      <c r="G772" s="48" t="n">
        <f aca="false">IF(OR($E772="",$F772=""),0,$E772*$F772)</f>
        <v>0</v>
      </c>
      <c r="H772" s="48" t="n">
        <f aca="false">IF($A772="",0,SUMIFS($G$8:$G$1007,$C$8:$C$1007,$C772,$A$8:$A$1007,"&gt;="&amp;$A772-6,$A$8:$A$1007,"&lt;="&amp;$A772))</f>
        <v>0</v>
      </c>
      <c r="I772" s="48" t="n">
        <f aca="false">IF($A772="",0,SUMIFS($G$8:$G$1007,$C$8:$C$1007,$C772,$A$8:$A$1007,"&gt;="&amp;$A772-27,$A$8:$A$1007,"&lt;="&amp;$A772)/4)</f>
        <v>0</v>
      </c>
      <c r="J772" s="67" t="n">
        <f aca="false">IF(OR($A772="",$I772=0),0,$H772/$I772)</f>
        <v>0</v>
      </c>
      <c r="K772" s="33" t="n">
        <f aca="false">IF($A772="",0,$A772-SUMPRODUCT(MIN(($C$8:$C$1007=$C772)*$A$8:$A$1007+($C$8:$C$1007&lt;&gt;$C772)*100000))+1)</f>
        <v>0</v>
      </c>
      <c r="L772" s="19" t="str">
        <f aca="false">IF($A772="","",IF($J772=0,"Sem registro anterior",IF($K772&lt;21,"Histórico insuficiente",IF($J772&lt;0.8,"Subcarga",IF($J772&lt;=1.3,"Zona ideal",IF($J772&lt;=1.5,"Atenção","Risco elevado"))))))</f>
        <v/>
      </c>
      <c r="M772" s="20"/>
    </row>
    <row r="773" customFormat="false" ht="15" hidden="false" customHeight="false" outlineLevel="0" collapsed="false">
      <c r="A773" s="21"/>
      <c r="B773" s="33" t="n">
        <f aca="false">IF($A773="",0,INT(($A773-Macrociclo!$C$11)/7)+1)</f>
        <v>0</v>
      </c>
      <c r="C773" s="20"/>
      <c r="D773" s="20"/>
      <c r="E773" s="22"/>
      <c r="F773" s="22"/>
      <c r="G773" s="48" t="n">
        <f aca="false">IF(OR($E773="",$F773=""),0,$E773*$F773)</f>
        <v>0</v>
      </c>
      <c r="H773" s="48" t="n">
        <f aca="false">IF($A773="",0,SUMIFS($G$8:$G$1007,$C$8:$C$1007,$C773,$A$8:$A$1007,"&gt;="&amp;$A773-6,$A$8:$A$1007,"&lt;="&amp;$A773))</f>
        <v>0</v>
      </c>
      <c r="I773" s="48" t="n">
        <f aca="false">IF($A773="",0,SUMIFS($G$8:$G$1007,$C$8:$C$1007,$C773,$A$8:$A$1007,"&gt;="&amp;$A773-27,$A$8:$A$1007,"&lt;="&amp;$A773)/4)</f>
        <v>0</v>
      </c>
      <c r="J773" s="67" t="n">
        <f aca="false">IF(OR($A773="",$I773=0),0,$H773/$I773)</f>
        <v>0</v>
      </c>
      <c r="K773" s="33" t="n">
        <f aca="false">IF($A773="",0,$A773-SUMPRODUCT(MIN(($C$8:$C$1007=$C773)*$A$8:$A$1007+($C$8:$C$1007&lt;&gt;$C773)*100000))+1)</f>
        <v>0</v>
      </c>
      <c r="L773" s="19" t="str">
        <f aca="false">IF($A773="","",IF($J773=0,"Sem registro anterior",IF($K773&lt;21,"Histórico insuficiente",IF($J773&lt;0.8,"Subcarga",IF($J773&lt;=1.3,"Zona ideal",IF($J773&lt;=1.5,"Atenção","Risco elevado"))))))</f>
        <v/>
      </c>
      <c r="M773" s="20"/>
    </row>
    <row r="774" customFormat="false" ht="15" hidden="false" customHeight="false" outlineLevel="0" collapsed="false">
      <c r="A774" s="21"/>
      <c r="B774" s="33" t="n">
        <f aca="false">IF($A774="",0,INT(($A774-Macrociclo!$C$11)/7)+1)</f>
        <v>0</v>
      </c>
      <c r="C774" s="20"/>
      <c r="D774" s="20"/>
      <c r="E774" s="22"/>
      <c r="F774" s="22"/>
      <c r="G774" s="48" t="n">
        <f aca="false">IF(OR($E774="",$F774=""),0,$E774*$F774)</f>
        <v>0</v>
      </c>
      <c r="H774" s="48" t="n">
        <f aca="false">IF($A774="",0,SUMIFS($G$8:$G$1007,$C$8:$C$1007,$C774,$A$8:$A$1007,"&gt;="&amp;$A774-6,$A$8:$A$1007,"&lt;="&amp;$A774))</f>
        <v>0</v>
      </c>
      <c r="I774" s="48" t="n">
        <f aca="false">IF($A774="",0,SUMIFS($G$8:$G$1007,$C$8:$C$1007,$C774,$A$8:$A$1007,"&gt;="&amp;$A774-27,$A$8:$A$1007,"&lt;="&amp;$A774)/4)</f>
        <v>0</v>
      </c>
      <c r="J774" s="67" t="n">
        <f aca="false">IF(OR($A774="",$I774=0),0,$H774/$I774)</f>
        <v>0</v>
      </c>
      <c r="K774" s="33" t="n">
        <f aca="false">IF($A774="",0,$A774-SUMPRODUCT(MIN(($C$8:$C$1007=$C774)*$A$8:$A$1007+($C$8:$C$1007&lt;&gt;$C774)*100000))+1)</f>
        <v>0</v>
      </c>
      <c r="L774" s="19" t="str">
        <f aca="false">IF($A774="","",IF($J774=0,"Sem registro anterior",IF($K774&lt;21,"Histórico insuficiente",IF($J774&lt;0.8,"Subcarga",IF($J774&lt;=1.3,"Zona ideal",IF($J774&lt;=1.5,"Atenção","Risco elevado"))))))</f>
        <v/>
      </c>
      <c r="M774" s="20"/>
    </row>
    <row r="775" customFormat="false" ht="15" hidden="false" customHeight="false" outlineLevel="0" collapsed="false">
      <c r="A775" s="21"/>
      <c r="B775" s="33" t="n">
        <f aca="false">IF($A775="",0,INT(($A775-Macrociclo!$C$11)/7)+1)</f>
        <v>0</v>
      </c>
      <c r="C775" s="20"/>
      <c r="D775" s="20"/>
      <c r="E775" s="22"/>
      <c r="F775" s="22"/>
      <c r="G775" s="48" t="n">
        <f aca="false">IF(OR($E775="",$F775=""),0,$E775*$F775)</f>
        <v>0</v>
      </c>
      <c r="H775" s="48" t="n">
        <f aca="false">IF($A775="",0,SUMIFS($G$8:$G$1007,$C$8:$C$1007,$C775,$A$8:$A$1007,"&gt;="&amp;$A775-6,$A$8:$A$1007,"&lt;="&amp;$A775))</f>
        <v>0</v>
      </c>
      <c r="I775" s="48" t="n">
        <f aca="false">IF($A775="",0,SUMIFS($G$8:$G$1007,$C$8:$C$1007,$C775,$A$8:$A$1007,"&gt;="&amp;$A775-27,$A$8:$A$1007,"&lt;="&amp;$A775)/4)</f>
        <v>0</v>
      </c>
      <c r="J775" s="67" t="n">
        <f aca="false">IF(OR($A775="",$I775=0),0,$H775/$I775)</f>
        <v>0</v>
      </c>
      <c r="K775" s="33" t="n">
        <f aca="false">IF($A775="",0,$A775-SUMPRODUCT(MIN(($C$8:$C$1007=$C775)*$A$8:$A$1007+($C$8:$C$1007&lt;&gt;$C775)*100000))+1)</f>
        <v>0</v>
      </c>
      <c r="L775" s="19" t="str">
        <f aca="false">IF($A775="","",IF($J775=0,"Sem registro anterior",IF($K775&lt;21,"Histórico insuficiente",IF($J775&lt;0.8,"Subcarga",IF($J775&lt;=1.3,"Zona ideal",IF($J775&lt;=1.5,"Atenção","Risco elevado"))))))</f>
        <v/>
      </c>
      <c r="M775" s="20"/>
    </row>
    <row r="776" customFormat="false" ht="15" hidden="false" customHeight="false" outlineLevel="0" collapsed="false">
      <c r="A776" s="21"/>
      <c r="B776" s="33" t="n">
        <f aca="false">IF($A776="",0,INT(($A776-Macrociclo!$C$11)/7)+1)</f>
        <v>0</v>
      </c>
      <c r="C776" s="20"/>
      <c r="D776" s="20"/>
      <c r="E776" s="22"/>
      <c r="F776" s="22"/>
      <c r="G776" s="48" t="n">
        <f aca="false">IF(OR($E776="",$F776=""),0,$E776*$F776)</f>
        <v>0</v>
      </c>
      <c r="H776" s="48" t="n">
        <f aca="false">IF($A776="",0,SUMIFS($G$8:$G$1007,$C$8:$C$1007,$C776,$A$8:$A$1007,"&gt;="&amp;$A776-6,$A$8:$A$1007,"&lt;="&amp;$A776))</f>
        <v>0</v>
      </c>
      <c r="I776" s="48" t="n">
        <f aca="false">IF($A776="",0,SUMIFS($G$8:$G$1007,$C$8:$C$1007,$C776,$A$8:$A$1007,"&gt;="&amp;$A776-27,$A$8:$A$1007,"&lt;="&amp;$A776)/4)</f>
        <v>0</v>
      </c>
      <c r="J776" s="67" t="n">
        <f aca="false">IF(OR($A776="",$I776=0),0,$H776/$I776)</f>
        <v>0</v>
      </c>
      <c r="K776" s="33" t="n">
        <f aca="false">IF($A776="",0,$A776-SUMPRODUCT(MIN(($C$8:$C$1007=$C776)*$A$8:$A$1007+($C$8:$C$1007&lt;&gt;$C776)*100000))+1)</f>
        <v>0</v>
      </c>
      <c r="L776" s="19" t="str">
        <f aca="false">IF($A776="","",IF($J776=0,"Sem registro anterior",IF($K776&lt;21,"Histórico insuficiente",IF($J776&lt;0.8,"Subcarga",IF($J776&lt;=1.3,"Zona ideal",IF($J776&lt;=1.5,"Atenção","Risco elevado"))))))</f>
        <v/>
      </c>
      <c r="M776" s="20"/>
    </row>
    <row r="777" customFormat="false" ht="15" hidden="false" customHeight="false" outlineLevel="0" collapsed="false">
      <c r="A777" s="21"/>
      <c r="B777" s="33" t="n">
        <f aca="false">IF($A777="",0,INT(($A777-Macrociclo!$C$11)/7)+1)</f>
        <v>0</v>
      </c>
      <c r="C777" s="20"/>
      <c r="D777" s="20"/>
      <c r="E777" s="22"/>
      <c r="F777" s="22"/>
      <c r="G777" s="48" t="n">
        <f aca="false">IF(OR($E777="",$F777=""),0,$E777*$F777)</f>
        <v>0</v>
      </c>
      <c r="H777" s="48" t="n">
        <f aca="false">IF($A777="",0,SUMIFS($G$8:$G$1007,$C$8:$C$1007,$C777,$A$8:$A$1007,"&gt;="&amp;$A777-6,$A$8:$A$1007,"&lt;="&amp;$A777))</f>
        <v>0</v>
      </c>
      <c r="I777" s="48" t="n">
        <f aca="false">IF($A777="",0,SUMIFS($G$8:$G$1007,$C$8:$C$1007,$C777,$A$8:$A$1007,"&gt;="&amp;$A777-27,$A$8:$A$1007,"&lt;="&amp;$A777)/4)</f>
        <v>0</v>
      </c>
      <c r="J777" s="67" t="n">
        <f aca="false">IF(OR($A777="",$I777=0),0,$H777/$I777)</f>
        <v>0</v>
      </c>
      <c r="K777" s="33" t="n">
        <f aca="false">IF($A777="",0,$A777-SUMPRODUCT(MIN(($C$8:$C$1007=$C777)*$A$8:$A$1007+($C$8:$C$1007&lt;&gt;$C777)*100000))+1)</f>
        <v>0</v>
      </c>
      <c r="L777" s="19" t="str">
        <f aca="false">IF($A777="","",IF($J777=0,"Sem registro anterior",IF($K777&lt;21,"Histórico insuficiente",IF($J777&lt;0.8,"Subcarga",IF($J777&lt;=1.3,"Zona ideal",IF($J777&lt;=1.5,"Atenção","Risco elevado"))))))</f>
        <v/>
      </c>
      <c r="M777" s="20"/>
    </row>
    <row r="778" customFormat="false" ht="15" hidden="false" customHeight="false" outlineLevel="0" collapsed="false">
      <c r="A778" s="21"/>
      <c r="B778" s="33" t="n">
        <f aca="false">IF($A778="",0,INT(($A778-Macrociclo!$C$11)/7)+1)</f>
        <v>0</v>
      </c>
      <c r="C778" s="20"/>
      <c r="D778" s="20"/>
      <c r="E778" s="22"/>
      <c r="F778" s="22"/>
      <c r="G778" s="48" t="n">
        <f aca="false">IF(OR($E778="",$F778=""),0,$E778*$F778)</f>
        <v>0</v>
      </c>
      <c r="H778" s="48" t="n">
        <f aca="false">IF($A778="",0,SUMIFS($G$8:$G$1007,$C$8:$C$1007,$C778,$A$8:$A$1007,"&gt;="&amp;$A778-6,$A$8:$A$1007,"&lt;="&amp;$A778))</f>
        <v>0</v>
      </c>
      <c r="I778" s="48" t="n">
        <f aca="false">IF($A778="",0,SUMIFS($G$8:$G$1007,$C$8:$C$1007,$C778,$A$8:$A$1007,"&gt;="&amp;$A778-27,$A$8:$A$1007,"&lt;="&amp;$A778)/4)</f>
        <v>0</v>
      </c>
      <c r="J778" s="67" t="n">
        <f aca="false">IF(OR($A778="",$I778=0),0,$H778/$I778)</f>
        <v>0</v>
      </c>
      <c r="K778" s="33" t="n">
        <f aca="false">IF($A778="",0,$A778-SUMPRODUCT(MIN(($C$8:$C$1007=$C778)*$A$8:$A$1007+($C$8:$C$1007&lt;&gt;$C778)*100000))+1)</f>
        <v>0</v>
      </c>
      <c r="L778" s="19" t="str">
        <f aca="false">IF($A778="","",IF($J778=0,"Sem registro anterior",IF($K778&lt;21,"Histórico insuficiente",IF($J778&lt;0.8,"Subcarga",IF($J778&lt;=1.3,"Zona ideal",IF($J778&lt;=1.5,"Atenção","Risco elevado"))))))</f>
        <v/>
      </c>
      <c r="M778" s="20"/>
    </row>
    <row r="779" customFormat="false" ht="15" hidden="false" customHeight="false" outlineLevel="0" collapsed="false">
      <c r="A779" s="21"/>
      <c r="B779" s="33" t="n">
        <f aca="false">IF($A779="",0,INT(($A779-Macrociclo!$C$11)/7)+1)</f>
        <v>0</v>
      </c>
      <c r="C779" s="20"/>
      <c r="D779" s="20"/>
      <c r="E779" s="22"/>
      <c r="F779" s="22"/>
      <c r="G779" s="48" t="n">
        <f aca="false">IF(OR($E779="",$F779=""),0,$E779*$F779)</f>
        <v>0</v>
      </c>
      <c r="H779" s="48" t="n">
        <f aca="false">IF($A779="",0,SUMIFS($G$8:$G$1007,$C$8:$C$1007,$C779,$A$8:$A$1007,"&gt;="&amp;$A779-6,$A$8:$A$1007,"&lt;="&amp;$A779))</f>
        <v>0</v>
      </c>
      <c r="I779" s="48" t="n">
        <f aca="false">IF($A779="",0,SUMIFS($G$8:$G$1007,$C$8:$C$1007,$C779,$A$8:$A$1007,"&gt;="&amp;$A779-27,$A$8:$A$1007,"&lt;="&amp;$A779)/4)</f>
        <v>0</v>
      </c>
      <c r="J779" s="67" t="n">
        <f aca="false">IF(OR($A779="",$I779=0),0,$H779/$I779)</f>
        <v>0</v>
      </c>
      <c r="K779" s="33" t="n">
        <f aca="false">IF($A779="",0,$A779-SUMPRODUCT(MIN(($C$8:$C$1007=$C779)*$A$8:$A$1007+($C$8:$C$1007&lt;&gt;$C779)*100000))+1)</f>
        <v>0</v>
      </c>
      <c r="L779" s="19" t="str">
        <f aca="false">IF($A779="","",IF($J779=0,"Sem registro anterior",IF($K779&lt;21,"Histórico insuficiente",IF($J779&lt;0.8,"Subcarga",IF($J779&lt;=1.3,"Zona ideal",IF($J779&lt;=1.5,"Atenção","Risco elevado"))))))</f>
        <v/>
      </c>
      <c r="M779" s="20"/>
    </row>
    <row r="780" customFormat="false" ht="15" hidden="false" customHeight="false" outlineLevel="0" collapsed="false">
      <c r="A780" s="21"/>
      <c r="B780" s="33" t="n">
        <f aca="false">IF($A780="",0,INT(($A780-Macrociclo!$C$11)/7)+1)</f>
        <v>0</v>
      </c>
      <c r="C780" s="20"/>
      <c r="D780" s="20"/>
      <c r="E780" s="22"/>
      <c r="F780" s="22"/>
      <c r="G780" s="48" t="n">
        <f aca="false">IF(OR($E780="",$F780=""),0,$E780*$F780)</f>
        <v>0</v>
      </c>
      <c r="H780" s="48" t="n">
        <f aca="false">IF($A780="",0,SUMIFS($G$8:$G$1007,$C$8:$C$1007,$C780,$A$8:$A$1007,"&gt;="&amp;$A780-6,$A$8:$A$1007,"&lt;="&amp;$A780))</f>
        <v>0</v>
      </c>
      <c r="I780" s="48" t="n">
        <f aca="false">IF($A780="",0,SUMIFS($G$8:$G$1007,$C$8:$C$1007,$C780,$A$8:$A$1007,"&gt;="&amp;$A780-27,$A$8:$A$1007,"&lt;="&amp;$A780)/4)</f>
        <v>0</v>
      </c>
      <c r="J780" s="67" t="n">
        <f aca="false">IF(OR($A780="",$I780=0),0,$H780/$I780)</f>
        <v>0</v>
      </c>
      <c r="K780" s="33" t="n">
        <f aca="false">IF($A780="",0,$A780-SUMPRODUCT(MIN(($C$8:$C$1007=$C780)*$A$8:$A$1007+($C$8:$C$1007&lt;&gt;$C780)*100000))+1)</f>
        <v>0</v>
      </c>
      <c r="L780" s="19" t="str">
        <f aca="false">IF($A780="","",IF($J780=0,"Sem registro anterior",IF($K780&lt;21,"Histórico insuficiente",IF($J780&lt;0.8,"Subcarga",IF($J780&lt;=1.3,"Zona ideal",IF($J780&lt;=1.5,"Atenção","Risco elevado"))))))</f>
        <v/>
      </c>
      <c r="M780" s="20"/>
    </row>
    <row r="781" customFormat="false" ht="15" hidden="false" customHeight="false" outlineLevel="0" collapsed="false">
      <c r="A781" s="21"/>
      <c r="B781" s="33" t="n">
        <f aca="false">IF($A781="",0,INT(($A781-Macrociclo!$C$11)/7)+1)</f>
        <v>0</v>
      </c>
      <c r="C781" s="20"/>
      <c r="D781" s="20"/>
      <c r="E781" s="22"/>
      <c r="F781" s="22"/>
      <c r="G781" s="48" t="n">
        <f aca="false">IF(OR($E781="",$F781=""),0,$E781*$F781)</f>
        <v>0</v>
      </c>
      <c r="H781" s="48" t="n">
        <f aca="false">IF($A781="",0,SUMIFS($G$8:$G$1007,$C$8:$C$1007,$C781,$A$8:$A$1007,"&gt;="&amp;$A781-6,$A$8:$A$1007,"&lt;="&amp;$A781))</f>
        <v>0</v>
      </c>
      <c r="I781" s="48" t="n">
        <f aca="false">IF($A781="",0,SUMIFS($G$8:$G$1007,$C$8:$C$1007,$C781,$A$8:$A$1007,"&gt;="&amp;$A781-27,$A$8:$A$1007,"&lt;="&amp;$A781)/4)</f>
        <v>0</v>
      </c>
      <c r="J781" s="67" t="n">
        <f aca="false">IF(OR($A781="",$I781=0),0,$H781/$I781)</f>
        <v>0</v>
      </c>
      <c r="K781" s="33" t="n">
        <f aca="false">IF($A781="",0,$A781-SUMPRODUCT(MIN(($C$8:$C$1007=$C781)*$A$8:$A$1007+($C$8:$C$1007&lt;&gt;$C781)*100000))+1)</f>
        <v>0</v>
      </c>
      <c r="L781" s="19" t="str">
        <f aca="false">IF($A781="","",IF($J781=0,"Sem registro anterior",IF($K781&lt;21,"Histórico insuficiente",IF($J781&lt;0.8,"Subcarga",IF($J781&lt;=1.3,"Zona ideal",IF($J781&lt;=1.5,"Atenção","Risco elevado"))))))</f>
        <v/>
      </c>
      <c r="M781" s="20"/>
    </row>
    <row r="782" customFormat="false" ht="15" hidden="false" customHeight="false" outlineLevel="0" collapsed="false">
      <c r="A782" s="21"/>
      <c r="B782" s="33" t="n">
        <f aca="false">IF($A782="",0,INT(($A782-Macrociclo!$C$11)/7)+1)</f>
        <v>0</v>
      </c>
      <c r="C782" s="20"/>
      <c r="D782" s="20"/>
      <c r="E782" s="22"/>
      <c r="F782" s="22"/>
      <c r="G782" s="48" t="n">
        <f aca="false">IF(OR($E782="",$F782=""),0,$E782*$F782)</f>
        <v>0</v>
      </c>
      <c r="H782" s="48" t="n">
        <f aca="false">IF($A782="",0,SUMIFS($G$8:$G$1007,$C$8:$C$1007,$C782,$A$8:$A$1007,"&gt;="&amp;$A782-6,$A$8:$A$1007,"&lt;="&amp;$A782))</f>
        <v>0</v>
      </c>
      <c r="I782" s="48" t="n">
        <f aca="false">IF($A782="",0,SUMIFS($G$8:$G$1007,$C$8:$C$1007,$C782,$A$8:$A$1007,"&gt;="&amp;$A782-27,$A$8:$A$1007,"&lt;="&amp;$A782)/4)</f>
        <v>0</v>
      </c>
      <c r="J782" s="67" t="n">
        <f aca="false">IF(OR($A782="",$I782=0),0,$H782/$I782)</f>
        <v>0</v>
      </c>
      <c r="K782" s="33" t="n">
        <f aca="false">IF($A782="",0,$A782-SUMPRODUCT(MIN(($C$8:$C$1007=$C782)*$A$8:$A$1007+($C$8:$C$1007&lt;&gt;$C782)*100000))+1)</f>
        <v>0</v>
      </c>
      <c r="L782" s="19" t="str">
        <f aca="false">IF($A782="","",IF($J782=0,"Sem registro anterior",IF($K782&lt;21,"Histórico insuficiente",IF($J782&lt;0.8,"Subcarga",IF($J782&lt;=1.3,"Zona ideal",IF($J782&lt;=1.5,"Atenção","Risco elevado"))))))</f>
        <v/>
      </c>
      <c r="M782" s="20"/>
    </row>
    <row r="783" customFormat="false" ht="15" hidden="false" customHeight="false" outlineLevel="0" collapsed="false">
      <c r="A783" s="21"/>
      <c r="B783" s="33" t="n">
        <f aca="false">IF($A783="",0,INT(($A783-Macrociclo!$C$11)/7)+1)</f>
        <v>0</v>
      </c>
      <c r="C783" s="20"/>
      <c r="D783" s="20"/>
      <c r="E783" s="22"/>
      <c r="F783" s="22"/>
      <c r="G783" s="48" t="n">
        <f aca="false">IF(OR($E783="",$F783=""),0,$E783*$F783)</f>
        <v>0</v>
      </c>
      <c r="H783" s="48" t="n">
        <f aca="false">IF($A783="",0,SUMIFS($G$8:$G$1007,$C$8:$C$1007,$C783,$A$8:$A$1007,"&gt;="&amp;$A783-6,$A$8:$A$1007,"&lt;="&amp;$A783))</f>
        <v>0</v>
      </c>
      <c r="I783" s="48" t="n">
        <f aca="false">IF($A783="",0,SUMIFS($G$8:$G$1007,$C$8:$C$1007,$C783,$A$8:$A$1007,"&gt;="&amp;$A783-27,$A$8:$A$1007,"&lt;="&amp;$A783)/4)</f>
        <v>0</v>
      </c>
      <c r="J783" s="67" t="n">
        <f aca="false">IF(OR($A783="",$I783=0),0,$H783/$I783)</f>
        <v>0</v>
      </c>
      <c r="K783" s="33" t="n">
        <f aca="false">IF($A783="",0,$A783-SUMPRODUCT(MIN(($C$8:$C$1007=$C783)*$A$8:$A$1007+($C$8:$C$1007&lt;&gt;$C783)*100000))+1)</f>
        <v>0</v>
      </c>
      <c r="L783" s="19" t="str">
        <f aca="false">IF($A783="","",IF($J783=0,"Sem registro anterior",IF($K783&lt;21,"Histórico insuficiente",IF($J783&lt;0.8,"Subcarga",IF($J783&lt;=1.3,"Zona ideal",IF($J783&lt;=1.5,"Atenção","Risco elevado"))))))</f>
        <v/>
      </c>
      <c r="M783" s="20"/>
    </row>
    <row r="784" customFormat="false" ht="15" hidden="false" customHeight="false" outlineLevel="0" collapsed="false">
      <c r="A784" s="21"/>
      <c r="B784" s="33" t="n">
        <f aca="false">IF($A784="",0,INT(($A784-Macrociclo!$C$11)/7)+1)</f>
        <v>0</v>
      </c>
      <c r="C784" s="20"/>
      <c r="D784" s="20"/>
      <c r="E784" s="22"/>
      <c r="F784" s="22"/>
      <c r="G784" s="48" t="n">
        <f aca="false">IF(OR($E784="",$F784=""),0,$E784*$F784)</f>
        <v>0</v>
      </c>
      <c r="H784" s="48" t="n">
        <f aca="false">IF($A784="",0,SUMIFS($G$8:$G$1007,$C$8:$C$1007,$C784,$A$8:$A$1007,"&gt;="&amp;$A784-6,$A$8:$A$1007,"&lt;="&amp;$A784))</f>
        <v>0</v>
      </c>
      <c r="I784" s="48" t="n">
        <f aca="false">IF($A784="",0,SUMIFS($G$8:$G$1007,$C$8:$C$1007,$C784,$A$8:$A$1007,"&gt;="&amp;$A784-27,$A$8:$A$1007,"&lt;="&amp;$A784)/4)</f>
        <v>0</v>
      </c>
      <c r="J784" s="67" t="n">
        <f aca="false">IF(OR($A784="",$I784=0),0,$H784/$I784)</f>
        <v>0</v>
      </c>
      <c r="K784" s="33" t="n">
        <f aca="false">IF($A784="",0,$A784-SUMPRODUCT(MIN(($C$8:$C$1007=$C784)*$A$8:$A$1007+($C$8:$C$1007&lt;&gt;$C784)*100000))+1)</f>
        <v>0</v>
      </c>
      <c r="L784" s="19" t="str">
        <f aca="false">IF($A784="","",IF($J784=0,"Sem registro anterior",IF($K784&lt;21,"Histórico insuficiente",IF($J784&lt;0.8,"Subcarga",IF($J784&lt;=1.3,"Zona ideal",IF($J784&lt;=1.5,"Atenção","Risco elevado"))))))</f>
        <v/>
      </c>
      <c r="M784" s="20"/>
    </row>
    <row r="785" customFormat="false" ht="15" hidden="false" customHeight="false" outlineLevel="0" collapsed="false">
      <c r="A785" s="21"/>
      <c r="B785" s="33" t="n">
        <f aca="false">IF($A785="",0,INT(($A785-Macrociclo!$C$11)/7)+1)</f>
        <v>0</v>
      </c>
      <c r="C785" s="20"/>
      <c r="D785" s="20"/>
      <c r="E785" s="22"/>
      <c r="F785" s="22"/>
      <c r="G785" s="48" t="n">
        <f aca="false">IF(OR($E785="",$F785=""),0,$E785*$F785)</f>
        <v>0</v>
      </c>
      <c r="H785" s="48" t="n">
        <f aca="false">IF($A785="",0,SUMIFS($G$8:$G$1007,$C$8:$C$1007,$C785,$A$8:$A$1007,"&gt;="&amp;$A785-6,$A$8:$A$1007,"&lt;="&amp;$A785))</f>
        <v>0</v>
      </c>
      <c r="I785" s="48" t="n">
        <f aca="false">IF($A785="",0,SUMIFS($G$8:$G$1007,$C$8:$C$1007,$C785,$A$8:$A$1007,"&gt;="&amp;$A785-27,$A$8:$A$1007,"&lt;="&amp;$A785)/4)</f>
        <v>0</v>
      </c>
      <c r="J785" s="67" t="n">
        <f aca="false">IF(OR($A785="",$I785=0),0,$H785/$I785)</f>
        <v>0</v>
      </c>
      <c r="K785" s="33" t="n">
        <f aca="false">IF($A785="",0,$A785-SUMPRODUCT(MIN(($C$8:$C$1007=$C785)*$A$8:$A$1007+($C$8:$C$1007&lt;&gt;$C785)*100000))+1)</f>
        <v>0</v>
      </c>
      <c r="L785" s="19" t="str">
        <f aca="false">IF($A785="","",IF($J785=0,"Sem registro anterior",IF($K785&lt;21,"Histórico insuficiente",IF($J785&lt;0.8,"Subcarga",IF($J785&lt;=1.3,"Zona ideal",IF($J785&lt;=1.5,"Atenção","Risco elevado"))))))</f>
        <v/>
      </c>
      <c r="M785" s="20"/>
    </row>
    <row r="786" customFormat="false" ht="15" hidden="false" customHeight="false" outlineLevel="0" collapsed="false">
      <c r="A786" s="21"/>
      <c r="B786" s="33" t="n">
        <f aca="false">IF($A786="",0,INT(($A786-Macrociclo!$C$11)/7)+1)</f>
        <v>0</v>
      </c>
      <c r="C786" s="20"/>
      <c r="D786" s="20"/>
      <c r="E786" s="22"/>
      <c r="F786" s="22"/>
      <c r="G786" s="48" t="n">
        <f aca="false">IF(OR($E786="",$F786=""),0,$E786*$F786)</f>
        <v>0</v>
      </c>
      <c r="H786" s="48" t="n">
        <f aca="false">IF($A786="",0,SUMIFS($G$8:$G$1007,$C$8:$C$1007,$C786,$A$8:$A$1007,"&gt;="&amp;$A786-6,$A$8:$A$1007,"&lt;="&amp;$A786))</f>
        <v>0</v>
      </c>
      <c r="I786" s="48" t="n">
        <f aca="false">IF($A786="",0,SUMIFS($G$8:$G$1007,$C$8:$C$1007,$C786,$A$8:$A$1007,"&gt;="&amp;$A786-27,$A$8:$A$1007,"&lt;="&amp;$A786)/4)</f>
        <v>0</v>
      </c>
      <c r="J786" s="67" t="n">
        <f aca="false">IF(OR($A786="",$I786=0),0,$H786/$I786)</f>
        <v>0</v>
      </c>
      <c r="K786" s="33" t="n">
        <f aca="false">IF($A786="",0,$A786-SUMPRODUCT(MIN(($C$8:$C$1007=$C786)*$A$8:$A$1007+($C$8:$C$1007&lt;&gt;$C786)*100000))+1)</f>
        <v>0</v>
      </c>
      <c r="L786" s="19" t="str">
        <f aca="false">IF($A786="","",IF($J786=0,"Sem registro anterior",IF($K786&lt;21,"Histórico insuficiente",IF($J786&lt;0.8,"Subcarga",IF($J786&lt;=1.3,"Zona ideal",IF($J786&lt;=1.5,"Atenção","Risco elevado"))))))</f>
        <v/>
      </c>
      <c r="M786" s="20"/>
    </row>
    <row r="787" customFormat="false" ht="15" hidden="false" customHeight="false" outlineLevel="0" collapsed="false">
      <c r="A787" s="21"/>
      <c r="B787" s="33" t="n">
        <f aca="false">IF($A787="",0,INT(($A787-Macrociclo!$C$11)/7)+1)</f>
        <v>0</v>
      </c>
      <c r="C787" s="20"/>
      <c r="D787" s="20"/>
      <c r="E787" s="22"/>
      <c r="F787" s="22"/>
      <c r="G787" s="48" t="n">
        <f aca="false">IF(OR($E787="",$F787=""),0,$E787*$F787)</f>
        <v>0</v>
      </c>
      <c r="H787" s="48" t="n">
        <f aca="false">IF($A787="",0,SUMIFS($G$8:$G$1007,$C$8:$C$1007,$C787,$A$8:$A$1007,"&gt;="&amp;$A787-6,$A$8:$A$1007,"&lt;="&amp;$A787))</f>
        <v>0</v>
      </c>
      <c r="I787" s="48" t="n">
        <f aca="false">IF($A787="",0,SUMIFS($G$8:$G$1007,$C$8:$C$1007,$C787,$A$8:$A$1007,"&gt;="&amp;$A787-27,$A$8:$A$1007,"&lt;="&amp;$A787)/4)</f>
        <v>0</v>
      </c>
      <c r="J787" s="67" t="n">
        <f aca="false">IF(OR($A787="",$I787=0),0,$H787/$I787)</f>
        <v>0</v>
      </c>
      <c r="K787" s="33" t="n">
        <f aca="false">IF($A787="",0,$A787-SUMPRODUCT(MIN(($C$8:$C$1007=$C787)*$A$8:$A$1007+($C$8:$C$1007&lt;&gt;$C787)*100000))+1)</f>
        <v>0</v>
      </c>
      <c r="L787" s="19" t="str">
        <f aca="false">IF($A787="","",IF($J787=0,"Sem registro anterior",IF($K787&lt;21,"Histórico insuficiente",IF($J787&lt;0.8,"Subcarga",IF($J787&lt;=1.3,"Zona ideal",IF($J787&lt;=1.5,"Atenção","Risco elevado"))))))</f>
        <v/>
      </c>
      <c r="M787" s="20"/>
    </row>
    <row r="788" customFormat="false" ht="15" hidden="false" customHeight="false" outlineLevel="0" collapsed="false">
      <c r="A788" s="21"/>
      <c r="B788" s="33" t="n">
        <f aca="false">IF($A788="",0,INT(($A788-Macrociclo!$C$11)/7)+1)</f>
        <v>0</v>
      </c>
      <c r="C788" s="20"/>
      <c r="D788" s="20"/>
      <c r="E788" s="22"/>
      <c r="F788" s="22"/>
      <c r="G788" s="48" t="n">
        <f aca="false">IF(OR($E788="",$F788=""),0,$E788*$F788)</f>
        <v>0</v>
      </c>
      <c r="H788" s="48" t="n">
        <f aca="false">IF($A788="",0,SUMIFS($G$8:$G$1007,$C$8:$C$1007,$C788,$A$8:$A$1007,"&gt;="&amp;$A788-6,$A$8:$A$1007,"&lt;="&amp;$A788))</f>
        <v>0</v>
      </c>
      <c r="I788" s="48" t="n">
        <f aca="false">IF($A788="",0,SUMIFS($G$8:$G$1007,$C$8:$C$1007,$C788,$A$8:$A$1007,"&gt;="&amp;$A788-27,$A$8:$A$1007,"&lt;="&amp;$A788)/4)</f>
        <v>0</v>
      </c>
      <c r="J788" s="67" t="n">
        <f aca="false">IF(OR($A788="",$I788=0),0,$H788/$I788)</f>
        <v>0</v>
      </c>
      <c r="K788" s="33" t="n">
        <f aca="false">IF($A788="",0,$A788-SUMPRODUCT(MIN(($C$8:$C$1007=$C788)*$A$8:$A$1007+($C$8:$C$1007&lt;&gt;$C788)*100000))+1)</f>
        <v>0</v>
      </c>
      <c r="L788" s="19" t="str">
        <f aca="false">IF($A788="","",IF($J788=0,"Sem registro anterior",IF($K788&lt;21,"Histórico insuficiente",IF($J788&lt;0.8,"Subcarga",IF($J788&lt;=1.3,"Zona ideal",IF($J788&lt;=1.5,"Atenção","Risco elevado"))))))</f>
        <v/>
      </c>
      <c r="M788" s="20"/>
    </row>
    <row r="789" customFormat="false" ht="15" hidden="false" customHeight="false" outlineLevel="0" collapsed="false">
      <c r="A789" s="21"/>
      <c r="B789" s="33" t="n">
        <f aca="false">IF($A789="",0,INT(($A789-Macrociclo!$C$11)/7)+1)</f>
        <v>0</v>
      </c>
      <c r="C789" s="20"/>
      <c r="D789" s="20"/>
      <c r="E789" s="22"/>
      <c r="F789" s="22"/>
      <c r="G789" s="48" t="n">
        <f aca="false">IF(OR($E789="",$F789=""),0,$E789*$F789)</f>
        <v>0</v>
      </c>
      <c r="H789" s="48" t="n">
        <f aca="false">IF($A789="",0,SUMIFS($G$8:$G$1007,$C$8:$C$1007,$C789,$A$8:$A$1007,"&gt;="&amp;$A789-6,$A$8:$A$1007,"&lt;="&amp;$A789))</f>
        <v>0</v>
      </c>
      <c r="I789" s="48" t="n">
        <f aca="false">IF($A789="",0,SUMIFS($G$8:$G$1007,$C$8:$C$1007,$C789,$A$8:$A$1007,"&gt;="&amp;$A789-27,$A$8:$A$1007,"&lt;="&amp;$A789)/4)</f>
        <v>0</v>
      </c>
      <c r="J789" s="67" t="n">
        <f aca="false">IF(OR($A789="",$I789=0),0,$H789/$I789)</f>
        <v>0</v>
      </c>
      <c r="K789" s="33" t="n">
        <f aca="false">IF($A789="",0,$A789-SUMPRODUCT(MIN(($C$8:$C$1007=$C789)*$A$8:$A$1007+($C$8:$C$1007&lt;&gt;$C789)*100000))+1)</f>
        <v>0</v>
      </c>
      <c r="L789" s="19" t="str">
        <f aca="false">IF($A789="","",IF($J789=0,"Sem registro anterior",IF($K789&lt;21,"Histórico insuficiente",IF($J789&lt;0.8,"Subcarga",IF($J789&lt;=1.3,"Zona ideal",IF($J789&lt;=1.5,"Atenção","Risco elevado"))))))</f>
        <v/>
      </c>
      <c r="M789" s="20"/>
    </row>
    <row r="790" customFormat="false" ht="15" hidden="false" customHeight="false" outlineLevel="0" collapsed="false">
      <c r="A790" s="21"/>
      <c r="B790" s="33" t="n">
        <f aca="false">IF($A790="",0,INT(($A790-Macrociclo!$C$11)/7)+1)</f>
        <v>0</v>
      </c>
      <c r="C790" s="20"/>
      <c r="D790" s="20"/>
      <c r="E790" s="22"/>
      <c r="F790" s="22"/>
      <c r="G790" s="48" t="n">
        <f aca="false">IF(OR($E790="",$F790=""),0,$E790*$F790)</f>
        <v>0</v>
      </c>
      <c r="H790" s="48" t="n">
        <f aca="false">IF($A790="",0,SUMIFS($G$8:$G$1007,$C$8:$C$1007,$C790,$A$8:$A$1007,"&gt;="&amp;$A790-6,$A$8:$A$1007,"&lt;="&amp;$A790))</f>
        <v>0</v>
      </c>
      <c r="I790" s="48" t="n">
        <f aca="false">IF($A790="",0,SUMIFS($G$8:$G$1007,$C$8:$C$1007,$C790,$A$8:$A$1007,"&gt;="&amp;$A790-27,$A$8:$A$1007,"&lt;="&amp;$A790)/4)</f>
        <v>0</v>
      </c>
      <c r="J790" s="67" t="n">
        <f aca="false">IF(OR($A790="",$I790=0),0,$H790/$I790)</f>
        <v>0</v>
      </c>
      <c r="K790" s="33" t="n">
        <f aca="false">IF($A790="",0,$A790-SUMPRODUCT(MIN(($C$8:$C$1007=$C790)*$A$8:$A$1007+($C$8:$C$1007&lt;&gt;$C790)*100000))+1)</f>
        <v>0</v>
      </c>
      <c r="L790" s="19" t="str">
        <f aca="false">IF($A790="","",IF($J790=0,"Sem registro anterior",IF($K790&lt;21,"Histórico insuficiente",IF($J790&lt;0.8,"Subcarga",IF($J790&lt;=1.3,"Zona ideal",IF($J790&lt;=1.5,"Atenção","Risco elevado"))))))</f>
        <v/>
      </c>
      <c r="M790" s="20"/>
    </row>
    <row r="791" customFormat="false" ht="15" hidden="false" customHeight="false" outlineLevel="0" collapsed="false">
      <c r="A791" s="21"/>
      <c r="B791" s="33" t="n">
        <f aca="false">IF($A791="",0,INT(($A791-Macrociclo!$C$11)/7)+1)</f>
        <v>0</v>
      </c>
      <c r="C791" s="20"/>
      <c r="D791" s="20"/>
      <c r="E791" s="22"/>
      <c r="F791" s="22"/>
      <c r="G791" s="48" t="n">
        <f aca="false">IF(OR($E791="",$F791=""),0,$E791*$F791)</f>
        <v>0</v>
      </c>
      <c r="H791" s="48" t="n">
        <f aca="false">IF($A791="",0,SUMIFS($G$8:$G$1007,$C$8:$C$1007,$C791,$A$8:$A$1007,"&gt;="&amp;$A791-6,$A$8:$A$1007,"&lt;="&amp;$A791))</f>
        <v>0</v>
      </c>
      <c r="I791" s="48" t="n">
        <f aca="false">IF($A791="",0,SUMIFS($G$8:$G$1007,$C$8:$C$1007,$C791,$A$8:$A$1007,"&gt;="&amp;$A791-27,$A$8:$A$1007,"&lt;="&amp;$A791)/4)</f>
        <v>0</v>
      </c>
      <c r="J791" s="67" t="n">
        <f aca="false">IF(OR($A791="",$I791=0),0,$H791/$I791)</f>
        <v>0</v>
      </c>
      <c r="K791" s="33" t="n">
        <f aca="false">IF($A791="",0,$A791-SUMPRODUCT(MIN(($C$8:$C$1007=$C791)*$A$8:$A$1007+($C$8:$C$1007&lt;&gt;$C791)*100000))+1)</f>
        <v>0</v>
      </c>
      <c r="L791" s="19" t="str">
        <f aca="false">IF($A791="","",IF($J791=0,"Sem registro anterior",IF($K791&lt;21,"Histórico insuficiente",IF($J791&lt;0.8,"Subcarga",IF($J791&lt;=1.3,"Zona ideal",IF($J791&lt;=1.5,"Atenção","Risco elevado"))))))</f>
        <v/>
      </c>
      <c r="M791" s="20"/>
    </row>
    <row r="792" customFormat="false" ht="15" hidden="false" customHeight="false" outlineLevel="0" collapsed="false">
      <c r="A792" s="21"/>
      <c r="B792" s="33" t="n">
        <f aca="false">IF($A792="",0,INT(($A792-Macrociclo!$C$11)/7)+1)</f>
        <v>0</v>
      </c>
      <c r="C792" s="20"/>
      <c r="D792" s="20"/>
      <c r="E792" s="22"/>
      <c r="F792" s="22"/>
      <c r="G792" s="48" t="n">
        <f aca="false">IF(OR($E792="",$F792=""),0,$E792*$F792)</f>
        <v>0</v>
      </c>
      <c r="H792" s="48" t="n">
        <f aca="false">IF($A792="",0,SUMIFS($G$8:$G$1007,$C$8:$C$1007,$C792,$A$8:$A$1007,"&gt;="&amp;$A792-6,$A$8:$A$1007,"&lt;="&amp;$A792))</f>
        <v>0</v>
      </c>
      <c r="I792" s="48" t="n">
        <f aca="false">IF($A792="",0,SUMIFS($G$8:$G$1007,$C$8:$C$1007,$C792,$A$8:$A$1007,"&gt;="&amp;$A792-27,$A$8:$A$1007,"&lt;="&amp;$A792)/4)</f>
        <v>0</v>
      </c>
      <c r="J792" s="67" t="n">
        <f aca="false">IF(OR($A792="",$I792=0),0,$H792/$I792)</f>
        <v>0</v>
      </c>
      <c r="K792" s="33" t="n">
        <f aca="false">IF($A792="",0,$A792-SUMPRODUCT(MIN(($C$8:$C$1007=$C792)*$A$8:$A$1007+($C$8:$C$1007&lt;&gt;$C792)*100000))+1)</f>
        <v>0</v>
      </c>
      <c r="L792" s="19" t="str">
        <f aca="false">IF($A792="","",IF($J792=0,"Sem registro anterior",IF($K792&lt;21,"Histórico insuficiente",IF($J792&lt;0.8,"Subcarga",IF($J792&lt;=1.3,"Zona ideal",IF($J792&lt;=1.5,"Atenção","Risco elevado"))))))</f>
        <v/>
      </c>
      <c r="M792" s="20"/>
    </row>
    <row r="793" customFormat="false" ht="15" hidden="false" customHeight="false" outlineLevel="0" collapsed="false">
      <c r="A793" s="21"/>
      <c r="B793" s="33" t="n">
        <f aca="false">IF($A793="",0,INT(($A793-Macrociclo!$C$11)/7)+1)</f>
        <v>0</v>
      </c>
      <c r="C793" s="20"/>
      <c r="D793" s="20"/>
      <c r="E793" s="22"/>
      <c r="F793" s="22"/>
      <c r="G793" s="48" t="n">
        <f aca="false">IF(OR($E793="",$F793=""),0,$E793*$F793)</f>
        <v>0</v>
      </c>
      <c r="H793" s="48" t="n">
        <f aca="false">IF($A793="",0,SUMIFS($G$8:$G$1007,$C$8:$C$1007,$C793,$A$8:$A$1007,"&gt;="&amp;$A793-6,$A$8:$A$1007,"&lt;="&amp;$A793))</f>
        <v>0</v>
      </c>
      <c r="I793" s="48" t="n">
        <f aca="false">IF($A793="",0,SUMIFS($G$8:$G$1007,$C$8:$C$1007,$C793,$A$8:$A$1007,"&gt;="&amp;$A793-27,$A$8:$A$1007,"&lt;="&amp;$A793)/4)</f>
        <v>0</v>
      </c>
      <c r="J793" s="67" t="n">
        <f aca="false">IF(OR($A793="",$I793=0),0,$H793/$I793)</f>
        <v>0</v>
      </c>
      <c r="K793" s="33" t="n">
        <f aca="false">IF($A793="",0,$A793-SUMPRODUCT(MIN(($C$8:$C$1007=$C793)*$A$8:$A$1007+($C$8:$C$1007&lt;&gt;$C793)*100000))+1)</f>
        <v>0</v>
      </c>
      <c r="L793" s="19" t="str">
        <f aca="false">IF($A793="","",IF($J793=0,"Sem registro anterior",IF($K793&lt;21,"Histórico insuficiente",IF($J793&lt;0.8,"Subcarga",IF($J793&lt;=1.3,"Zona ideal",IF($J793&lt;=1.5,"Atenção","Risco elevado"))))))</f>
        <v/>
      </c>
      <c r="M793" s="20"/>
    </row>
    <row r="794" customFormat="false" ht="15" hidden="false" customHeight="false" outlineLevel="0" collapsed="false">
      <c r="A794" s="21"/>
      <c r="B794" s="33" t="n">
        <f aca="false">IF($A794="",0,INT(($A794-Macrociclo!$C$11)/7)+1)</f>
        <v>0</v>
      </c>
      <c r="C794" s="20"/>
      <c r="D794" s="20"/>
      <c r="E794" s="22"/>
      <c r="F794" s="22"/>
      <c r="G794" s="48" t="n">
        <f aca="false">IF(OR($E794="",$F794=""),0,$E794*$F794)</f>
        <v>0</v>
      </c>
      <c r="H794" s="48" t="n">
        <f aca="false">IF($A794="",0,SUMIFS($G$8:$G$1007,$C$8:$C$1007,$C794,$A$8:$A$1007,"&gt;="&amp;$A794-6,$A$8:$A$1007,"&lt;="&amp;$A794))</f>
        <v>0</v>
      </c>
      <c r="I794" s="48" t="n">
        <f aca="false">IF($A794="",0,SUMIFS($G$8:$G$1007,$C$8:$C$1007,$C794,$A$8:$A$1007,"&gt;="&amp;$A794-27,$A$8:$A$1007,"&lt;="&amp;$A794)/4)</f>
        <v>0</v>
      </c>
      <c r="J794" s="67" t="n">
        <f aca="false">IF(OR($A794="",$I794=0),0,$H794/$I794)</f>
        <v>0</v>
      </c>
      <c r="K794" s="33" t="n">
        <f aca="false">IF($A794="",0,$A794-SUMPRODUCT(MIN(($C$8:$C$1007=$C794)*$A$8:$A$1007+($C$8:$C$1007&lt;&gt;$C794)*100000))+1)</f>
        <v>0</v>
      </c>
      <c r="L794" s="19" t="str">
        <f aca="false">IF($A794="","",IF($J794=0,"Sem registro anterior",IF($K794&lt;21,"Histórico insuficiente",IF($J794&lt;0.8,"Subcarga",IF($J794&lt;=1.3,"Zona ideal",IF($J794&lt;=1.5,"Atenção","Risco elevado"))))))</f>
        <v/>
      </c>
      <c r="M794" s="20"/>
    </row>
    <row r="795" customFormat="false" ht="15" hidden="false" customHeight="false" outlineLevel="0" collapsed="false">
      <c r="A795" s="21"/>
      <c r="B795" s="33" t="n">
        <f aca="false">IF($A795="",0,INT(($A795-Macrociclo!$C$11)/7)+1)</f>
        <v>0</v>
      </c>
      <c r="C795" s="20"/>
      <c r="D795" s="20"/>
      <c r="E795" s="22"/>
      <c r="F795" s="22"/>
      <c r="G795" s="48" t="n">
        <f aca="false">IF(OR($E795="",$F795=""),0,$E795*$F795)</f>
        <v>0</v>
      </c>
      <c r="H795" s="48" t="n">
        <f aca="false">IF($A795="",0,SUMIFS($G$8:$G$1007,$C$8:$C$1007,$C795,$A$8:$A$1007,"&gt;="&amp;$A795-6,$A$8:$A$1007,"&lt;="&amp;$A795))</f>
        <v>0</v>
      </c>
      <c r="I795" s="48" t="n">
        <f aca="false">IF($A795="",0,SUMIFS($G$8:$G$1007,$C$8:$C$1007,$C795,$A$8:$A$1007,"&gt;="&amp;$A795-27,$A$8:$A$1007,"&lt;="&amp;$A795)/4)</f>
        <v>0</v>
      </c>
      <c r="J795" s="67" t="n">
        <f aca="false">IF(OR($A795="",$I795=0),0,$H795/$I795)</f>
        <v>0</v>
      </c>
      <c r="K795" s="33" t="n">
        <f aca="false">IF($A795="",0,$A795-SUMPRODUCT(MIN(($C$8:$C$1007=$C795)*$A$8:$A$1007+($C$8:$C$1007&lt;&gt;$C795)*100000))+1)</f>
        <v>0</v>
      </c>
      <c r="L795" s="19" t="str">
        <f aca="false">IF($A795="","",IF($J795=0,"Sem registro anterior",IF($K795&lt;21,"Histórico insuficiente",IF($J795&lt;0.8,"Subcarga",IF($J795&lt;=1.3,"Zona ideal",IF($J795&lt;=1.5,"Atenção","Risco elevado"))))))</f>
        <v/>
      </c>
      <c r="M795" s="20"/>
    </row>
    <row r="796" customFormat="false" ht="15" hidden="false" customHeight="false" outlineLevel="0" collapsed="false">
      <c r="A796" s="21"/>
      <c r="B796" s="33" t="n">
        <f aca="false">IF($A796="",0,INT(($A796-Macrociclo!$C$11)/7)+1)</f>
        <v>0</v>
      </c>
      <c r="C796" s="20"/>
      <c r="D796" s="20"/>
      <c r="E796" s="22"/>
      <c r="F796" s="22"/>
      <c r="G796" s="48" t="n">
        <f aca="false">IF(OR($E796="",$F796=""),0,$E796*$F796)</f>
        <v>0</v>
      </c>
      <c r="H796" s="48" t="n">
        <f aca="false">IF($A796="",0,SUMIFS($G$8:$G$1007,$C$8:$C$1007,$C796,$A$8:$A$1007,"&gt;="&amp;$A796-6,$A$8:$A$1007,"&lt;="&amp;$A796))</f>
        <v>0</v>
      </c>
      <c r="I796" s="48" t="n">
        <f aca="false">IF($A796="",0,SUMIFS($G$8:$G$1007,$C$8:$C$1007,$C796,$A$8:$A$1007,"&gt;="&amp;$A796-27,$A$8:$A$1007,"&lt;="&amp;$A796)/4)</f>
        <v>0</v>
      </c>
      <c r="J796" s="67" t="n">
        <f aca="false">IF(OR($A796="",$I796=0),0,$H796/$I796)</f>
        <v>0</v>
      </c>
      <c r="K796" s="33" t="n">
        <f aca="false">IF($A796="",0,$A796-SUMPRODUCT(MIN(($C$8:$C$1007=$C796)*$A$8:$A$1007+($C$8:$C$1007&lt;&gt;$C796)*100000))+1)</f>
        <v>0</v>
      </c>
      <c r="L796" s="19" t="str">
        <f aca="false">IF($A796="","",IF($J796=0,"Sem registro anterior",IF($K796&lt;21,"Histórico insuficiente",IF($J796&lt;0.8,"Subcarga",IF($J796&lt;=1.3,"Zona ideal",IF($J796&lt;=1.5,"Atenção","Risco elevado"))))))</f>
        <v/>
      </c>
      <c r="M796" s="20"/>
    </row>
    <row r="797" customFormat="false" ht="15" hidden="false" customHeight="false" outlineLevel="0" collapsed="false">
      <c r="A797" s="21"/>
      <c r="B797" s="33" t="n">
        <f aca="false">IF($A797="",0,INT(($A797-Macrociclo!$C$11)/7)+1)</f>
        <v>0</v>
      </c>
      <c r="C797" s="20"/>
      <c r="D797" s="20"/>
      <c r="E797" s="22"/>
      <c r="F797" s="22"/>
      <c r="G797" s="48" t="n">
        <f aca="false">IF(OR($E797="",$F797=""),0,$E797*$F797)</f>
        <v>0</v>
      </c>
      <c r="H797" s="48" t="n">
        <f aca="false">IF($A797="",0,SUMIFS($G$8:$G$1007,$C$8:$C$1007,$C797,$A$8:$A$1007,"&gt;="&amp;$A797-6,$A$8:$A$1007,"&lt;="&amp;$A797))</f>
        <v>0</v>
      </c>
      <c r="I797" s="48" t="n">
        <f aca="false">IF($A797="",0,SUMIFS($G$8:$G$1007,$C$8:$C$1007,$C797,$A$8:$A$1007,"&gt;="&amp;$A797-27,$A$8:$A$1007,"&lt;="&amp;$A797)/4)</f>
        <v>0</v>
      </c>
      <c r="J797" s="67" t="n">
        <f aca="false">IF(OR($A797="",$I797=0),0,$H797/$I797)</f>
        <v>0</v>
      </c>
      <c r="K797" s="33" t="n">
        <f aca="false">IF($A797="",0,$A797-SUMPRODUCT(MIN(($C$8:$C$1007=$C797)*$A$8:$A$1007+($C$8:$C$1007&lt;&gt;$C797)*100000))+1)</f>
        <v>0</v>
      </c>
      <c r="L797" s="19" t="str">
        <f aca="false">IF($A797="","",IF($J797=0,"Sem registro anterior",IF($K797&lt;21,"Histórico insuficiente",IF($J797&lt;0.8,"Subcarga",IF($J797&lt;=1.3,"Zona ideal",IF($J797&lt;=1.5,"Atenção","Risco elevado"))))))</f>
        <v/>
      </c>
      <c r="M797" s="20"/>
    </row>
    <row r="798" customFormat="false" ht="15" hidden="false" customHeight="false" outlineLevel="0" collapsed="false">
      <c r="A798" s="21"/>
      <c r="B798" s="33" t="n">
        <f aca="false">IF($A798="",0,INT(($A798-Macrociclo!$C$11)/7)+1)</f>
        <v>0</v>
      </c>
      <c r="C798" s="20"/>
      <c r="D798" s="20"/>
      <c r="E798" s="22"/>
      <c r="F798" s="22"/>
      <c r="G798" s="48" t="n">
        <f aca="false">IF(OR($E798="",$F798=""),0,$E798*$F798)</f>
        <v>0</v>
      </c>
      <c r="H798" s="48" t="n">
        <f aca="false">IF($A798="",0,SUMIFS($G$8:$G$1007,$C$8:$C$1007,$C798,$A$8:$A$1007,"&gt;="&amp;$A798-6,$A$8:$A$1007,"&lt;="&amp;$A798))</f>
        <v>0</v>
      </c>
      <c r="I798" s="48" t="n">
        <f aca="false">IF($A798="",0,SUMIFS($G$8:$G$1007,$C$8:$C$1007,$C798,$A$8:$A$1007,"&gt;="&amp;$A798-27,$A$8:$A$1007,"&lt;="&amp;$A798)/4)</f>
        <v>0</v>
      </c>
      <c r="J798" s="67" t="n">
        <f aca="false">IF(OR($A798="",$I798=0),0,$H798/$I798)</f>
        <v>0</v>
      </c>
      <c r="K798" s="33" t="n">
        <f aca="false">IF($A798="",0,$A798-SUMPRODUCT(MIN(($C$8:$C$1007=$C798)*$A$8:$A$1007+($C$8:$C$1007&lt;&gt;$C798)*100000))+1)</f>
        <v>0</v>
      </c>
      <c r="L798" s="19" t="str">
        <f aca="false">IF($A798="","",IF($J798=0,"Sem registro anterior",IF($K798&lt;21,"Histórico insuficiente",IF($J798&lt;0.8,"Subcarga",IF($J798&lt;=1.3,"Zona ideal",IF($J798&lt;=1.5,"Atenção","Risco elevado"))))))</f>
        <v/>
      </c>
      <c r="M798" s="20"/>
    </row>
    <row r="799" customFormat="false" ht="15" hidden="false" customHeight="false" outlineLevel="0" collapsed="false">
      <c r="A799" s="21"/>
      <c r="B799" s="33" t="n">
        <f aca="false">IF($A799="",0,INT(($A799-Macrociclo!$C$11)/7)+1)</f>
        <v>0</v>
      </c>
      <c r="C799" s="20"/>
      <c r="D799" s="20"/>
      <c r="E799" s="22"/>
      <c r="F799" s="22"/>
      <c r="G799" s="48" t="n">
        <f aca="false">IF(OR($E799="",$F799=""),0,$E799*$F799)</f>
        <v>0</v>
      </c>
      <c r="H799" s="48" t="n">
        <f aca="false">IF($A799="",0,SUMIFS($G$8:$G$1007,$C$8:$C$1007,$C799,$A$8:$A$1007,"&gt;="&amp;$A799-6,$A$8:$A$1007,"&lt;="&amp;$A799))</f>
        <v>0</v>
      </c>
      <c r="I799" s="48" t="n">
        <f aca="false">IF($A799="",0,SUMIFS($G$8:$G$1007,$C$8:$C$1007,$C799,$A$8:$A$1007,"&gt;="&amp;$A799-27,$A$8:$A$1007,"&lt;="&amp;$A799)/4)</f>
        <v>0</v>
      </c>
      <c r="J799" s="67" t="n">
        <f aca="false">IF(OR($A799="",$I799=0),0,$H799/$I799)</f>
        <v>0</v>
      </c>
      <c r="K799" s="33" t="n">
        <f aca="false">IF($A799="",0,$A799-SUMPRODUCT(MIN(($C$8:$C$1007=$C799)*$A$8:$A$1007+($C$8:$C$1007&lt;&gt;$C799)*100000))+1)</f>
        <v>0</v>
      </c>
      <c r="L799" s="19" t="str">
        <f aca="false">IF($A799="","",IF($J799=0,"Sem registro anterior",IF($K799&lt;21,"Histórico insuficiente",IF($J799&lt;0.8,"Subcarga",IF($J799&lt;=1.3,"Zona ideal",IF($J799&lt;=1.5,"Atenção","Risco elevado"))))))</f>
        <v/>
      </c>
      <c r="M799" s="20"/>
    </row>
    <row r="800" customFormat="false" ht="15" hidden="false" customHeight="false" outlineLevel="0" collapsed="false">
      <c r="A800" s="21"/>
      <c r="B800" s="33" t="n">
        <f aca="false">IF($A800="",0,INT(($A800-Macrociclo!$C$11)/7)+1)</f>
        <v>0</v>
      </c>
      <c r="C800" s="20"/>
      <c r="D800" s="20"/>
      <c r="E800" s="22"/>
      <c r="F800" s="22"/>
      <c r="G800" s="48" t="n">
        <f aca="false">IF(OR($E800="",$F800=""),0,$E800*$F800)</f>
        <v>0</v>
      </c>
      <c r="H800" s="48" t="n">
        <f aca="false">IF($A800="",0,SUMIFS($G$8:$G$1007,$C$8:$C$1007,$C800,$A$8:$A$1007,"&gt;="&amp;$A800-6,$A$8:$A$1007,"&lt;="&amp;$A800))</f>
        <v>0</v>
      </c>
      <c r="I800" s="48" t="n">
        <f aca="false">IF($A800="",0,SUMIFS($G$8:$G$1007,$C$8:$C$1007,$C800,$A$8:$A$1007,"&gt;="&amp;$A800-27,$A$8:$A$1007,"&lt;="&amp;$A800)/4)</f>
        <v>0</v>
      </c>
      <c r="J800" s="67" t="n">
        <f aca="false">IF(OR($A800="",$I800=0),0,$H800/$I800)</f>
        <v>0</v>
      </c>
      <c r="K800" s="33" t="n">
        <f aca="false">IF($A800="",0,$A800-SUMPRODUCT(MIN(($C$8:$C$1007=$C800)*$A$8:$A$1007+($C$8:$C$1007&lt;&gt;$C800)*100000))+1)</f>
        <v>0</v>
      </c>
      <c r="L800" s="19" t="str">
        <f aca="false">IF($A800="","",IF($J800=0,"Sem registro anterior",IF($K800&lt;21,"Histórico insuficiente",IF($J800&lt;0.8,"Subcarga",IF($J800&lt;=1.3,"Zona ideal",IF($J800&lt;=1.5,"Atenção","Risco elevado"))))))</f>
        <v/>
      </c>
      <c r="M800" s="20"/>
    </row>
    <row r="801" customFormat="false" ht="15" hidden="false" customHeight="false" outlineLevel="0" collapsed="false">
      <c r="A801" s="21"/>
      <c r="B801" s="33" t="n">
        <f aca="false">IF($A801="",0,INT(($A801-Macrociclo!$C$11)/7)+1)</f>
        <v>0</v>
      </c>
      <c r="C801" s="20"/>
      <c r="D801" s="20"/>
      <c r="E801" s="22"/>
      <c r="F801" s="22"/>
      <c r="G801" s="48" t="n">
        <f aca="false">IF(OR($E801="",$F801=""),0,$E801*$F801)</f>
        <v>0</v>
      </c>
      <c r="H801" s="48" t="n">
        <f aca="false">IF($A801="",0,SUMIFS($G$8:$G$1007,$C$8:$C$1007,$C801,$A$8:$A$1007,"&gt;="&amp;$A801-6,$A$8:$A$1007,"&lt;="&amp;$A801))</f>
        <v>0</v>
      </c>
      <c r="I801" s="48" t="n">
        <f aca="false">IF($A801="",0,SUMIFS($G$8:$G$1007,$C$8:$C$1007,$C801,$A$8:$A$1007,"&gt;="&amp;$A801-27,$A$8:$A$1007,"&lt;="&amp;$A801)/4)</f>
        <v>0</v>
      </c>
      <c r="J801" s="67" t="n">
        <f aca="false">IF(OR($A801="",$I801=0),0,$H801/$I801)</f>
        <v>0</v>
      </c>
      <c r="K801" s="33" t="n">
        <f aca="false">IF($A801="",0,$A801-SUMPRODUCT(MIN(($C$8:$C$1007=$C801)*$A$8:$A$1007+($C$8:$C$1007&lt;&gt;$C801)*100000))+1)</f>
        <v>0</v>
      </c>
      <c r="L801" s="19" t="str">
        <f aca="false">IF($A801="","",IF($J801=0,"Sem registro anterior",IF($K801&lt;21,"Histórico insuficiente",IF($J801&lt;0.8,"Subcarga",IF($J801&lt;=1.3,"Zona ideal",IF($J801&lt;=1.5,"Atenção","Risco elevado"))))))</f>
        <v/>
      </c>
      <c r="M801" s="20"/>
    </row>
    <row r="802" customFormat="false" ht="15" hidden="false" customHeight="false" outlineLevel="0" collapsed="false">
      <c r="A802" s="21"/>
      <c r="B802" s="33" t="n">
        <f aca="false">IF($A802="",0,INT(($A802-Macrociclo!$C$11)/7)+1)</f>
        <v>0</v>
      </c>
      <c r="C802" s="20"/>
      <c r="D802" s="20"/>
      <c r="E802" s="22"/>
      <c r="F802" s="22"/>
      <c r="G802" s="48" t="n">
        <f aca="false">IF(OR($E802="",$F802=""),0,$E802*$F802)</f>
        <v>0</v>
      </c>
      <c r="H802" s="48" t="n">
        <f aca="false">IF($A802="",0,SUMIFS($G$8:$G$1007,$C$8:$C$1007,$C802,$A$8:$A$1007,"&gt;="&amp;$A802-6,$A$8:$A$1007,"&lt;="&amp;$A802))</f>
        <v>0</v>
      </c>
      <c r="I802" s="48" t="n">
        <f aca="false">IF($A802="",0,SUMIFS($G$8:$G$1007,$C$8:$C$1007,$C802,$A$8:$A$1007,"&gt;="&amp;$A802-27,$A$8:$A$1007,"&lt;="&amp;$A802)/4)</f>
        <v>0</v>
      </c>
      <c r="J802" s="67" t="n">
        <f aca="false">IF(OR($A802="",$I802=0),0,$H802/$I802)</f>
        <v>0</v>
      </c>
      <c r="K802" s="33" t="n">
        <f aca="false">IF($A802="",0,$A802-SUMPRODUCT(MIN(($C$8:$C$1007=$C802)*$A$8:$A$1007+($C$8:$C$1007&lt;&gt;$C802)*100000))+1)</f>
        <v>0</v>
      </c>
      <c r="L802" s="19" t="str">
        <f aca="false">IF($A802="","",IF($J802=0,"Sem registro anterior",IF($K802&lt;21,"Histórico insuficiente",IF($J802&lt;0.8,"Subcarga",IF($J802&lt;=1.3,"Zona ideal",IF($J802&lt;=1.5,"Atenção","Risco elevado"))))))</f>
        <v/>
      </c>
      <c r="M802" s="20"/>
    </row>
    <row r="803" customFormat="false" ht="15" hidden="false" customHeight="false" outlineLevel="0" collapsed="false">
      <c r="A803" s="21"/>
      <c r="B803" s="33" t="n">
        <f aca="false">IF($A803="",0,INT(($A803-Macrociclo!$C$11)/7)+1)</f>
        <v>0</v>
      </c>
      <c r="C803" s="20"/>
      <c r="D803" s="20"/>
      <c r="E803" s="22"/>
      <c r="F803" s="22"/>
      <c r="G803" s="48" t="n">
        <f aca="false">IF(OR($E803="",$F803=""),0,$E803*$F803)</f>
        <v>0</v>
      </c>
      <c r="H803" s="48" t="n">
        <f aca="false">IF($A803="",0,SUMIFS($G$8:$G$1007,$C$8:$C$1007,$C803,$A$8:$A$1007,"&gt;="&amp;$A803-6,$A$8:$A$1007,"&lt;="&amp;$A803))</f>
        <v>0</v>
      </c>
      <c r="I803" s="48" t="n">
        <f aca="false">IF($A803="",0,SUMIFS($G$8:$G$1007,$C$8:$C$1007,$C803,$A$8:$A$1007,"&gt;="&amp;$A803-27,$A$8:$A$1007,"&lt;="&amp;$A803)/4)</f>
        <v>0</v>
      </c>
      <c r="J803" s="67" t="n">
        <f aca="false">IF(OR($A803="",$I803=0),0,$H803/$I803)</f>
        <v>0</v>
      </c>
      <c r="K803" s="33" t="n">
        <f aca="false">IF($A803="",0,$A803-SUMPRODUCT(MIN(($C$8:$C$1007=$C803)*$A$8:$A$1007+($C$8:$C$1007&lt;&gt;$C803)*100000))+1)</f>
        <v>0</v>
      </c>
      <c r="L803" s="19" t="str">
        <f aca="false">IF($A803="","",IF($J803=0,"Sem registro anterior",IF($K803&lt;21,"Histórico insuficiente",IF($J803&lt;0.8,"Subcarga",IF($J803&lt;=1.3,"Zona ideal",IF($J803&lt;=1.5,"Atenção","Risco elevado"))))))</f>
        <v/>
      </c>
      <c r="M803" s="20"/>
    </row>
    <row r="804" customFormat="false" ht="15" hidden="false" customHeight="false" outlineLevel="0" collapsed="false">
      <c r="A804" s="21"/>
      <c r="B804" s="33" t="n">
        <f aca="false">IF($A804="",0,INT(($A804-Macrociclo!$C$11)/7)+1)</f>
        <v>0</v>
      </c>
      <c r="C804" s="20"/>
      <c r="D804" s="20"/>
      <c r="E804" s="22"/>
      <c r="F804" s="22"/>
      <c r="G804" s="48" t="n">
        <f aca="false">IF(OR($E804="",$F804=""),0,$E804*$F804)</f>
        <v>0</v>
      </c>
      <c r="H804" s="48" t="n">
        <f aca="false">IF($A804="",0,SUMIFS($G$8:$G$1007,$C$8:$C$1007,$C804,$A$8:$A$1007,"&gt;="&amp;$A804-6,$A$8:$A$1007,"&lt;="&amp;$A804))</f>
        <v>0</v>
      </c>
      <c r="I804" s="48" t="n">
        <f aca="false">IF($A804="",0,SUMIFS($G$8:$G$1007,$C$8:$C$1007,$C804,$A$8:$A$1007,"&gt;="&amp;$A804-27,$A$8:$A$1007,"&lt;="&amp;$A804)/4)</f>
        <v>0</v>
      </c>
      <c r="J804" s="67" t="n">
        <f aca="false">IF(OR($A804="",$I804=0),0,$H804/$I804)</f>
        <v>0</v>
      </c>
      <c r="K804" s="33" t="n">
        <f aca="false">IF($A804="",0,$A804-SUMPRODUCT(MIN(($C$8:$C$1007=$C804)*$A$8:$A$1007+($C$8:$C$1007&lt;&gt;$C804)*100000))+1)</f>
        <v>0</v>
      </c>
      <c r="L804" s="19" t="str">
        <f aca="false">IF($A804="","",IF($J804=0,"Sem registro anterior",IF($K804&lt;21,"Histórico insuficiente",IF($J804&lt;0.8,"Subcarga",IF($J804&lt;=1.3,"Zona ideal",IF($J804&lt;=1.5,"Atenção","Risco elevado"))))))</f>
        <v/>
      </c>
      <c r="M804" s="20"/>
    </row>
    <row r="805" customFormat="false" ht="15" hidden="false" customHeight="false" outlineLevel="0" collapsed="false">
      <c r="A805" s="21"/>
      <c r="B805" s="33" t="n">
        <f aca="false">IF($A805="",0,INT(($A805-Macrociclo!$C$11)/7)+1)</f>
        <v>0</v>
      </c>
      <c r="C805" s="20"/>
      <c r="D805" s="20"/>
      <c r="E805" s="22"/>
      <c r="F805" s="22"/>
      <c r="G805" s="48" t="n">
        <f aca="false">IF(OR($E805="",$F805=""),0,$E805*$F805)</f>
        <v>0</v>
      </c>
      <c r="H805" s="48" t="n">
        <f aca="false">IF($A805="",0,SUMIFS($G$8:$G$1007,$C$8:$C$1007,$C805,$A$8:$A$1007,"&gt;="&amp;$A805-6,$A$8:$A$1007,"&lt;="&amp;$A805))</f>
        <v>0</v>
      </c>
      <c r="I805" s="48" t="n">
        <f aca="false">IF($A805="",0,SUMIFS($G$8:$G$1007,$C$8:$C$1007,$C805,$A$8:$A$1007,"&gt;="&amp;$A805-27,$A$8:$A$1007,"&lt;="&amp;$A805)/4)</f>
        <v>0</v>
      </c>
      <c r="J805" s="67" t="n">
        <f aca="false">IF(OR($A805="",$I805=0),0,$H805/$I805)</f>
        <v>0</v>
      </c>
      <c r="K805" s="33" t="n">
        <f aca="false">IF($A805="",0,$A805-SUMPRODUCT(MIN(($C$8:$C$1007=$C805)*$A$8:$A$1007+($C$8:$C$1007&lt;&gt;$C805)*100000))+1)</f>
        <v>0</v>
      </c>
      <c r="L805" s="19" t="str">
        <f aca="false">IF($A805="","",IF($J805=0,"Sem registro anterior",IF($K805&lt;21,"Histórico insuficiente",IF($J805&lt;0.8,"Subcarga",IF($J805&lt;=1.3,"Zona ideal",IF($J805&lt;=1.5,"Atenção","Risco elevado"))))))</f>
        <v/>
      </c>
      <c r="M805" s="20"/>
    </row>
    <row r="806" customFormat="false" ht="15" hidden="false" customHeight="false" outlineLevel="0" collapsed="false">
      <c r="A806" s="21"/>
      <c r="B806" s="33" t="n">
        <f aca="false">IF($A806="",0,INT(($A806-Macrociclo!$C$11)/7)+1)</f>
        <v>0</v>
      </c>
      <c r="C806" s="20"/>
      <c r="D806" s="20"/>
      <c r="E806" s="22"/>
      <c r="F806" s="22"/>
      <c r="G806" s="48" t="n">
        <f aca="false">IF(OR($E806="",$F806=""),0,$E806*$F806)</f>
        <v>0</v>
      </c>
      <c r="H806" s="48" t="n">
        <f aca="false">IF($A806="",0,SUMIFS($G$8:$G$1007,$C$8:$C$1007,$C806,$A$8:$A$1007,"&gt;="&amp;$A806-6,$A$8:$A$1007,"&lt;="&amp;$A806))</f>
        <v>0</v>
      </c>
      <c r="I806" s="48" t="n">
        <f aca="false">IF($A806="",0,SUMIFS($G$8:$G$1007,$C$8:$C$1007,$C806,$A$8:$A$1007,"&gt;="&amp;$A806-27,$A$8:$A$1007,"&lt;="&amp;$A806)/4)</f>
        <v>0</v>
      </c>
      <c r="J806" s="67" t="n">
        <f aca="false">IF(OR($A806="",$I806=0),0,$H806/$I806)</f>
        <v>0</v>
      </c>
      <c r="K806" s="33" t="n">
        <f aca="false">IF($A806="",0,$A806-SUMPRODUCT(MIN(($C$8:$C$1007=$C806)*$A$8:$A$1007+($C$8:$C$1007&lt;&gt;$C806)*100000))+1)</f>
        <v>0</v>
      </c>
      <c r="L806" s="19" t="str">
        <f aca="false">IF($A806="","",IF($J806=0,"Sem registro anterior",IF($K806&lt;21,"Histórico insuficiente",IF($J806&lt;0.8,"Subcarga",IF($J806&lt;=1.3,"Zona ideal",IF($J806&lt;=1.5,"Atenção","Risco elevado"))))))</f>
        <v/>
      </c>
      <c r="M806" s="20"/>
    </row>
    <row r="807" customFormat="false" ht="15" hidden="false" customHeight="false" outlineLevel="0" collapsed="false">
      <c r="A807" s="21"/>
      <c r="B807" s="33" t="n">
        <f aca="false">IF($A807="",0,INT(($A807-Macrociclo!$C$11)/7)+1)</f>
        <v>0</v>
      </c>
      <c r="C807" s="20"/>
      <c r="D807" s="20"/>
      <c r="E807" s="22"/>
      <c r="F807" s="22"/>
      <c r="G807" s="48" t="n">
        <f aca="false">IF(OR($E807="",$F807=""),0,$E807*$F807)</f>
        <v>0</v>
      </c>
      <c r="H807" s="48" t="n">
        <f aca="false">IF($A807="",0,SUMIFS($G$8:$G$1007,$C$8:$C$1007,$C807,$A$8:$A$1007,"&gt;="&amp;$A807-6,$A$8:$A$1007,"&lt;="&amp;$A807))</f>
        <v>0</v>
      </c>
      <c r="I807" s="48" t="n">
        <f aca="false">IF($A807="",0,SUMIFS($G$8:$G$1007,$C$8:$C$1007,$C807,$A$8:$A$1007,"&gt;="&amp;$A807-27,$A$8:$A$1007,"&lt;="&amp;$A807)/4)</f>
        <v>0</v>
      </c>
      <c r="J807" s="67" t="n">
        <f aca="false">IF(OR($A807="",$I807=0),0,$H807/$I807)</f>
        <v>0</v>
      </c>
      <c r="K807" s="33" t="n">
        <f aca="false">IF($A807="",0,$A807-SUMPRODUCT(MIN(($C$8:$C$1007=$C807)*$A$8:$A$1007+($C$8:$C$1007&lt;&gt;$C807)*100000))+1)</f>
        <v>0</v>
      </c>
      <c r="L807" s="19" t="str">
        <f aca="false">IF($A807="","",IF($J807=0,"Sem registro anterior",IF($K807&lt;21,"Histórico insuficiente",IF($J807&lt;0.8,"Subcarga",IF($J807&lt;=1.3,"Zona ideal",IF($J807&lt;=1.5,"Atenção","Risco elevado"))))))</f>
        <v/>
      </c>
      <c r="M807" s="20"/>
    </row>
    <row r="808" customFormat="false" ht="15" hidden="false" customHeight="false" outlineLevel="0" collapsed="false">
      <c r="A808" s="21"/>
      <c r="B808" s="33" t="n">
        <f aca="false">IF($A808="",0,INT(($A808-Macrociclo!$C$11)/7)+1)</f>
        <v>0</v>
      </c>
      <c r="C808" s="20"/>
      <c r="D808" s="20"/>
      <c r="E808" s="22"/>
      <c r="F808" s="22"/>
      <c r="G808" s="48" t="n">
        <f aca="false">IF(OR($E808="",$F808=""),0,$E808*$F808)</f>
        <v>0</v>
      </c>
      <c r="H808" s="48" t="n">
        <f aca="false">IF($A808="",0,SUMIFS($G$8:$G$1007,$C$8:$C$1007,$C808,$A$8:$A$1007,"&gt;="&amp;$A808-6,$A$8:$A$1007,"&lt;="&amp;$A808))</f>
        <v>0</v>
      </c>
      <c r="I808" s="48" t="n">
        <f aca="false">IF($A808="",0,SUMIFS($G$8:$G$1007,$C$8:$C$1007,$C808,$A$8:$A$1007,"&gt;="&amp;$A808-27,$A$8:$A$1007,"&lt;="&amp;$A808)/4)</f>
        <v>0</v>
      </c>
      <c r="J808" s="67" t="n">
        <f aca="false">IF(OR($A808="",$I808=0),0,$H808/$I808)</f>
        <v>0</v>
      </c>
      <c r="K808" s="33" t="n">
        <f aca="false">IF($A808="",0,$A808-SUMPRODUCT(MIN(($C$8:$C$1007=$C808)*$A$8:$A$1007+($C$8:$C$1007&lt;&gt;$C808)*100000))+1)</f>
        <v>0</v>
      </c>
      <c r="L808" s="19" t="str">
        <f aca="false">IF($A808="","",IF($J808=0,"Sem registro anterior",IF($K808&lt;21,"Histórico insuficiente",IF($J808&lt;0.8,"Subcarga",IF($J808&lt;=1.3,"Zona ideal",IF($J808&lt;=1.5,"Atenção","Risco elevado"))))))</f>
        <v/>
      </c>
      <c r="M808" s="20"/>
    </row>
    <row r="809" customFormat="false" ht="15" hidden="false" customHeight="false" outlineLevel="0" collapsed="false">
      <c r="A809" s="21"/>
      <c r="B809" s="33" t="n">
        <f aca="false">IF($A809="",0,INT(($A809-Macrociclo!$C$11)/7)+1)</f>
        <v>0</v>
      </c>
      <c r="C809" s="20"/>
      <c r="D809" s="20"/>
      <c r="E809" s="22"/>
      <c r="F809" s="22"/>
      <c r="G809" s="48" t="n">
        <f aca="false">IF(OR($E809="",$F809=""),0,$E809*$F809)</f>
        <v>0</v>
      </c>
      <c r="H809" s="48" t="n">
        <f aca="false">IF($A809="",0,SUMIFS($G$8:$G$1007,$C$8:$C$1007,$C809,$A$8:$A$1007,"&gt;="&amp;$A809-6,$A$8:$A$1007,"&lt;="&amp;$A809))</f>
        <v>0</v>
      </c>
      <c r="I809" s="48" t="n">
        <f aca="false">IF($A809="",0,SUMIFS($G$8:$G$1007,$C$8:$C$1007,$C809,$A$8:$A$1007,"&gt;="&amp;$A809-27,$A$8:$A$1007,"&lt;="&amp;$A809)/4)</f>
        <v>0</v>
      </c>
      <c r="J809" s="67" t="n">
        <f aca="false">IF(OR($A809="",$I809=0),0,$H809/$I809)</f>
        <v>0</v>
      </c>
      <c r="K809" s="33" t="n">
        <f aca="false">IF($A809="",0,$A809-SUMPRODUCT(MIN(($C$8:$C$1007=$C809)*$A$8:$A$1007+($C$8:$C$1007&lt;&gt;$C809)*100000))+1)</f>
        <v>0</v>
      </c>
      <c r="L809" s="19" t="str">
        <f aca="false">IF($A809="","",IF($J809=0,"Sem registro anterior",IF($K809&lt;21,"Histórico insuficiente",IF($J809&lt;0.8,"Subcarga",IF($J809&lt;=1.3,"Zona ideal",IF($J809&lt;=1.5,"Atenção","Risco elevado"))))))</f>
        <v/>
      </c>
      <c r="M809" s="20"/>
    </row>
    <row r="810" customFormat="false" ht="15" hidden="false" customHeight="false" outlineLevel="0" collapsed="false">
      <c r="A810" s="21"/>
      <c r="B810" s="33" t="n">
        <f aca="false">IF($A810="",0,INT(($A810-Macrociclo!$C$11)/7)+1)</f>
        <v>0</v>
      </c>
      <c r="C810" s="20"/>
      <c r="D810" s="20"/>
      <c r="E810" s="22"/>
      <c r="F810" s="22"/>
      <c r="G810" s="48" t="n">
        <f aca="false">IF(OR($E810="",$F810=""),0,$E810*$F810)</f>
        <v>0</v>
      </c>
      <c r="H810" s="48" t="n">
        <f aca="false">IF($A810="",0,SUMIFS($G$8:$G$1007,$C$8:$C$1007,$C810,$A$8:$A$1007,"&gt;="&amp;$A810-6,$A$8:$A$1007,"&lt;="&amp;$A810))</f>
        <v>0</v>
      </c>
      <c r="I810" s="48" t="n">
        <f aca="false">IF($A810="",0,SUMIFS($G$8:$G$1007,$C$8:$C$1007,$C810,$A$8:$A$1007,"&gt;="&amp;$A810-27,$A$8:$A$1007,"&lt;="&amp;$A810)/4)</f>
        <v>0</v>
      </c>
      <c r="J810" s="67" t="n">
        <f aca="false">IF(OR($A810="",$I810=0),0,$H810/$I810)</f>
        <v>0</v>
      </c>
      <c r="K810" s="33" t="n">
        <f aca="false">IF($A810="",0,$A810-SUMPRODUCT(MIN(($C$8:$C$1007=$C810)*$A$8:$A$1007+($C$8:$C$1007&lt;&gt;$C810)*100000))+1)</f>
        <v>0</v>
      </c>
      <c r="L810" s="19" t="str">
        <f aca="false">IF($A810="","",IF($J810=0,"Sem registro anterior",IF($K810&lt;21,"Histórico insuficiente",IF($J810&lt;0.8,"Subcarga",IF($J810&lt;=1.3,"Zona ideal",IF($J810&lt;=1.5,"Atenção","Risco elevado"))))))</f>
        <v/>
      </c>
      <c r="M810" s="20"/>
    </row>
    <row r="811" customFormat="false" ht="15" hidden="false" customHeight="false" outlineLevel="0" collapsed="false">
      <c r="A811" s="21"/>
      <c r="B811" s="33" t="n">
        <f aca="false">IF($A811="",0,INT(($A811-Macrociclo!$C$11)/7)+1)</f>
        <v>0</v>
      </c>
      <c r="C811" s="20"/>
      <c r="D811" s="20"/>
      <c r="E811" s="22"/>
      <c r="F811" s="22"/>
      <c r="G811" s="48" t="n">
        <f aca="false">IF(OR($E811="",$F811=""),0,$E811*$F811)</f>
        <v>0</v>
      </c>
      <c r="H811" s="48" t="n">
        <f aca="false">IF($A811="",0,SUMIFS($G$8:$G$1007,$C$8:$C$1007,$C811,$A$8:$A$1007,"&gt;="&amp;$A811-6,$A$8:$A$1007,"&lt;="&amp;$A811))</f>
        <v>0</v>
      </c>
      <c r="I811" s="48" t="n">
        <f aca="false">IF($A811="",0,SUMIFS($G$8:$G$1007,$C$8:$C$1007,$C811,$A$8:$A$1007,"&gt;="&amp;$A811-27,$A$8:$A$1007,"&lt;="&amp;$A811)/4)</f>
        <v>0</v>
      </c>
      <c r="J811" s="67" t="n">
        <f aca="false">IF(OR($A811="",$I811=0),0,$H811/$I811)</f>
        <v>0</v>
      </c>
      <c r="K811" s="33" t="n">
        <f aca="false">IF($A811="",0,$A811-SUMPRODUCT(MIN(($C$8:$C$1007=$C811)*$A$8:$A$1007+($C$8:$C$1007&lt;&gt;$C811)*100000))+1)</f>
        <v>0</v>
      </c>
      <c r="L811" s="19" t="str">
        <f aca="false">IF($A811="","",IF($J811=0,"Sem registro anterior",IF($K811&lt;21,"Histórico insuficiente",IF($J811&lt;0.8,"Subcarga",IF($J811&lt;=1.3,"Zona ideal",IF($J811&lt;=1.5,"Atenção","Risco elevado"))))))</f>
        <v/>
      </c>
      <c r="M811" s="20"/>
    </row>
    <row r="812" customFormat="false" ht="15" hidden="false" customHeight="false" outlineLevel="0" collapsed="false">
      <c r="A812" s="21"/>
      <c r="B812" s="33" t="n">
        <f aca="false">IF($A812="",0,INT(($A812-Macrociclo!$C$11)/7)+1)</f>
        <v>0</v>
      </c>
      <c r="C812" s="20"/>
      <c r="D812" s="20"/>
      <c r="E812" s="22"/>
      <c r="F812" s="22"/>
      <c r="G812" s="48" t="n">
        <f aca="false">IF(OR($E812="",$F812=""),0,$E812*$F812)</f>
        <v>0</v>
      </c>
      <c r="H812" s="48" t="n">
        <f aca="false">IF($A812="",0,SUMIFS($G$8:$G$1007,$C$8:$C$1007,$C812,$A$8:$A$1007,"&gt;="&amp;$A812-6,$A$8:$A$1007,"&lt;="&amp;$A812))</f>
        <v>0</v>
      </c>
      <c r="I812" s="48" t="n">
        <f aca="false">IF($A812="",0,SUMIFS($G$8:$G$1007,$C$8:$C$1007,$C812,$A$8:$A$1007,"&gt;="&amp;$A812-27,$A$8:$A$1007,"&lt;="&amp;$A812)/4)</f>
        <v>0</v>
      </c>
      <c r="J812" s="67" t="n">
        <f aca="false">IF(OR($A812="",$I812=0),0,$H812/$I812)</f>
        <v>0</v>
      </c>
      <c r="K812" s="33" t="n">
        <f aca="false">IF($A812="",0,$A812-SUMPRODUCT(MIN(($C$8:$C$1007=$C812)*$A$8:$A$1007+($C$8:$C$1007&lt;&gt;$C812)*100000))+1)</f>
        <v>0</v>
      </c>
      <c r="L812" s="19" t="str">
        <f aca="false">IF($A812="","",IF($J812=0,"Sem registro anterior",IF($K812&lt;21,"Histórico insuficiente",IF($J812&lt;0.8,"Subcarga",IF($J812&lt;=1.3,"Zona ideal",IF($J812&lt;=1.5,"Atenção","Risco elevado"))))))</f>
        <v/>
      </c>
      <c r="M812" s="20"/>
    </row>
    <row r="813" customFormat="false" ht="15" hidden="false" customHeight="false" outlineLevel="0" collapsed="false">
      <c r="A813" s="21"/>
      <c r="B813" s="33" t="n">
        <f aca="false">IF($A813="",0,INT(($A813-Macrociclo!$C$11)/7)+1)</f>
        <v>0</v>
      </c>
      <c r="C813" s="20"/>
      <c r="D813" s="20"/>
      <c r="E813" s="22"/>
      <c r="F813" s="22"/>
      <c r="G813" s="48" t="n">
        <f aca="false">IF(OR($E813="",$F813=""),0,$E813*$F813)</f>
        <v>0</v>
      </c>
      <c r="H813" s="48" t="n">
        <f aca="false">IF($A813="",0,SUMIFS($G$8:$G$1007,$C$8:$C$1007,$C813,$A$8:$A$1007,"&gt;="&amp;$A813-6,$A$8:$A$1007,"&lt;="&amp;$A813))</f>
        <v>0</v>
      </c>
      <c r="I813" s="48" t="n">
        <f aca="false">IF($A813="",0,SUMIFS($G$8:$G$1007,$C$8:$C$1007,$C813,$A$8:$A$1007,"&gt;="&amp;$A813-27,$A$8:$A$1007,"&lt;="&amp;$A813)/4)</f>
        <v>0</v>
      </c>
      <c r="J813" s="67" t="n">
        <f aca="false">IF(OR($A813="",$I813=0),0,$H813/$I813)</f>
        <v>0</v>
      </c>
      <c r="K813" s="33" t="n">
        <f aca="false">IF($A813="",0,$A813-SUMPRODUCT(MIN(($C$8:$C$1007=$C813)*$A$8:$A$1007+($C$8:$C$1007&lt;&gt;$C813)*100000))+1)</f>
        <v>0</v>
      </c>
      <c r="L813" s="19" t="str">
        <f aca="false">IF($A813="","",IF($J813=0,"Sem registro anterior",IF($K813&lt;21,"Histórico insuficiente",IF($J813&lt;0.8,"Subcarga",IF($J813&lt;=1.3,"Zona ideal",IF($J813&lt;=1.5,"Atenção","Risco elevado"))))))</f>
        <v/>
      </c>
      <c r="M813" s="20"/>
    </row>
    <row r="814" customFormat="false" ht="15" hidden="false" customHeight="false" outlineLevel="0" collapsed="false">
      <c r="A814" s="21"/>
      <c r="B814" s="33" t="n">
        <f aca="false">IF($A814="",0,INT(($A814-Macrociclo!$C$11)/7)+1)</f>
        <v>0</v>
      </c>
      <c r="C814" s="20"/>
      <c r="D814" s="20"/>
      <c r="E814" s="22"/>
      <c r="F814" s="22"/>
      <c r="G814" s="48" t="n">
        <f aca="false">IF(OR($E814="",$F814=""),0,$E814*$F814)</f>
        <v>0</v>
      </c>
      <c r="H814" s="48" t="n">
        <f aca="false">IF($A814="",0,SUMIFS($G$8:$G$1007,$C$8:$C$1007,$C814,$A$8:$A$1007,"&gt;="&amp;$A814-6,$A$8:$A$1007,"&lt;="&amp;$A814))</f>
        <v>0</v>
      </c>
      <c r="I814" s="48" t="n">
        <f aca="false">IF($A814="",0,SUMIFS($G$8:$G$1007,$C$8:$C$1007,$C814,$A$8:$A$1007,"&gt;="&amp;$A814-27,$A$8:$A$1007,"&lt;="&amp;$A814)/4)</f>
        <v>0</v>
      </c>
      <c r="J814" s="67" t="n">
        <f aca="false">IF(OR($A814="",$I814=0),0,$H814/$I814)</f>
        <v>0</v>
      </c>
      <c r="K814" s="33" t="n">
        <f aca="false">IF($A814="",0,$A814-SUMPRODUCT(MIN(($C$8:$C$1007=$C814)*$A$8:$A$1007+($C$8:$C$1007&lt;&gt;$C814)*100000))+1)</f>
        <v>0</v>
      </c>
      <c r="L814" s="19" t="str">
        <f aca="false">IF($A814="","",IF($J814=0,"Sem registro anterior",IF($K814&lt;21,"Histórico insuficiente",IF($J814&lt;0.8,"Subcarga",IF($J814&lt;=1.3,"Zona ideal",IF($J814&lt;=1.5,"Atenção","Risco elevado"))))))</f>
        <v/>
      </c>
      <c r="M814" s="20"/>
    </row>
    <row r="815" customFormat="false" ht="15" hidden="false" customHeight="false" outlineLevel="0" collapsed="false">
      <c r="A815" s="21"/>
      <c r="B815" s="33" t="n">
        <f aca="false">IF($A815="",0,INT(($A815-Macrociclo!$C$11)/7)+1)</f>
        <v>0</v>
      </c>
      <c r="C815" s="20"/>
      <c r="D815" s="20"/>
      <c r="E815" s="22"/>
      <c r="F815" s="22"/>
      <c r="G815" s="48" t="n">
        <f aca="false">IF(OR($E815="",$F815=""),0,$E815*$F815)</f>
        <v>0</v>
      </c>
      <c r="H815" s="48" t="n">
        <f aca="false">IF($A815="",0,SUMIFS($G$8:$G$1007,$C$8:$C$1007,$C815,$A$8:$A$1007,"&gt;="&amp;$A815-6,$A$8:$A$1007,"&lt;="&amp;$A815))</f>
        <v>0</v>
      </c>
      <c r="I815" s="48" t="n">
        <f aca="false">IF($A815="",0,SUMIFS($G$8:$G$1007,$C$8:$C$1007,$C815,$A$8:$A$1007,"&gt;="&amp;$A815-27,$A$8:$A$1007,"&lt;="&amp;$A815)/4)</f>
        <v>0</v>
      </c>
      <c r="J815" s="67" t="n">
        <f aca="false">IF(OR($A815="",$I815=0),0,$H815/$I815)</f>
        <v>0</v>
      </c>
      <c r="K815" s="33" t="n">
        <f aca="false">IF($A815="",0,$A815-SUMPRODUCT(MIN(($C$8:$C$1007=$C815)*$A$8:$A$1007+($C$8:$C$1007&lt;&gt;$C815)*100000))+1)</f>
        <v>0</v>
      </c>
      <c r="L815" s="19" t="str">
        <f aca="false">IF($A815="","",IF($J815=0,"Sem registro anterior",IF($K815&lt;21,"Histórico insuficiente",IF($J815&lt;0.8,"Subcarga",IF($J815&lt;=1.3,"Zona ideal",IF($J815&lt;=1.5,"Atenção","Risco elevado"))))))</f>
        <v/>
      </c>
      <c r="M815" s="20"/>
    </row>
    <row r="816" customFormat="false" ht="15" hidden="false" customHeight="false" outlineLevel="0" collapsed="false">
      <c r="A816" s="21"/>
      <c r="B816" s="33" t="n">
        <f aca="false">IF($A816="",0,INT(($A816-Macrociclo!$C$11)/7)+1)</f>
        <v>0</v>
      </c>
      <c r="C816" s="20"/>
      <c r="D816" s="20"/>
      <c r="E816" s="22"/>
      <c r="F816" s="22"/>
      <c r="G816" s="48" t="n">
        <f aca="false">IF(OR($E816="",$F816=""),0,$E816*$F816)</f>
        <v>0</v>
      </c>
      <c r="H816" s="48" t="n">
        <f aca="false">IF($A816="",0,SUMIFS($G$8:$G$1007,$C$8:$C$1007,$C816,$A$8:$A$1007,"&gt;="&amp;$A816-6,$A$8:$A$1007,"&lt;="&amp;$A816))</f>
        <v>0</v>
      </c>
      <c r="I816" s="48" t="n">
        <f aca="false">IF($A816="",0,SUMIFS($G$8:$G$1007,$C$8:$C$1007,$C816,$A$8:$A$1007,"&gt;="&amp;$A816-27,$A$8:$A$1007,"&lt;="&amp;$A816)/4)</f>
        <v>0</v>
      </c>
      <c r="J816" s="67" t="n">
        <f aca="false">IF(OR($A816="",$I816=0),0,$H816/$I816)</f>
        <v>0</v>
      </c>
      <c r="K816" s="33" t="n">
        <f aca="false">IF($A816="",0,$A816-SUMPRODUCT(MIN(($C$8:$C$1007=$C816)*$A$8:$A$1007+($C$8:$C$1007&lt;&gt;$C816)*100000))+1)</f>
        <v>0</v>
      </c>
      <c r="L816" s="19" t="str">
        <f aca="false">IF($A816="","",IF($J816=0,"Sem registro anterior",IF($K816&lt;21,"Histórico insuficiente",IF($J816&lt;0.8,"Subcarga",IF($J816&lt;=1.3,"Zona ideal",IF($J816&lt;=1.5,"Atenção","Risco elevado"))))))</f>
        <v/>
      </c>
      <c r="M816" s="20"/>
    </row>
    <row r="817" customFormat="false" ht="15" hidden="false" customHeight="false" outlineLevel="0" collapsed="false">
      <c r="A817" s="21"/>
      <c r="B817" s="33" t="n">
        <f aca="false">IF($A817="",0,INT(($A817-Macrociclo!$C$11)/7)+1)</f>
        <v>0</v>
      </c>
      <c r="C817" s="20"/>
      <c r="D817" s="20"/>
      <c r="E817" s="22"/>
      <c r="F817" s="22"/>
      <c r="G817" s="48" t="n">
        <f aca="false">IF(OR($E817="",$F817=""),0,$E817*$F817)</f>
        <v>0</v>
      </c>
      <c r="H817" s="48" t="n">
        <f aca="false">IF($A817="",0,SUMIFS($G$8:$G$1007,$C$8:$C$1007,$C817,$A$8:$A$1007,"&gt;="&amp;$A817-6,$A$8:$A$1007,"&lt;="&amp;$A817))</f>
        <v>0</v>
      </c>
      <c r="I817" s="48" t="n">
        <f aca="false">IF($A817="",0,SUMIFS($G$8:$G$1007,$C$8:$C$1007,$C817,$A$8:$A$1007,"&gt;="&amp;$A817-27,$A$8:$A$1007,"&lt;="&amp;$A817)/4)</f>
        <v>0</v>
      </c>
      <c r="J817" s="67" t="n">
        <f aca="false">IF(OR($A817="",$I817=0),0,$H817/$I817)</f>
        <v>0</v>
      </c>
      <c r="K817" s="33" t="n">
        <f aca="false">IF($A817="",0,$A817-SUMPRODUCT(MIN(($C$8:$C$1007=$C817)*$A$8:$A$1007+($C$8:$C$1007&lt;&gt;$C817)*100000))+1)</f>
        <v>0</v>
      </c>
      <c r="L817" s="19" t="str">
        <f aca="false">IF($A817="","",IF($J817=0,"Sem registro anterior",IF($K817&lt;21,"Histórico insuficiente",IF($J817&lt;0.8,"Subcarga",IF($J817&lt;=1.3,"Zona ideal",IF($J817&lt;=1.5,"Atenção","Risco elevado"))))))</f>
        <v/>
      </c>
      <c r="M817" s="20"/>
    </row>
    <row r="818" customFormat="false" ht="15" hidden="false" customHeight="false" outlineLevel="0" collapsed="false">
      <c r="A818" s="21"/>
      <c r="B818" s="33" t="n">
        <f aca="false">IF($A818="",0,INT(($A818-Macrociclo!$C$11)/7)+1)</f>
        <v>0</v>
      </c>
      <c r="C818" s="20"/>
      <c r="D818" s="20"/>
      <c r="E818" s="22"/>
      <c r="F818" s="22"/>
      <c r="G818" s="48" t="n">
        <f aca="false">IF(OR($E818="",$F818=""),0,$E818*$F818)</f>
        <v>0</v>
      </c>
      <c r="H818" s="48" t="n">
        <f aca="false">IF($A818="",0,SUMIFS($G$8:$G$1007,$C$8:$C$1007,$C818,$A$8:$A$1007,"&gt;="&amp;$A818-6,$A$8:$A$1007,"&lt;="&amp;$A818))</f>
        <v>0</v>
      </c>
      <c r="I818" s="48" t="n">
        <f aca="false">IF($A818="",0,SUMIFS($G$8:$G$1007,$C$8:$C$1007,$C818,$A$8:$A$1007,"&gt;="&amp;$A818-27,$A$8:$A$1007,"&lt;="&amp;$A818)/4)</f>
        <v>0</v>
      </c>
      <c r="J818" s="67" t="n">
        <f aca="false">IF(OR($A818="",$I818=0),0,$H818/$I818)</f>
        <v>0</v>
      </c>
      <c r="K818" s="33" t="n">
        <f aca="false">IF($A818="",0,$A818-SUMPRODUCT(MIN(($C$8:$C$1007=$C818)*$A$8:$A$1007+($C$8:$C$1007&lt;&gt;$C818)*100000))+1)</f>
        <v>0</v>
      </c>
      <c r="L818" s="19" t="str">
        <f aca="false">IF($A818="","",IF($J818=0,"Sem registro anterior",IF($K818&lt;21,"Histórico insuficiente",IF($J818&lt;0.8,"Subcarga",IF($J818&lt;=1.3,"Zona ideal",IF($J818&lt;=1.5,"Atenção","Risco elevado"))))))</f>
        <v/>
      </c>
      <c r="M818" s="20"/>
    </row>
    <row r="819" customFormat="false" ht="15" hidden="false" customHeight="false" outlineLevel="0" collapsed="false">
      <c r="A819" s="21"/>
      <c r="B819" s="33" t="n">
        <f aca="false">IF($A819="",0,INT(($A819-Macrociclo!$C$11)/7)+1)</f>
        <v>0</v>
      </c>
      <c r="C819" s="20"/>
      <c r="D819" s="20"/>
      <c r="E819" s="22"/>
      <c r="F819" s="22"/>
      <c r="G819" s="48" t="n">
        <f aca="false">IF(OR($E819="",$F819=""),0,$E819*$F819)</f>
        <v>0</v>
      </c>
      <c r="H819" s="48" t="n">
        <f aca="false">IF($A819="",0,SUMIFS($G$8:$G$1007,$C$8:$C$1007,$C819,$A$8:$A$1007,"&gt;="&amp;$A819-6,$A$8:$A$1007,"&lt;="&amp;$A819))</f>
        <v>0</v>
      </c>
      <c r="I819" s="48" t="n">
        <f aca="false">IF($A819="",0,SUMIFS($G$8:$G$1007,$C$8:$C$1007,$C819,$A$8:$A$1007,"&gt;="&amp;$A819-27,$A$8:$A$1007,"&lt;="&amp;$A819)/4)</f>
        <v>0</v>
      </c>
      <c r="J819" s="67" t="n">
        <f aca="false">IF(OR($A819="",$I819=0),0,$H819/$I819)</f>
        <v>0</v>
      </c>
      <c r="K819" s="33" t="n">
        <f aca="false">IF($A819="",0,$A819-SUMPRODUCT(MIN(($C$8:$C$1007=$C819)*$A$8:$A$1007+($C$8:$C$1007&lt;&gt;$C819)*100000))+1)</f>
        <v>0</v>
      </c>
      <c r="L819" s="19" t="str">
        <f aca="false">IF($A819="","",IF($J819=0,"Sem registro anterior",IF($K819&lt;21,"Histórico insuficiente",IF($J819&lt;0.8,"Subcarga",IF($J819&lt;=1.3,"Zona ideal",IF($J819&lt;=1.5,"Atenção","Risco elevado"))))))</f>
        <v/>
      </c>
      <c r="M819" s="20"/>
    </row>
    <row r="820" customFormat="false" ht="15" hidden="false" customHeight="false" outlineLevel="0" collapsed="false">
      <c r="A820" s="21"/>
      <c r="B820" s="33" t="n">
        <f aca="false">IF($A820="",0,INT(($A820-Macrociclo!$C$11)/7)+1)</f>
        <v>0</v>
      </c>
      <c r="C820" s="20"/>
      <c r="D820" s="20"/>
      <c r="E820" s="22"/>
      <c r="F820" s="22"/>
      <c r="G820" s="48" t="n">
        <f aca="false">IF(OR($E820="",$F820=""),0,$E820*$F820)</f>
        <v>0</v>
      </c>
      <c r="H820" s="48" t="n">
        <f aca="false">IF($A820="",0,SUMIFS($G$8:$G$1007,$C$8:$C$1007,$C820,$A$8:$A$1007,"&gt;="&amp;$A820-6,$A$8:$A$1007,"&lt;="&amp;$A820))</f>
        <v>0</v>
      </c>
      <c r="I820" s="48" t="n">
        <f aca="false">IF($A820="",0,SUMIFS($G$8:$G$1007,$C$8:$C$1007,$C820,$A$8:$A$1007,"&gt;="&amp;$A820-27,$A$8:$A$1007,"&lt;="&amp;$A820)/4)</f>
        <v>0</v>
      </c>
      <c r="J820" s="67" t="n">
        <f aca="false">IF(OR($A820="",$I820=0),0,$H820/$I820)</f>
        <v>0</v>
      </c>
      <c r="K820" s="33" t="n">
        <f aca="false">IF($A820="",0,$A820-SUMPRODUCT(MIN(($C$8:$C$1007=$C820)*$A$8:$A$1007+($C$8:$C$1007&lt;&gt;$C820)*100000))+1)</f>
        <v>0</v>
      </c>
      <c r="L820" s="19" t="str">
        <f aca="false">IF($A820="","",IF($J820=0,"Sem registro anterior",IF($K820&lt;21,"Histórico insuficiente",IF($J820&lt;0.8,"Subcarga",IF($J820&lt;=1.3,"Zona ideal",IF($J820&lt;=1.5,"Atenção","Risco elevado"))))))</f>
        <v/>
      </c>
      <c r="M820" s="20"/>
    </row>
    <row r="821" customFormat="false" ht="15" hidden="false" customHeight="false" outlineLevel="0" collapsed="false">
      <c r="A821" s="21"/>
      <c r="B821" s="33" t="n">
        <f aca="false">IF($A821="",0,INT(($A821-Macrociclo!$C$11)/7)+1)</f>
        <v>0</v>
      </c>
      <c r="C821" s="20"/>
      <c r="D821" s="20"/>
      <c r="E821" s="22"/>
      <c r="F821" s="22"/>
      <c r="G821" s="48" t="n">
        <f aca="false">IF(OR($E821="",$F821=""),0,$E821*$F821)</f>
        <v>0</v>
      </c>
      <c r="H821" s="48" t="n">
        <f aca="false">IF($A821="",0,SUMIFS($G$8:$G$1007,$C$8:$C$1007,$C821,$A$8:$A$1007,"&gt;="&amp;$A821-6,$A$8:$A$1007,"&lt;="&amp;$A821))</f>
        <v>0</v>
      </c>
      <c r="I821" s="48" t="n">
        <f aca="false">IF($A821="",0,SUMIFS($G$8:$G$1007,$C$8:$C$1007,$C821,$A$8:$A$1007,"&gt;="&amp;$A821-27,$A$8:$A$1007,"&lt;="&amp;$A821)/4)</f>
        <v>0</v>
      </c>
      <c r="J821" s="67" t="n">
        <f aca="false">IF(OR($A821="",$I821=0),0,$H821/$I821)</f>
        <v>0</v>
      </c>
      <c r="K821" s="33" t="n">
        <f aca="false">IF($A821="",0,$A821-SUMPRODUCT(MIN(($C$8:$C$1007=$C821)*$A$8:$A$1007+($C$8:$C$1007&lt;&gt;$C821)*100000))+1)</f>
        <v>0</v>
      </c>
      <c r="L821" s="19" t="str">
        <f aca="false">IF($A821="","",IF($J821=0,"Sem registro anterior",IF($K821&lt;21,"Histórico insuficiente",IF($J821&lt;0.8,"Subcarga",IF($J821&lt;=1.3,"Zona ideal",IF($J821&lt;=1.5,"Atenção","Risco elevado"))))))</f>
        <v/>
      </c>
      <c r="M821" s="20"/>
    </row>
    <row r="822" customFormat="false" ht="15" hidden="false" customHeight="false" outlineLevel="0" collapsed="false">
      <c r="A822" s="21"/>
      <c r="B822" s="33" t="n">
        <f aca="false">IF($A822="",0,INT(($A822-Macrociclo!$C$11)/7)+1)</f>
        <v>0</v>
      </c>
      <c r="C822" s="20"/>
      <c r="D822" s="20"/>
      <c r="E822" s="22"/>
      <c r="F822" s="22"/>
      <c r="G822" s="48" t="n">
        <f aca="false">IF(OR($E822="",$F822=""),0,$E822*$F822)</f>
        <v>0</v>
      </c>
      <c r="H822" s="48" t="n">
        <f aca="false">IF($A822="",0,SUMIFS($G$8:$G$1007,$C$8:$C$1007,$C822,$A$8:$A$1007,"&gt;="&amp;$A822-6,$A$8:$A$1007,"&lt;="&amp;$A822))</f>
        <v>0</v>
      </c>
      <c r="I822" s="48" t="n">
        <f aca="false">IF($A822="",0,SUMIFS($G$8:$G$1007,$C$8:$C$1007,$C822,$A$8:$A$1007,"&gt;="&amp;$A822-27,$A$8:$A$1007,"&lt;="&amp;$A822)/4)</f>
        <v>0</v>
      </c>
      <c r="J822" s="67" t="n">
        <f aca="false">IF(OR($A822="",$I822=0),0,$H822/$I822)</f>
        <v>0</v>
      </c>
      <c r="K822" s="33" t="n">
        <f aca="false">IF($A822="",0,$A822-SUMPRODUCT(MIN(($C$8:$C$1007=$C822)*$A$8:$A$1007+($C$8:$C$1007&lt;&gt;$C822)*100000))+1)</f>
        <v>0</v>
      </c>
      <c r="L822" s="19" t="str">
        <f aca="false">IF($A822="","",IF($J822=0,"Sem registro anterior",IF($K822&lt;21,"Histórico insuficiente",IF($J822&lt;0.8,"Subcarga",IF($J822&lt;=1.3,"Zona ideal",IF($J822&lt;=1.5,"Atenção","Risco elevado"))))))</f>
        <v/>
      </c>
      <c r="M822" s="20"/>
    </row>
    <row r="823" customFormat="false" ht="15" hidden="false" customHeight="false" outlineLevel="0" collapsed="false">
      <c r="A823" s="21"/>
      <c r="B823" s="33" t="n">
        <f aca="false">IF($A823="",0,INT(($A823-Macrociclo!$C$11)/7)+1)</f>
        <v>0</v>
      </c>
      <c r="C823" s="20"/>
      <c r="D823" s="20"/>
      <c r="E823" s="22"/>
      <c r="F823" s="22"/>
      <c r="G823" s="48" t="n">
        <f aca="false">IF(OR($E823="",$F823=""),0,$E823*$F823)</f>
        <v>0</v>
      </c>
      <c r="H823" s="48" t="n">
        <f aca="false">IF($A823="",0,SUMIFS($G$8:$G$1007,$C$8:$C$1007,$C823,$A$8:$A$1007,"&gt;="&amp;$A823-6,$A$8:$A$1007,"&lt;="&amp;$A823))</f>
        <v>0</v>
      </c>
      <c r="I823" s="48" t="n">
        <f aca="false">IF($A823="",0,SUMIFS($G$8:$G$1007,$C$8:$C$1007,$C823,$A$8:$A$1007,"&gt;="&amp;$A823-27,$A$8:$A$1007,"&lt;="&amp;$A823)/4)</f>
        <v>0</v>
      </c>
      <c r="J823" s="67" t="n">
        <f aca="false">IF(OR($A823="",$I823=0),0,$H823/$I823)</f>
        <v>0</v>
      </c>
      <c r="K823" s="33" t="n">
        <f aca="false">IF($A823="",0,$A823-SUMPRODUCT(MIN(($C$8:$C$1007=$C823)*$A$8:$A$1007+($C$8:$C$1007&lt;&gt;$C823)*100000))+1)</f>
        <v>0</v>
      </c>
      <c r="L823" s="19" t="str">
        <f aca="false">IF($A823="","",IF($J823=0,"Sem registro anterior",IF($K823&lt;21,"Histórico insuficiente",IF($J823&lt;0.8,"Subcarga",IF($J823&lt;=1.3,"Zona ideal",IF($J823&lt;=1.5,"Atenção","Risco elevado"))))))</f>
        <v/>
      </c>
      <c r="M823" s="20"/>
    </row>
    <row r="824" customFormat="false" ht="15" hidden="false" customHeight="false" outlineLevel="0" collapsed="false">
      <c r="A824" s="21"/>
      <c r="B824" s="33" t="n">
        <f aca="false">IF($A824="",0,INT(($A824-Macrociclo!$C$11)/7)+1)</f>
        <v>0</v>
      </c>
      <c r="C824" s="20"/>
      <c r="D824" s="20"/>
      <c r="E824" s="22"/>
      <c r="F824" s="22"/>
      <c r="G824" s="48" t="n">
        <f aca="false">IF(OR($E824="",$F824=""),0,$E824*$F824)</f>
        <v>0</v>
      </c>
      <c r="H824" s="48" t="n">
        <f aca="false">IF($A824="",0,SUMIFS($G$8:$G$1007,$C$8:$C$1007,$C824,$A$8:$A$1007,"&gt;="&amp;$A824-6,$A$8:$A$1007,"&lt;="&amp;$A824))</f>
        <v>0</v>
      </c>
      <c r="I824" s="48" t="n">
        <f aca="false">IF($A824="",0,SUMIFS($G$8:$G$1007,$C$8:$C$1007,$C824,$A$8:$A$1007,"&gt;="&amp;$A824-27,$A$8:$A$1007,"&lt;="&amp;$A824)/4)</f>
        <v>0</v>
      </c>
      <c r="J824" s="67" t="n">
        <f aca="false">IF(OR($A824="",$I824=0),0,$H824/$I824)</f>
        <v>0</v>
      </c>
      <c r="K824" s="33" t="n">
        <f aca="false">IF($A824="",0,$A824-SUMPRODUCT(MIN(($C$8:$C$1007=$C824)*$A$8:$A$1007+($C$8:$C$1007&lt;&gt;$C824)*100000))+1)</f>
        <v>0</v>
      </c>
      <c r="L824" s="19" t="str">
        <f aca="false">IF($A824="","",IF($J824=0,"Sem registro anterior",IF($K824&lt;21,"Histórico insuficiente",IF($J824&lt;0.8,"Subcarga",IF($J824&lt;=1.3,"Zona ideal",IF($J824&lt;=1.5,"Atenção","Risco elevado"))))))</f>
        <v/>
      </c>
      <c r="M824" s="20"/>
    </row>
    <row r="825" customFormat="false" ht="15" hidden="false" customHeight="false" outlineLevel="0" collapsed="false">
      <c r="A825" s="21"/>
      <c r="B825" s="33" t="n">
        <f aca="false">IF($A825="",0,INT(($A825-Macrociclo!$C$11)/7)+1)</f>
        <v>0</v>
      </c>
      <c r="C825" s="20"/>
      <c r="D825" s="20"/>
      <c r="E825" s="22"/>
      <c r="F825" s="22"/>
      <c r="G825" s="48" t="n">
        <f aca="false">IF(OR($E825="",$F825=""),0,$E825*$F825)</f>
        <v>0</v>
      </c>
      <c r="H825" s="48" t="n">
        <f aca="false">IF($A825="",0,SUMIFS($G$8:$G$1007,$C$8:$C$1007,$C825,$A$8:$A$1007,"&gt;="&amp;$A825-6,$A$8:$A$1007,"&lt;="&amp;$A825))</f>
        <v>0</v>
      </c>
      <c r="I825" s="48" t="n">
        <f aca="false">IF($A825="",0,SUMIFS($G$8:$G$1007,$C$8:$C$1007,$C825,$A$8:$A$1007,"&gt;="&amp;$A825-27,$A$8:$A$1007,"&lt;="&amp;$A825)/4)</f>
        <v>0</v>
      </c>
      <c r="J825" s="67" t="n">
        <f aca="false">IF(OR($A825="",$I825=0),0,$H825/$I825)</f>
        <v>0</v>
      </c>
      <c r="K825" s="33" t="n">
        <f aca="false">IF($A825="",0,$A825-SUMPRODUCT(MIN(($C$8:$C$1007=$C825)*$A$8:$A$1007+($C$8:$C$1007&lt;&gt;$C825)*100000))+1)</f>
        <v>0</v>
      </c>
      <c r="L825" s="19" t="str">
        <f aca="false">IF($A825="","",IF($J825=0,"Sem registro anterior",IF($K825&lt;21,"Histórico insuficiente",IF($J825&lt;0.8,"Subcarga",IF($J825&lt;=1.3,"Zona ideal",IF($J825&lt;=1.5,"Atenção","Risco elevado"))))))</f>
        <v/>
      </c>
      <c r="M825" s="20"/>
    </row>
    <row r="826" customFormat="false" ht="15" hidden="false" customHeight="false" outlineLevel="0" collapsed="false">
      <c r="A826" s="21"/>
      <c r="B826" s="33" t="n">
        <f aca="false">IF($A826="",0,INT(($A826-Macrociclo!$C$11)/7)+1)</f>
        <v>0</v>
      </c>
      <c r="C826" s="20"/>
      <c r="D826" s="20"/>
      <c r="E826" s="22"/>
      <c r="F826" s="22"/>
      <c r="G826" s="48" t="n">
        <f aca="false">IF(OR($E826="",$F826=""),0,$E826*$F826)</f>
        <v>0</v>
      </c>
      <c r="H826" s="48" t="n">
        <f aca="false">IF($A826="",0,SUMIFS($G$8:$G$1007,$C$8:$C$1007,$C826,$A$8:$A$1007,"&gt;="&amp;$A826-6,$A$8:$A$1007,"&lt;="&amp;$A826))</f>
        <v>0</v>
      </c>
      <c r="I826" s="48" t="n">
        <f aca="false">IF($A826="",0,SUMIFS($G$8:$G$1007,$C$8:$C$1007,$C826,$A$8:$A$1007,"&gt;="&amp;$A826-27,$A$8:$A$1007,"&lt;="&amp;$A826)/4)</f>
        <v>0</v>
      </c>
      <c r="J826" s="67" t="n">
        <f aca="false">IF(OR($A826="",$I826=0),0,$H826/$I826)</f>
        <v>0</v>
      </c>
      <c r="K826" s="33" t="n">
        <f aca="false">IF($A826="",0,$A826-SUMPRODUCT(MIN(($C$8:$C$1007=$C826)*$A$8:$A$1007+($C$8:$C$1007&lt;&gt;$C826)*100000))+1)</f>
        <v>0</v>
      </c>
      <c r="L826" s="19" t="str">
        <f aca="false">IF($A826="","",IF($J826=0,"Sem registro anterior",IF($K826&lt;21,"Histórico insuficiente",IF($J826&lt;0.8,"Subcarga",IF($J826&lt;=1.3,"Zona ideal",IF($J826&lt;=1.5,"Atenção","Risco elevado"))))))</f>
        <v/>
      </c>
      <c r="M826" s="20"/>
    </row>
    <row r="827" customFormat="false" ht="15" hidden="false" customHeight="false" outlineLevel="0" collapsed="false">
      <c r="A827" s="21"/>
      <c r="B827" s="33" t="n">
        <f aca="false">IF($A827="",0,INT(($A827-Macrociclo!$C$11)/7)+1)</f>
        <v>0</v>
      </c>
      <c r="C827" s="20"/>
      <c r="D827" s="20"/>
      <c r="E827" s="22"/>
      <c r="F827" s="22"/>
      <c r="G827" s="48" t="n">
        <f aca="false">IF(OR($E827="",$F827=""),0,$E827*$F827)</f>
        <v>0</v>
      </c>
      <c r="H827" s="48" t="n">
        <f aca="false">IF($A827="",0,SUMIFS($G$8:$G$1007,$C$8:$C$1007,$C827,$A$8:$A$1007,"&gt;="&amp;$A827-6,$A$8:$A$1007,"&lt;="&amp;$A827))</f>
        <v>0</v>
      </c>
      <c r="I827" s="48" t="n">
        <f aca="false">IF($A827="",0,SUMIFS($G$8:$G$1007,$C$8:$C$1007,$C827,$A$8:$A$1007,"&gt;="&amp;$A827-27,$A$8:$A$1007,"&lt;="&amp;$A827)/4)</f>
        <v>0</v>
      </c>
      <c r="J827" s="67" t="n">
        <f aca="false">IF(OR($A827="",$I827=0),0,$H827/$I827)</f>
        <v>0</v>
      </c>
      <c r="K827" s="33" t="n">
        <f aca="false">IF($A827="",0,$A827-SUMPRODUCT(MIN(($C$8:$C$1007=$C827)*$A$8:$A$1007+($C$8:$C$1007&lt;&gt;$C827)*100000))+1)</f>
        <v>0</v>
      </c>
      <c r="L827" s="19" t="str">
        <f aca="false">IF($A827="","",IF($J827=0,"Sem registro anterior",IF($K827&lt;21,"Histórico insuficiente",IF($J827&lt;0.8,"Subcarga",IF($J827&lt;=1.3,"Zona ideal",IF($J827&lt;=1.5,"Atenção","Risco elevado"))))))</f>
        <v/>
      </c>
      <c r="M827" s="20"/>
    </row>
    <row r="828" customFormat="false" ht="15" hidden="false" customHeight="false" outlineLevel="0" collapsed="false">
      <c r="A828" s="21"/>
      <c r="B828" s="33" t="n">
        <f aca="false">IF($A828="",0,INT(($A828-Macrociclo!$C$11)/7)+1)</f>
        <v>0</v>
      </c>
      <c r="C828" s="20"/>
      <c r="D828" s="20"/>
      <c r="E828" s="22"/>
      <c r="F828" s="22"/>
      <c r="G828" s="48" t="n">
        <f aca="false">IF(OR($E828="",$F828=""),0,$E828*$F828)</f>
        <v>0</v>
      </c>
      <c r="H828" s="48" t="n">
        <f aca="false">IF($A828="",0,SUMIFS($G$8:$G$1007,$C$8:$C$1007,$C828,$A$8:$A$1007,"&gt;="&amp;$A828-6,$A$8:$A$1007,"&lt;="&amp;$A828))</f>
        <v>0</v>
      </c>
      <c r="I828" s="48" t="n">
        <f aca="false">IF($A828="",0,SUMIFS($G$8:$G$1007,$C$8:$C$1007,$C828,$A$8:$A$1007,"&gt;="&amp;$A828-27,$A$8:$A$1007,"&lt;="&amp;$A828)/4)</f>
        <v>0</v>
      </c>
      <c r="J828" s="67" t="n">
        <f aca="false">IF(OR($A828="",$I828=0),0,$H828/$I828)</f>
        <v>0</v>
      </c>
      <c r="K828" s="33" t="n">
        <f aca="false">IF($A828="",0,$A828-SUMPRODUCT(MIN(($C$8:$C$1007=$C828)*$A$8:$A$1007+($C$8:$C$1007&lt;&gt;$C828)*100000))+1)</f>
        <v>0</v>
      </c>
      <c r="L828" s="19" t="str">
        <f aca="false">IF($A828="","",IF($J828=0,"Sem registro anterior",IF($K828&lt;21,"Histórico insuficiente",IF($J828&lt;0.8,"Subcarga",IF($J828&lt;=1.3,"Zona ideal",IF($J828&lt;=1.5,"Atenção","Risco elevado"))))))</f>
        <v/>
      </c>
      <c r="M828" s="20"/>
    </row>
    <row r="829" customFormat="false" ht="15" hidden="false" customHeight="false" outlineLevel="0" collapsed="false">
      <c r="A829" s="21"/>
      <c r="B829" s="33" t="n">
        <f aca="false">IF($A829="",0,INT(($A829-Macrociclo!$C$11)/7)+1)</f>
        <v>0</v>
      </c>
      <c r="C829" s="20"/>
      <c r="D829" s="20"/>
      <c r="E829" s="22"/>
      <c r="F829" s="22"/>
      <c r="G829" s="48" t="n">
        <f aca="false">IF(OR($E829="",$F829=""),0,$E829*$F829)</f>
        <v>0</v>
      </c>
      <c r="H829" s="48" t="n">
        <f aca="false">IF($A829="",0,SUMIFS($G$8:$G$1007,$C$8:$C$1007,$C829,$A$8:$A$1007,"&gt;="&amp;$A829-6,$A$8:$A$1007,"&lt;="&amp;$A829))</f>
        <v>0</v>
      </c>
      <c r="I829" s="48" t="n">
        <f aca="false">IF($A829="",0,SUMIFS($G$8:$G$1007,$C$8:$C$1007,$C829,$A$8:$A$1007,"&gt;="&amp;$A829-27,$A$8:$A$1007,"&lt;="&amp;$A829)/4)</f>
        <v>0</v>
      </c>
      <c r="J829" s="67" t="n">
        <f aca="false">IF(OR($A829="",$I829=0),0,$H829/$I829)</f>
        <v>0</v>
      </c>
      <c r="K829" s="33" t="n">
        <f aca="false">IF($A829="",0,$A829-SUMPRODUCT(MIN(($C$8:$C$1007=$C829)*$A$8:$A$1007+($C$8:$C$1007&lt;&gt;$C829)*100000))+1)</f>
        <v>0</v>
      </c>
      <c r="L829" s="19" t="str">
        <f aca="false">IF($A829="","",IF($J829=0,"Sem registro anterior",IF($K829&lt;21,"Histórico insuficiente",IF($J829&lt;0.8,"Subcarga",IF($J829&lt;=1.3,"Zona ideal",IF($J829&lt;=1.5,"Atenção","Risco elevado"))))))</f>
        <v/>
      </c>
      <c r="M829" s="20"/>
    </row>
    <row r="830" customFormat="false" ht="15" hidden="false" customHeight="false" outlineLevel="0" collapsed="false">
      <c r="A830" s="21"/>
      <c r="B830" s="33" t="n">
        <f aca="false">IF($A830="",0,INT(($A830-Macrociclo!$C$11)/7)+1)</f>
        <v>0</v>
      </c>
      <c r="C830" s="20"/>
      <c r="D830" s="20"/>
      <c r="E830" s="22"/>
      <c r="F830" s="22"/>
      <c r="G830" s="48" t="n">
        <f aca="false">IF(OR($E830="",$F830=""),0,$E830*$F830)</f>
        <v>0</v>
      </c>
      <c r="H830" s="48" t="n">
        <f aca="false">IF($A830="",0,SUMIFS($G$8:$G$1007,$C$8:$C$1007,$C830,$A$8:$A$1007,"&gt;="&amp;$A830-6,$A$8:$A$1007,"&lt;="&amp;$A830))</f>
        <v>0</v>
      </c>
      <c r="I830" s="48" t="n">
        <f aca="false">IF($A830="",0,SUMIFS($G$8:$G$1007,$C$8:$C$1007,$C830,$A$8:$A$1007,"&gt;="&amp;$A830-27,$A$8:$A$1007,"&lt;="&amp;$A830)/4)</f>
        <v>0</v>
      </c>
      <c r="J830" s="67" t="n">
        <f aca="false">IF(OR($A830="",$I830=0),0,$H830/$I830)</f>
        <v>0</v>
      </c>
      <c r="K830" s="33" t="n">
        <f aca="false">IF($A830="",0,$A830-SUMPRODUCT(MIN(($C$8:$C$1007=$C830)*$A$8:$A$1007+($C$8:$C$1007&lt;&gt;$C830)*100000))+1)</f>
        <v>0</v>
      </c>
      <c r="L830" s="19" t="str">
        <f aca="false">IF($A830="","",IF($J830=0,"Sem registro anterior",IF($K830&lt;21,"Histórico insuficiente",IF($J830&lt;0.8,"Subcarga",IF($J830&lt;=1.3,"Zona ideal",IF($J830&lt;=1.5,"Atenção","Risco elevado"))))))</f>
        <v/>
      </c>
      <c r="M830" s="20"/>
    </row>
    <row r="831" customFormat="false" ht="15" hidden="false" customHeight="false" outlineLevel="0" collapsed="false">
      <c r="A831" s="21"/>
      <c r="B831" s="33" t="n">
        <f aca="false">IF($A831="",0,INT(($A831-Macrociclo!$C$11)/7)+1)</f>
        <v>0</v>
      </c>
      <c r="C831" s="20"/>
      <c r="D831" s="20"/>
      <c r="E831" s="22"/>
      <c r="F831" s="22"/>
      <c r="G831" s="48" t="n">
        <f aca="false">IF(OR($E831="",$F831=""),0,$E831*$F831)</f>
        <v>0</v>
      </c>
      <c r="H831" s="48" t="n">
        <f aca="false">IF($A831="",0,SUMIFS($G$8:$G$1007,$C$8:$C$1007,$C831,$A$8:$A$1007,"&gt;="&amp;$A831-6,$A$8:$A$1007,"&lt;="&amp;$A831))</f>
        <v>0</v>
      </c>
      <c r="I831" s="48" t="n">
        <f aca="false">IF($A831="",0,SUMIFS($G$8:$G$1007,$C$8:$C$1007,$C831,$A$8:$A$1007,"&gt;="&amp;$A831-27,$A$8:$A$1007,"&lt;="&amp;$A831)/4)</f>
        <v>0</v>
      </c>
      <c r="J831" s="67" t="n">
        <f aca="false">IF(OR($A831="",$I831=0),0,$H831/$I831)</f>
        <v>0</v>
      </c>
      <c r="K831" s="33" t="n">
        <f aca="false">IF($A831="",0,$A831-SUMPRODUCT(MIN(($C$8:$C$1007=$C831)*$A$8:$A$1007+($C$8:$C$1007&lt;&gt;$C831)*100000))+1)</f>
        <v>0</v>
      </c>
      <c r="L831" s="19" t="str">
        <f aca="false">IF($A831="","",IF($J831=0,"Sem registro anterior",IF($K831&lt;21,"Histórico insuficiente",IF($J831&lt;0.8,"Subcarga",IF($J831&lt;=1.3,"Zona ideal",IF($J831&lt;=1.5,"Atenção","Risco elevado"))))))</f>
        <v/>
      </c>
      <c r="M831" s="20"/>
    </row>
    <row r="832" customFormat="false" ht="15" hidden="false" customHeight="false" outlineLevel="0" collapsed="false">
      <c r="A832" s="21"/>
      <c r="B832" s="33" t="n">
        <f aca="false">IF($A832="",0,INT(($A832-Macrociclo!$C$11)/7)+1)</f>
        <v>0</v>
      </c>
      <c r="C832" s="20"/>
      <c r="D832" s="20"/>
      <c r="E832" s="22"/>
      <c r="F832" s="22"/>
      <c r="G832" s="48" t="n">
        <f aca="false">IF(OR($E832="",$F832=""),0,$E832*$F832)</f>
        <v>0</v>
      </c>
      <c r="H832" s="48" t="n">
        <f aca="false">IF($A832="",0,SUMIFS($G$8:$G$1007,$C$8:$C$1007,$C832,$A$8:$A$1007,"&gt;="&amp;$A832-6,$A$8:$A$1007,"&lt;="&amp;$A832))</f>
        <v>0</v>
      </c>
      <c r="I832" s="48" t="n">
        <f aca="false">IF($A832="",0,SUMIFS($G$8:$G$1007,$C$8:$C$1007,$C832,$A$8:$A$1007,"&gt;="&amp;$A832-27,$A$8:$A$1007,"&lt;="&amp;$A832)/4)</f>
        <v>0</v>
      </c>
      <c r="J832" s="67" t="n">
        <f aca="false">IF(OR($A832="",$I832=0),0,$H832/$I832)</f>
        <v>0</v>
      </c>
      <c r="K832" s="33" t="n">
        <f aca="false">IF($A832="",0,$A832-SUMPRODUCT(MIN(($C$8:$C$1007=$C832)*$A$8:$A$1007+($C$8:$C$1007&lt;&gt;$C832)*100000))+1)</f>
        <v>0</v>
      </c>
      <c r="L832" s="19" t="str">
        <f aca="false">IF($A832="","",IF($J832=0,"Sem registro anterior",IF($K832&lt;21,"Histórico insuficiente",IF($J832&lt;0.8,"Subcarga",IF($J832&lt;=1.3,"Zona ideal",IF($J832&lt;=1.5,"Atenção","Risco elevado"))))))</f>
        <v/>
      </c>
      <c r="M832" s="20"/>
    </row>
    <row r="833" customFormat="false" ht="15" hidden="false" customHeight="false" outlineLevel="0" collapsed="false">
      <c r="A833" s="21"/>
      <c r="B833" s="33" t="n">
        <f aca="false">IF($A833="",0,INT(($A833-Macrociclo!$C$11)/7)+1)</f>
        <v>0</v>
      </c>
      <c r="C833" s="20"/>
      <c r="D833" s="20"/>
      <c r="E833" s="22"/>
      <c r="F833" s="22"/>
      <c r="G833" s="48" t="n">
        <f aca="false">IF(OR($E833="",$F833=""),0,$E833*$F833)</f>
        <v>0</v>
      </c>
      <c r="H833" s="48" t="n">
        <f aca="false">IF($A833="",0,SUMIFS($G$8:$G$1007,$C$8:$C$1007,$C833,$A$8:$A$1007,"&gt;="&amp;$A833-6,$A$8:$A$1007,"&lt;="&amp;$A833))</f>
        <v>0</v>
      </c>
      <c r="I833" s="48" t="n">
        <f aca="false">IF($A833="",0,SUMIFS($G$8:$G$1007,$C$8:$C$1007,$C833,$A$8:$A$1007,"&gt;="&amp;$A833-27,$A$8:$A$1007,"&lt;="&amp;$A833)/4)</f>
        <v>0</v>
      </c>
      <c r="J833" s="67" t="n">
        <f aca="false">IF(OR($A833="",$I833=0),0,$H833/$I833)</f>
        <v>0</v>
      </c>
      <c r="K833" s="33" t="n">
        <f aca="false">IF($A833="",0,$A833-SUMPRODUCT(MIN(($C$8:$C$1007=$C833)*$A$8:$A$1007+($C$8:$C$1007&lt;&gt;$C833)*100000))+1)</f>
        <v>0</v>
      </c>
      <c r="L833" s="19" t="str">
        <f aca="false">IF($A833="","",IF($J833=0,"Sem registro anterior",IF($K833&lt;21,"Histórico insuficiente",IF($J833&lt;0.8,"Subcarga",IF($J833&lt;=1.3,"Zona ideal",IF($J833&lt;=1.5,"Atenção","Risco elevado"))))))</f>
        <v/>
      </c>
      <c r="M833" s="20"/>
    </row>
    <row r="834" customFormat="false" ht="15" hidden="false" customHeight="false" outlineLevel="0" collapsed="false">
      <c r="A834" s="21"/>
      <c r="B834" s="33" t="n">
        <f aca="false">IF($A834="",0,INT(($A834-Macrociclo!$C$11)/7)+1)</f>
        <v>0</v>
      </c>
      <c r="C834" s="20"/>
      <c r="D834" s="20"/>
      <c r="E834" s="22"/>
      <c r="F834" s="22"/>
      <c r="G834" s="48" t="n">
        <f aca="false">IF(OR($E834="",$F834=""),0,$E834*$F834)</f>
        <v>0</v>
      </c>
      <c r="H834" s="48" t="n">
        <f aca="false">IF($A834="",0,SUMIFS($G$8:$G$1007,$C$8:$C$1007,$C834,$A$8:$A$1007,"&gt;="&amp;$A834-6,$A$8:$A$1007,"&lt;="&amp;$A834))</f>
        <v>0</v>
      </c>
      <c r="I834" s="48" t="n">
        <f aca="false">IF($A834="",0,SUMIFS($G$8:$G$1007,$C$8:$C$1007,$C834,$A$8:$A$1007,"&gt;="&amp;$A834-27,$A$8:$A$1007,"&lt;="&amp;$A834)/4)</f>
        <v>0</v>
      </c>
      <c r="J834" s="67" t="n">
        <f aca="false">IF(OR($A834="",$I834=0),0,$H834/$I834)</f>
        <v>0</v>
      </c>
      <c r="K834" s="33" t="n">
        <f aca="false">IF($A834="",0,$A834-SUMPRODUCT(MIN(($C$8:$C$1007=$C834)*$A$8:$A$1007+($C$8:$C$1007&lt;&gt;$C834)*100000))+1)</f>
        <v>0</v>
      </c>
      <c r="L834" s="19" t="str">
        <f aca="false">IF($A834="","",IF($J834=0,"Sem registro anterior",IF($K834&lt;21,"Histórico insuficiente",IF($J834&lt;0.8,"Subcarga",IF($J834&lt;=1.3,"Zona ideal",IF($J834&lt;=1.5,"Atenção","Risco elevado"))))))</f>
        <v/>
      </c>
      <c r="M834" s="20"/>
    </row>
    <row r="835" customFormat="false" ht="15" hidden="false" customHeight="false" outlineLevel="0" collapsed="false">
      <c r="A835" s="21"/>
      <c r="B835" s="33" t="n">
        <f aca="false">IF($A835="",0,INT(($A835-Macrociclo!$C$11)/7)+1)</f>
        <v>0</v>
      </c>
      <c r="C835" s="20"/>
      <c r="D835" s="20"/>
      <c r="E835" s="22"/>
      <c r="F835" s="22"/>
      <c r="G835" s="48" t="n">
        <f aca="false">IF(OR($E835="",$F835=""),0,$E835*$F835)</f>
        <v>0</v>
      </c>
      <c r="H835" s="48" t="n">
        <f aca="false">IF($A835="",0,SUMIFS($G$8:$G$1007,$C$8:$C$1007,$C835,$A$8:$A$1007,"&gt;="&amp;$A835-6,$A$8:$A$1007,"&lt;="&amp;$A835))</f>
        <v>0</v>
      </c>
      <c r="I835" s="48" t="n">
        <f aca="false">IF($A835="",0,SUMIFS($G$8:$G$1007,$C$8:$C$1007,$C835,$A$8:$A$1007,"&gt;="&amp;$A835-27,$A$8:$A$1007,"&lt;="&amp;$A835)/4)</f>
        <v>0</v>
      </c>
      <c r="J835" s="67" t="n">
        <f aca="false">IF(OR($A835="",$I835=0),0,$H835/$I835)</f>
        <v>0</v>
      </c>
      <c r="K835" s="33" t="n">
        <f aca="false">IF($A835="",0,$A835-SUMPRODUCT(MIN(($C$8:$C$1007=$C835)*$A$8:$A$1007+($C$8:$C$1007&lt;&gt;$C835)*100000))+1)</f>
        <v>0</v>
      </c>
      <c r="L835" s="19" t="str">
        <f aca="false">IF($A835="","",IF($J835=0,"Sem registro anterior",IF($K835&lt;21,"Histórico insuficiente",IF($J835&lt;0.8,"Subcarga",IF($J835&lt;=1.3,"Zona ideal",IF($J835&lt;=1.5,"Atenção","Risco elevado"))))))</f>
        <v/>
      </c>
      <c r="M835" s="20"/>
    </row>
    <row r="836" customFormat="false" ht="15" hidden="false" customHeight="false" outlineLevel="0" collapsed="false">
      <c r="A836" s="21"/>
      <c r="B836" s="33" t="n">
        <f aca="false">IF($A836="",0,INT(($A836-Macrociclo!$C$11)/7)+1)</f>
        <v>0</v>
      </c>
      <c r="C836" s="20"/>
      <c r="D836" s="20"/>
      <c r="E836" s="22"/>
      <c r="F836" s="22"/>
      <c r="G836" s="48" t="n">
        <f aca="false">IF(OR($E836="",$F836=""),0,$E836*$F836)</f>
        <v>0</v>
      </c>
      <c r="H836" s="48" t="n">
        <f aca="false">IF($A836="",0,SUMIFS($G$8:$G$1007,$C$8:$C$1007,$C836,$A$8:$A$1007,"&gt;="&amp;$A836-6,$A$8:$A$1007,"&lt;="&amp;$A836))</f>
        <v>0</v>
      </c>
      <c r="I836" s="48" t="n">
        <f aca="false">IF($A836="",0,SUMIFS($G$8:$G$1007,$C$8:$C$1007,$C836,$A$8:$A$1007,"&gt;="&amp;$A836-27,$A$8:$A$1007,"&lt;="&amp;$A836)/4)</f>
        <v>0</v>
      </c>
      <c r="J836" s="67" t="n">
        <f aca="false">IF(OR($A836="",$I836=0),0,$H836/$I836)</f>
        <v>0</v>
      </c>
      <c r="K836" s="33" t="n">
        <f aca="false">IF($A836="",0,$A836-SUMPRODUCT(MIN(($C$8:$C$1007=$C836)*$A$8:$A$1007+($C$8:$C$1007&lt;&gt;$C836)*100000))+1)</f>
        <v>0</v>
      </c>
      <c r="L836" s="19" t="str">
        <f aca="false">IF($A836="","",IF($J836=0,"Sem registro anterior",IF($K836&lt;21,"Histórico insuficiente",IF($J836&lt;0.8,"Subcarga",IF($J836&lt;=1.3,"Zona ideal",IF($J836&lt;=1.5,"Atenção","Risco elevado"))))))</f>
        <v/>
      </c>
      <c r="M836" s="20"/>
    </row>
    <row r="837" customFormat="false" ht="15" hidden="false" customHeight="false" outlineLevel="0" collapsed="false">
      <c r="A837" s="21"/>
      <c r="B837" s="33" t="n">
        <f aca="false">IF($A837="",0,INT(($A837-Macrociclo!$C$11)/7)+1)</f>
        <v>0</v>
      </c>
      <c r="C837" s="20"/>
      <c r="D837" s="20"/>
      <c r="E837" s="22"/>
      <c r="F837" s="22"/>
      <c r="G837" s="48" t="n">
        <f aca="false">IF(OR($E837="",$F837=""),0,$E837*$F837)</f>
        <v>0</v>
      </c>
      <c r="H837" s="48" t="n">
        <f aca="false">IF($A837="",0,SUMIFS($G$8:$G$1007,$C$8:$C$1007,$C837,$A$8:$A$1007,"&gt;="&amp;$A837-6,$A$8:$A$1007,"&lt;="&amp;$A837))</f>
        <v>0</v>
      </c>
      <c r="I837" s="48" t="n">
        <f aca="false">IF($A837="",0,SUMIFS($G$8:$G$1007,$C$8:$C$1007,$C837,$A$8:$A$1007,"&gt;="&amp;$A837-27,$A$8:$A$1007,"&lt;="&amp;$A837)/4)</f>
        <v>0</v>
      </c>
      <c r="J837" s="67" t="n">
        <f aca="false">IF(OR($A837="",$I837=0),0,$H837/$I837)</f>
        <v>0</v>
      </c>
      <c r="K837" s="33" t="n">
        <f aca="false">IF($A837="",0,$A837-SUMPRODUCT(MIN(($C$8:$C$1007=$C837)*$A$8:$A$1007+($C$8:$C$1007&lt;&gt;$C837)*100000))+1)</f>
        <v>0</v>
      </c>
      <c r="L837" s="19" t="str">
        <f aca="false">IF($A837="","",IF($J837=0,"Sem registro anterior",IF($K837&lt;21,"Histórico insuficiente",IF($J837&lt;0.8,"Subcarga",IF($J837&lt;=1.3,"Zona ideal",IF($J837&lt;=1.5,"Atenção","Risco elevado"))))))</f>
        <v/>
      </c>
      <c r="M837" s="20"/>
    </row>
    <row r="838" customFormat="false" ht="15" hidden="false" customHeight="false" outlineLevel="0" collapsed="false">
      <c r="A838" s="21"/>
      <c r="B838" s="33" t="n">
        <f aca="false">IF($A838="",0,INT(($A838-Macrociclo!$C$11)/7)+1)</f>
        <v>0</v>
      </c>
      <c r="C838" s="20"/>
      <c r="D838" s="20"/>
      <c r="E838" s="22"/>
      <c r="F838" s="22"/>
      <c r="G838" s="48" t="n">
        <f aca="false">IF(OR($E838="",$F838=""),0,$E838*$F838)</f>
        <v>0</v>
      </c>
      <c r="H838" s="48" t="n">
        <f aca="false">IF($A838="",0,SUMIFS($G$8:$G$1007,$C$8:$C$1007,$C838,$A$8:$A$1007,"&gt;="&amp;$A838-6,$A$8:$A$1007,"&lt;="&amp;$A838))</f>
        <v>0</v>
      </c>
      <c r="I838" s="48" t="n">
        <f aca="false">IF($A838="",0,SUMIFS($G$8:$G$1007,$C$8:$C$1007,$C838,$A$8:$A$1007,"&gt;="&amp;$A838-27,$A$8:$A$1007,"&lt;="&amp;$A838)/4)</f>
        <v>0</v>
      </c>
      <c r="J838" s="67" t="n">
        <f aca="false">IF(OR($A838="",$I838=0),0,$H838/$I838)</f>
        <v>0</v>
      </c>
      <c r="K838" s="33" t="n">
        <f aca="false">IF($A838="",0,$A838-SUMPRODUCT(MIN(($C$8:$C$1007=$C838)*$A$8:$A$1007+($C$8:$C$1007&lt;&gt;$C838)*100000))+1)</f>
        <v>0</v>
      </c>
      <c r="L838" s="19" t="str">
        <f aca="false">IF($A838="","",IF($J838=0,"Sem registro anterior",IF($K838&lt;21,"Histórico insuficiente",IF($J838&lt;0.8,"Subcarga",IF($J838&lt;=1.3,"Zona ideal",IF($J838&lt;=1.5,"Atenção","Risco elevado"))))))</f>
        <v/>
      </c>
      <c r="M838" s="20"/>
    </row>
    <row r="839" customFormat="false" ht="15" hidden="false" customHeight="false" outlineLevel="0" collapsed="false">
      <c r="A839" s="21"/>
      <c r="B839" s="33" t="n">
        <f aca="false">IF($A839="",0,INT(($A839-Macrociclo!$C$11)/7)+1)</f>
        <v>0</v>
      </c>
      <c r="C839" s="20"/>
      <c r="D839" s="20"/>
      <c r="E839" s="22"/>
      <c r="F839" s="22"/>
      <c r="G839" s="48" t="n">
        <f aca="false">IF(OR($E839="",$F839=""),0,$E839*$F839)</f>
        <v>0</v>
      </c>
      <c r="H839" s="48" t="n">
        <f aca="false">IF($A839="",0,SUMIFS($G$8:$G$1007,$C$8:$C$1007,$C839,$A$8:$A$1007,"&gt;="&amp;$A839-6,$A$8:$A$1007,"&lt;="&amp;$A839))</f>
        <v>0</v>
      </c>
      <c r="I839" s="48" t="n">
        <f aca="false">IF($A839="",0,SUMIFS($G$8:$G$1007,$C$8:$C$1007,$C839,$A$8:$A$1007,"&gt;="&amp;$A839-27,$A$8:$A$1007,"&lt;="&amp;$A839)/4)</f>
        <v>0</v>
      </c>
      <c r="J839" s="67" t="n">
        <f aca="false">IF(OR($A839="",$I839=0),0,$H839/$I839)</f>
        <v>0</v>
      </c>
      <c r="K839" s="33" t="n">
        <f aca="false">IF($A839="",0,$A839-SUMPRODUCT(MIN(($C$8:$C$1007=$C839)*$A$8:$A$1007+($C$8:$C$1007&lt;&gt;$C839)*100000))+1)</f>
        <v>0</v>
      </c>
      <c r="L839" s="19" t="str">
        <f aca="false">IF($A839="","",IF($J839=0,"Sem registro anterior",IF($K839&lt;21,"Histórico insuficiente",IF($J839&lt;0.8,"Subcarga",IF($J839&lt;=1.3,"Zona ideal",IF($J839&lt;=1.5,"Atenção","Risco elevado"))))))</f>
        <v/>
      </c>
      <c r="M839" s="20"/>
    </row>
    <row r="840" customFormat="false" ht="15" hidden="false" customHeight="false" outlineLevel="0" collapsed="false">
      <c r="A840" s="21"/>
      <c r="B840" s="33" t="n">
        <f aca="false">IF($A840="",0,INT(($A840-Macrociclo!$C$11)/7)+1)</f>
        <v>0</v>
      </c>
      <c r="C840" s="20"/>
      <c r="D840" s="20"/>
      <c r="E840" s="22"/>
      <c r="F840" s="22"/>
      <c r="G840" s="48" t="n">
        <f aca="false">IF(OR($E840="",$F840=""),0,$E840*$F840)</f>
        <v>0</v>
      </c>
      <c r="H840" s="48" t="n">
        <f aca="false">IF($A840="",0,SUMIFS($G$8:$G$1007,$C$8:$C$1007,$C840,$A$8:$A$1007,"&gt;="&amp;$A840-6,$A$8:$A$1007,"&lt;="&amp;$A840))</f>
        <v>0</v>
      </c>
      <c r="I840" s="48" t="n">
        <f aca="false">IF($A840="",0,SUMIFS($G$8:$G$1007,$C$8:$C$1007,$C840,$A$8:$A$1007,"&gt;="&amp;$A840-27,$A$8:$A$1007,"&lt;="&amp;$A840)/4)</f>
        <v>0</v>
      </c>
      <c r="J840" s="67" t="n">
        <f aca="false">IF(OR($A840="",$I840=0),0,$H840/$I840)</f>
        <v>0</v>
      </c>
      <c r="K840" s="33" t="n">
        <f aca="false">IF($A840="",0,$A840-SUMPRODUCT(MIN(($C$8:$C$1007=$C840)*$A$8:$A$1007+($C$8:$C$1007&lt;&gt;$C840)*100000))+1)</f>
        <v>0</v>
      </c>
      <c r="L840" s="19" t="str">
        <f aca="false">IF($A840="","",IF($J840=0,"Sem registro anterior",IF($K840&lt;21,"Histórico insuficiente",IF($J840&lt;0.8,"Subcarga",IF($J840&lt;=1.3,"Zona ideal",IF($J840&lt;=1.5,"Atenção","Risco elevado"))))))</f>
        <v/>
      </c>
      <c r="M840" s="20"/>
    </row>
    <row r="841" customFormat="false" ht="15" hidden="false" customHeight="false" outlineLevel="0" collapsed="false">
      <c r="A841" s="21"/>
      <c r="B841" s="33" t="n">
        <f aca="false">IF($A841="",0,INT(($A841-Macrociclo!$C$11)/7)+1)</f>
        <v>0</v>
      </c>
      <c r="C841" s="20"/>
      <c r="D841" s="20"/>
      <c r="E841" s="22"/>
      <c r="F841" s="22"/>
      <c r="G841" s="48" t="n">
        <f aca="false">IF(OR($E841="",$F841=""),0,$E841*$F841)</f>
        <v>0</v>
      </c>
      <c r="H841" s="48" t="n">
        <f aca="false">IF($A841="",0,SUMIFS($G$8:$G$1007,$C$8:$C$1007,$C841,$A$8:$A$1007,"&gt;="&amp;$A841-6,$A$8:$A$1007,"&lt;="&amp;$A841))</f>
        <v>0</v>
      </c>
      <c r="I841" s="48" t="n">
        <f aca="false">IF($A841="",0,SUMIFS($G$8:$G$1007,$C$8:$C$1007,$C841,$A$8:$A$1007,"&gt;="&amp;$A841-27,$A$8:$A$1007,"&lt;="&amp;$A841)/4)</f>
        <v>0</v>
      </c>
      <c r="J841" s="67" t="n">
        <f aca="false">IF(OR($A841="",$I841=0),0,$H841/$I841)</f>
        <v>0</v>
      </c>
      <c r="K841" s="33" t="n">
        <f aca="false">IF($A841="",0,$A841-SUMPRODUCT(MIN(($C$8:$C$1007=$C841)*$A$8:$A$1007+($C$8:$C$1007&lt;&gt;$C841)*100000))+1)</f>
        <v>0</v>
      </c>
      <c r="L841" s="19" t="str">
        <f aca="false">IF($A841="","",IF($J841=0,"Sem registro anterior",IF($K841&lt;21,"Histórico insuficiente",IF($J841&lt;0.8,"Subcarga",IF($J841&lt;=1.3,"Zona ideal",IF($J841&lt;=1.5,"Atenção","Risco elevado"))))))</f>
        <v/>
      </c>
      <c r="M841" s="20"/>
    </row>
    <row r="842" customFormat="false" ht="15" hidden="false" customHeight="false" outlineLevel="0" collapsed="false">
      <c r="A842" s="21"/>
      <c r="B842" s="33" t="n">
        <f aca="false">IF($A842="",0,INT(($A842-Macrociclo!$C$11)/7)+1)</f>
        <v>0</v>
      </c>
      <c r="C842" s="20"/>
      <c r="D842" s="20"/>
      <c r="E842" s="22"/>
      <c r="F842" s="22"/>
      <c r="G842" s="48" t="n">
        <f aca="false">IF(OR($E842="",$F842=""),0,$E842*$F842)</f>
        <v>0</v>
      </c>
      <c r="H842" s="48" t="n">
        <f aca="false">IF($A842="",0,SUMIFS($G$8:$G$1007,$C$8:$C$1007,$C842,$A$8:$A$1007,"&gt;="&amp;$A842-6,$A$8:$A$1007,"&lt;="&amp;$A842))</f>
        <v>0</v>
      </c>
      <c r="I842" s="48" t="n">
        <f aca="false">IF($A842="",0,SUMIFS($G$8:$G$1007,$C$8:$C$1007,$C842,$A$8:$A$1007,"&gt;="&amp;$A842-27,$A$8:$A$1007,"&lt;="&amp;$A842)/4)</f>
        <v>0</v>
      </c>
      <c r="J842" s="67" t="n">
        <f aca="false">IF(OR($A842="",$I842=0),0,$H842/$I842)</f>
        <v>0</v>
      </c>
      <c r="K842" s="33" t="n">
        <f aca="false">IF($A842="",0,$A842-SUMPRODUCT(MIN(($C$8:$C$1007=$C842)*$A$8:$A$1007+($C$8:$C$1007&lt;&gt;$C842)*100000))+1)</f>
        <v>0</v>
      </c>
      <c r="L842" s="19" t="str">
        <f aca="false">IF($A842="","",IF($J842=0,"Sem registro anterior",IF($K842&lt;21,"Histórico insuficiente",IF($J842&lt;0.8,"Subcarga",IF($J842&lt;=1.3,"Zona ideal",IF($J842&lt;=1.5,"Atenção","Risco elevado"))))))</f>
        <v/>
      </c>
      <c r="M842" s="20"/>
    </row>
    <row r="843" customFormat="false" ht="15" hidden="false" customHeight="false" outlineLevel="0" collapsed="false">
      <c r="A843" s="21"/>
      <c r="B843" s="33" t="n">
        <f aca="false">IF($A843="",0,INT(($A843-Macrociclo!$C$11)/7)+1)</f>
        <v>0</v>
      </c>
      <c r="C843" s="20"/>
      <c r="D843" s="20"/>
      <c r="E843" s="22"/>
      <c r="F843" s="22"/>
      <c r="G843" s="48" t="n">
        <f aca="false">IF(OR($E843="",$F843=""),0,$E843*$F843)</f>
        <v>0</v>
      </c>
      <c r="H843" s="48" t="n">
        <f aca="false">IF($A843="",0,SUMIFS($G$8:$G$1007,$C$8:$C$1007,$C843,$A$8:$A$1007,"&gt;="&amp;$A843-6,$A$8:$A$1007,"&lt;="&amp;$A843))</f>
        <v>0</v>
      </c>
      <c r="I843" s="48" t="n">
        <f aca="false">IF($A843="",0,SUMIFS($G$8:$G$1007,$C$8:$C$1007,$C843,$A$8:$A$1007,"&gt;="&amp;$A843-27,$A$8:$A$1007,"&lt;="&amp;$A843)/4)</f>
        <v>0</v>
      </c>
      <c r="J843" s="67" t="n">
        <f aca="false">IF(OR($A843="",$I843=0),0,$H843/$I843)</f>
        <v>0</v>
      </c>
      <c r="K843" s="33" t="n">
        <f aca="false">IF($A843="",0,$A843-SUMPRODUCT(MIN(($C$8:$C$1007=$C843)*$A$8:$A$1007+($C$8:$C$1007&lt;&gt;$C843)*100000))+1)</f>
        <v>0</v>
      </c>
      <c r="L843" s="19" t="str">
        <f aca="false">IF($A843="","",IF($J843=0,"Sem registro anterior",IF($K843&lt;21,"Histórico insuficiente",IF($J843&lt;0.8,"Subcarga",IF($J843&lt;=1.3,"Zona ideal",IF($J843&lt;=1.5,"Atenção","Risco elevado"))))))</f>
        <v/>
      </c>
      <c r="M843" s="20"/>
    </row>
    <row r="844" customFormat="false" ht="15" hidden="false" customHeight="false" outlineLevel="0" collapsed="false">
      <c r="A844" s="21"/>
      <c r="B844" s="33" t="n">
        <f aca="false">IF($A844="",0,INT(($A844-Macrociclo!$C$11)/7)+1)</f>
        <v>0</v>
      </c>
      <c r="C844" s="20"/>
      <c r="D844" s="20"/>
      <c r="E844" s="22"/>
      <c r="F844" s="22"/>
      <c r="G844" s="48" t="n">
        <f aca="false">IF(OR($E844="",$F844=""),0,$E844*$F844)</f>
        <v>0</v>
      </c>
      <c r="H844" s="48" t="n">
        <f aca="false">IF($A844="",0,SUMIFS($G$8:$G$1007,$C$8:$C$1007,$C844,$A$8:$A$1007,"&gt;="&amp;$A844-6,$A$8:$A$1007,"&lt;="&amp;$A844))</f>
        <v>0</v>
      </c>
      <c r="I844" s="48" t="n">
        <f aca="false">IF($A844="",0,SUMIFS($G$8:$G$1007,$C$8:$C$1007,$C844,$A$8:$A$1007,"&gt;="&amp;$A844-27,$A$8:$A$1007,"&lt;="&amp;$A844)/4)</f>
        <v>0</v>
      </c>
      <c r="J844" s="67" t="n">
        <f aca="false">IF(OR($A844="",$I844=0),0,$H844/$I844)</f>
        <v>0</v>
      </c>
      <c r="K844" s="33" t="n">
        <f aca="false">IF($A844="",0,$A844-SUMPRODUCT(MIN(($C$8:$C$1007=$C844)*$A$8:$A$1007+($C$8:$C$1007&lt;&gt;$C844)*100000))+1)</f>
        <v>0</v>
      </c>
      <c r="L844" s="19" t="str">
        <f aca="false">IF($A844="","",IF($J844=0,"Sem registro anterior",IF($K844&lt;21,"Histórico insuficiente",IF($J844&lt;0.8,"Subcarga",IF($J844&lt;=1.3,"Zona ideal",IF($J844&lt;=1.5,"Atenção","Risco elevado"))))))</f>
        <v/>
      </c>
      <c r="M844" s="20"/>
    </row>
    <row r="845" customFormat="false" ht="15" hidden="false" customHeight="false" outlineLevel="0" collapsed="false">
      <c r="A845" s="21"/>
      <c r="B845" s="33" t="n">
        <f aca="false">IF($A845="",0,INT(($A845-Macrociclo!$C$11)/7)+1)</f>
        <v>0</v>
      </c>
      <c r="C845" s="20"/>
      <c r="D845" s="20"/>
      <c r="E845" s="22"/>
      <c r="F845" s="22"/>
      <c r="G845" s="48" t="n">
        <f aca="false">IF(OR($E845="",$F845=""),0,$E845*$F845)</f>
        <v>0</v>
      </c>
      <c r="H845" s="48" t="n">
        <f aca="false">IF($A845="",0,SUMIFS($G$8:$G$1007,$C$8:$C$1007,$C845,$A$8:$A$1007,"&gt;="&amp;$A845-6,$A$8:$A$1007,"&lt;="&amp;$A845))</f>
        <v>0</v>
      </c>
      <c r="I845" s="48" t="n">
        <f aca="false">IF($A845="",0,SUMIFS($G$8:$G$1007,$C$8:$C$1007,$C845,$A$8:$A$1007,"&gt;="&amp;$A845-27,$A$8:$A$1007,"&lt;="&amp;$A845)/4)</f>
        <v>0</v>
      </c>
      <c r="J845" s="67" t="n">
        <f aca="false">IF(OR($A845="",$I845=0),0,$H845/$I845)</f>
        <v>0</v>
      </c>
      <c r="K845" s="33" t="n">
        <f aca="false">IF($A845="",0,$A845-SUMPRODUCT(MIN(($C$8:$C$1007=$C845)*$A$8:$A$1007+($C$8:$C$1007&lt;&gt;$C845)*100000))+1)</f>
        <v>0</v>
      </c>
      <c r="L845" s="19" t="str">
        <f aca="false">IF($A845="","",IF($J845=0,"Sem registro anterior",IF($K845&lt;21,"Histórico insuficiente",IF($J845&lt;0.8,"Subcarga",IF($J845&lt;=1.3,"Zona ideal",IF($J845&lt;=1.5,"Atenção","Risco elevado"))))))</f>
        <v/>
      </c>
      <c r="M845" s="20"/>
    </row>
    <row r="846" customFormat="false" ht="15" hidden="false" customHeight="false" outlineLevel="0" collapsed="false">
      <c r="A846" s="21"/>
      <c r="B846" s="33" t="n">
        <f aca="false">IF($A846="",0,INT(($A846-Macrociclo!$C$11)/7)+1)</f>
        <v>0</v>
      </c>
      <c r="C846" s="20"/>
      <c r="D846" s="20"/>
      <c r="E846" s="22"/>
      <c r="F846" s="22"/>
      <c r="G846" s="48" t="n">
        <f aca="false">IF(OR($E846="",$F846=""),0,$E846*$F846)</f>
        <v>0</v>
      </c>
      <c r="H846" s="48" t="n">
        <f aca="false">IF($A846="",0,SUMIFS($G$8:$G$1007,$C$8:$C$1007,$C846,$A$8:$A$1007,"&gt;="&amp;$A846-6,$A$8:$A$1007,"&lt;="&amp;$A846))</f>
        <v>0</v>
      </c>
      <c r="I846" s="48" t="n">
        <f aca="false">IF($A846="",0,SUMIFS($G$8:$G$1007,$C$8:$C$1007,$C846,$A$8:$A$1007,"&gt;="&amp;$A846-27,$A$8:$A$1007,"&lt;="&amp;$A846)/4)</f>
        <v>0</v>
      </c>
      <c r="J846" s="67" t="n">
        <f aca="false">IF(OR($A846="",$I846=0),0,$H846/$I846)</f>
        <v>0</v>
      </c>
      <c r="K846" s="33" t="n">
        <f aca="false">IF($A846="",0,$A846-SUMPRODUCT(MIN(($C$8:$C$1007=$C846)*$A$8:$A$1007+($C$8:$C$1007&lt;&gt;$C846)*100000))+1)</f>
        <v>0</v>
      </c>
      <c r="L846" s="19" t="str">
        <f aca="false">IF($A846="","",IF($J846=0,"Sem registro anterior",IF($K846&lt;21,"Histórico insuficiente",IF($J846&lt;0.8,"Subcarga",IF($J846&lt;=1.3,"Zona ideal",IF($J846&lt;=1.5,"Atenção","Risco elevado"))))))</f>
        <v/>
      </c>
      <c r="M846" s="20"/>
    </row>
    <row r="847" customFormat="false" ht="15" hidden="false" customHeight="false" outlineLevel="0" collapsed="false">
      <c r="A847" s="21"/>
      <c r="B847" s="33" t="n">
        <f aca="false">IF($A847="",0,INT(($A847-Macrociclo!$C$11)/7)+1)</f>
        <v>0</v>
      </c>
      <c r="C847" s="20"/>
      <c r="D847" s="20"/>
      <c r="E847" s="22"/>
      <c r="F847" s="22"/>
      <c r="G847" s="48" t="n">
        <f aca="false">IF(OR($E847="",$F847=""),0,$E847*$F847)</f>
        <v>0</v>
      </c>
      <c r="H847" s="48" t="n">
        <f aca="false">IF($A847="",0,SUMIFS($G$8:$G$1007,$C$8:$C$1007,$C847,$A$8:$A$1007,"&gt;="&amp;$A847-6,$A$8:$A$1007,"&lt;="&amp;$A847))</f>
        <v>0</v>
      </c>
      <c r="I847" s="48" t="n">
        <f aca="false">IF($A847="",0,SUMIFS($G$8:$G$1007,$C$8:$C$1007,$C847,$A$8:$A$1007,"&gt;="&amp;$A847-27,$A$8:$A$1007,"&lt;="&amp;$A847)/4)</f>
        <v>0</v>
      </c>
      <c r="J847" s="67" t="n">
        <f aca="false">IF(OR($A847="",$I847=0),0,$H847/$I847)</f>
        <v>0</v>
      </c>
      <c r="K847" s="33" t="n">
        <f aca="false">IF($A847="",0,$A847-SUMPRODUCT(MIN(($C$8:$C$1007=$C847)*$A$8:$A$1007+($C$8:$C$1007&lt;&gt;$C847)*100000))+1)</f>
        <v>0</v>
      </c>
      <c r="L847" s="19" t="str">
        <f aca="false">IF($A847="","",IF($J847=0,"Sem registro anterior",IF($K847&lt;21,"Histórico insuficiente",IF($J847&lt;0.8,"Subcarga",IF($J847&lt;=1.3,"Zona ideal",IF($J847&lt;=1.5,"Atenção","Risco elevado"))))))</f>
        <v/>
      </c>
      <c r="M847" s="20"/>
    </row>
    <row r="848" customFormat="false" ht="15" hidden="false" customHeight="false" outlineLevel="0" collapsed="false">
      <c r="A848" s="21"/>
      <c r="B848" s="33" t="n">
        <f aca="false">IF($A848="",0,INT(($A848-Macrociclo!$C$11)/7)+1)</f>
        <v>0</v>
      </c>
      <c r="C848" s="20"/>
      <c r="D848" s="20"/>
      <c r="E848" s="22"/>
      <c r="F848" s="22"/>
      <c r="G848" s="48" t="n">
        <f aca="false">IF(OR($E848="",$F848=""),0,$E848*$F848)</f>
        <v>0</v>
      </c>
      <c r="H848" s="48" t="n">
        <f aca="false">IF($A848="",0,SUMIFS($G$8:$G$1007,$C$8:$C$1007,$C848,$A$8:$A$1007,"&gt;="&amp;$A848-6,$A$8:$A$1007,"&lt;="&amp;$A848))</f>
        <v>0</v>
      </c>
      <c r="I848" s="48" t="n">
        <f aca="false">IF($A848="",0,SUMIFS($G$8:$G$1007,$C$8:$C$1007,$C848,$A$8:$A$1007,"&gt;="&amp;$A848-27,$A$8:$A$1007,"&lt;="&amp;$A848)/4)</f>
        <v>0</v>
      </c>
      <c r="J848" s="67" t="n">
        <f aca="false">IF(OR($A848="",$I848=0),0,$H848/$I848)</f>
        <v>0</v>
      </c>
      <c r="K848" s="33" t="n">
        <f aca="false">IF($A848="",0,$A848-SUMPRODUCT(MIN(($C$8:$C$1007=$C848)*$A$8:$A$1007+($C$8:$C$1007&lt;&gt;$C848)*100000))+1)</f>
        <v>0</v>
      </c>
      <c r="L848" s="19" t="str">
        <f aca="false">IF($A848="","",IF($J848=0,"Sem registro anterior",IF($K848&lt;21,"Histórico insuficiente",IF($J848&lt;0.8,"Subcarga",IF($J848&lt;=1.3,"Zona ideal",IF($J848&lt;=1.5,"Atenção","Risco elevado"))))))</f>
        <v/>
      </c>
      <c r="M848" s="20"/>
    </row>
    <row r="849" customFormat="false" ht="15" hidden="false" customHeight="false" outlineLevel="0" collapsed="false">
      <c r="A849" s="21"/>
      <c r="B849" s="33" t="n">
        <f aca="false">IF($A849="",0,INT(($A849-Macrociclo!$C$11)/7)+1)</f>
        <v>0</v>
      </c>
      <c r="C849" s="20"/>
      <c r="D849" s="20"/>
      <c r="E849" s="22"/>
      <c r="F849" s="22"/>
      <c r="G849" s="48" t="n">
        <f aca="false">IF(OR($E849="",$F849=""),0,$E849*$F849)</f>
        <v>0</v>
      </c>
      <c r="H849" s="48" t="n">
        <f aca="false">IF($A849="",0,SUMIFS($G$8:$G$1007,$C$8:$C$1007,$C849,$A$8:$A$1007,"&gt;="&amp;$A849-6,$A$8:$A$1007,"&lt;="&amp;$A849))</f>
        <v>0</v>
      </c>
      <c r="I849" s="48" t="n">
        <f aca="false">IF($A849="",0,SUMIFS($G$8:$G$1007,$C$8:$C$1007,$C849,$A$8:$A$1007,"&gt;="&amp;$A849-27,$A$8:$A$1007,"&lt;="&amp;$A849)/4)</f>
        <v>0</v>
      </c>
      <c r="J849" s="67" t="n">
        <f aca="false">IF(OR($A849="",$I849=0),0,$H849/$I849)</f>
        <v>0</v>
      </c>
      <c r="K849" s="33" t="n">
        <f aca="false">IF($A849="",0,$A849-SUMPRODUCT(MIN(($C$8:$C$1007=$C849)*$A$8:$A$1007+($C$8:$C$1007&lt;&gt;$C849)*100000))+1)</f>
        <v>0</v>
      </c>
      <c r="L849" s="19" t="str">
        <f aca="false">IF($A849="","",IF($J849=0,"Sem registro anterior",IF($K849&lt;21,"Histórico insuficiente",IF($J849&lt;0.8,"Subcarga",IF($J849&lt;=1.3,"Zona ideal",IF($J849&lt;=1.5,"Atenção","Risco elevado"))))))</f>
        <v/>
      </c>
      <c r="M849" s="20"/>
    </row>
    <row r="850" customFormat="false" ht="15" hidden="false" customHeight="false" outlineLevel="0" collapsed="false">
      <c r="A850" s="21"/>
      <c r="B850" s="33" t="n">
        <f aca="false">IF($A850="",0,INT(($A850-Macrociclo!$C$11)/7)+1)</f>
        <v>0</v>
      </c>
      <c r="C850" s="20"/>
      <c r="D850" s="20"/>
      <c r="E850" s="22"/>
      <c r="F850" s="22"/>
      <c r="G850" s="48" t="n">
        <f aca="false">IF(OR($E850="",$F850=""),0,$E850*$F850)</f>
        <v>0</v>
      </c>
      <c r="H850" s="48" t="n">
        <f aca="false">IF($A850="",0,SUMIFS($G$8:$G$1007,$C$8:$C$1007,$C850,$A$8:$A$1007,"&gt;="&amp;$A850-6,$A$8:$A$1007,"&lt;="&amp;$A850))</f>
        <v>0</v>
      </c>
      <c r="I850" s="48" t="n">
        <f aca="false">IF($A850="",0,SUMIFS($G$8:$G$1007,$C$8:$C$1007,$C850,$A$8:$A$1007,"&gt;="&amp;$A850-27,$A$8:$A$1007,"&lt;="&amp;$A850)/4)</f>
        <v>0</v>
      </c>
      <c r="J850" s="67" t="n">
        <f aca="false">IF(OR($A850="",$I850=0),0,$H850/$I850)</f>
        <v>0</v>
      </c>
      <c r="K850" s="33" t="n">
        <f aca="false">IF($A850="",0,$A850-SUMPRODUCT(MIN(($C$8:$C$1007=$C850)*$A$8:$A$1007+($C$8:$C$1007&lt;&gt;$C850)*100000))+1)</f>
        <v>0</v>
      </c>
      <c r="L850" s="19" t="str">
        <f aca="false">IF($A850="","",IF($J850=0,"Sem registro anterior",IF($K850&lt;21,"Histórico insuficiente",IF($J850&lt;0.8,"Subcarga",IF($J850&lt;=1.3,"Zona ideal",IF($J850&lt;=1.5,"Atenção","Risco elevado"))))))</f>
        <v/>
      </c>
      <c r="M850" s="20"/>
    </row>
    <row r="851" customFormat="false" ht="15" hidden="false" customHeight="false" outlineLevel="0" collapsed="false">
      <c r="A851" s="21"/>
      <c r="B851" s="33" t="n">
        <f aca="false">IF($A851="",0,INT(($A851-Macrociclo!$C$11)/7)+1)</f>
        <v>0</v>
      </c>
      <c r="C851" s="20"/>
      <c r="D851" s="20"/>
      <c r="E851" s="22"/>
      <c r="F851" s="22"/>
      <c r="G851" s="48" t="n">
        <f aca="false">IF(OR($E851="",$F851=""),0,$E851*$F851)</f>
        <v>0</v>
      </c>
      <c r="H851" s="48" t="n">
        <f aca="false">IF($A851="",0,SUMIFS($G$8:$G$1007,$C$8:$C$1007,$C851,$A$8:$A$1007,"&gt;="&amp;$A851-6,$A$8:$A$1007,"&lt;="&amp;$A851))</f>
        <v>0</v>
      </c>
      <c r="I851" s="48" t="n">
        <f aca="false">IF($A851="",0,SUMIFS($G$8:$G$1007,$C$8:$C$1007,$C851,$A$8:$A$1007,"&gt;="&amp;$A851-27,$A$8:$A$1007,"&lt;="&amp;$A851)/4)</f>
        <v>0</v>
      </c>
      <c r="J851" s="67" t="n">
        <f aca="false">IF(OR($A851="",$I851=0),0,$H851/$I851)</f>
        <v>0</v>
      </c>
      <c r="K851" s="33" t="n">
        <f aca="false">IF($A851="",0,$A851-SUMPRODUCT(MIN(($C$8:$C$1007=$C851)*$A$8:$A$1007+($C$8:$C$1007&lt;&gt;$C851)*100000))+1)</f>
        <v>0</v>
      </c>
      <c r="L851" s="19" t="str">
        <f aca="false">IF($A851="","",IF($J851=0,"Sem registro anterior",IF($K851&lt;21,"Histórico insuficiente",IF($J851&lt;0.8,"Subcarga",IF($J851&lt;=1.3,"Zona ideal",IF($J851&lt;=1.5,"Atenção","Risco elevado"))))))</f>
        <v/>
      </c>
      <c r="M851" s="20"/>
    </row>
    <row r="852" customFormat="false" ht="15" hidden="false" customHeight="false" outlineLevel="0" collapsed="false">
      <c r="A852" s="21"/>
      <c r="B852" s="33" t="n">
        <f aca="false">IF($A852="",0,INT(($A852-Macrociclo!$C$11)/7)+1)</f>
        <v>0</v>
      </c>
      <c r="C852" s="20"/>
      <c r="D852" s="20"/>
      <c r="E852" s="22"/>
      <c r="F852" s="22"/>
      <c r="G852" s="48" t="n">
        <f aca="false">IF(OR($E852="",$F852=""),0,$E852*$F852)</f>
        <v>0</v>
      </c>
      <c r="H852" s="48" t="n">
        <f aca="false">IF($A852="",0,SUMIFS($G$8:$G$1007,$C$8:$C$1007,$C852,$A$8:$A$1007,"&gt;="&amp;$A852-6,$A$8:$A$1007,"&lt;="&amp;$A852))</f>
        <v>0</v>
      </c>
      <c r="I852" s="48" t="n">
        <f aca="false">IF($A852="",0,SUMIFS($G$8:$G$1007,$C$8:$C$1007,$C852,$A$8:$A$1007,"&gt;="&amp;$A852-27,$A$8:$A$1007,"&lt;="&amp;$A852)/4)</f>
        <v>0</v>
      </c>
      <c r="J852" s="67" t="n">
        <f aca="false">IF(OR($A852="",$I852=0),0,$H852/$I852)</f>
        <v>0</v>
      </c>
      <c r="K852" s="33" t="n">
        <f aca="false">IF($A852="",0,$A852-SUMPRODUCT(MIN(($C$8:$C$1007=$C852)*$A$8:$A$1007+($C$8:$C$1007&lt;&gt;$C852)*100000))+1)</f>
        <v>0</v>
      </c>
      <c r="L852" s="19" t="str">
        <f aca="false">IF($A852="","",IF($J852=0,"Sem registro anterior",IF($K852&lt;21,"Histórico insuficiente",IF($J852&lt;0.8,"Subcarga",IF($J852&lt;=1.3,"Zona ideal",IF($J852&lt;=1.5,"Atenção","Risco elevado"))))))</f>
        <v/>
      </c>
      <c r="M852" s="20"/>
    </row>
    <row r="853" customFormat="false" ht="15" hidden="false" customHeight="false" outlineLevel="0" collapsed="false">
      <c r="A853" s="21"/>
      <c r="B853" s="33" t="n">
        <f aca="false">IF($A853="",0,INT(($A853-Macrociclo!$C$11)/7)+1)</f>
        <v>0</v>
      </c>
      <c r="C853" s="20"/>
      <c r="D853" s="20"/>
      <c r="E853" s="22"/>
      <c r="F853" s="22"/>
      <c r="G853" s="48" t="n">
        <f aca="false">IF(OR($E853="",$F853=""),0,$E853*$F853)</f>
        <v>0</v>
      </c>
      <c r="H853" s="48" t="n">
        <f aca="false">IF($A853="",0,SUMIFS($G$8:$G$1007,$C$8:$C$1007,$C853,$A$8:$A$1007,"&gt;="&amp;$A853-6,$A$8:$A$1007,"&lt;="&amp;$A853))</f>
        <v>0</v>
      </c>
      <c r="I853" s="48" t="n">
        <f aca="false">IF($A853="",0,SUMIFS($G$8:$G$1007,$C$8:$C$1007,$C853,$A$8:$A$1007,"&gt;="&amp;$A853-27,$A$8:$A$1007,"&lt;="&amp;$A853)/4)</f>
        <v>0</v>
      </c>
      <c r="J853" s="67" t="n">
        <f aca="false">IF(OR($A853="",$I853=0),0,$H853/$I853)</f>
        <v>0</v>
      </c>
      <c r="K853" s="33" t="n">
        <f aca="false">IF($A853="",0,$A853-SUMPRODUCT(MIN(($C$8:$C$1007=$C853)*$A$8:$A$1007+($C$8:$C$1007&lt;&gt;$C853)*100000))+1)</f>
        <v>0</v>
      </c>
      <c r="L853" s="19" t="str">
        <f aca="false">IF($A853="","",IF($J853=0,"Sem registro anterior",IF($K853&lt;21,"Histórico insuficiente",IF($J853&lt;0.8,"Subcarga",IF($J853&lt;=1.3,"Zona ideal",IF($J853&lt;=1.5,"Atenção","Risco elevado"))))))</f>
        <v/>
      </c>
      <c r="M853" s="20"/>
    </row>
    <row r="854" customFormat="false" ht="15" hidden="false" customHeight="false" outlineLevel="0" collapsed="false">
      <c r="A854" s="21"/>
      <c r="B854" s="33" t="n">
        <f aca="false">IF($A854="",0,INT(($A854-Macrociclo!$C$11)/7)+1)</f>
        <v>0</v>
      </c>
      <c r="C854" s="20"/>
      <c r="D854" s="20"/>
      <c r="E854" s="22"/>
      <c r="F854" s="22"/>
      <c r="G854" s="48" t="n">
        <f aca="false">IF(OR($E854="",$F854=""),0,$E854*$F854)</f>
        <v>0</v>
      </c>
      <c r="H854" s="48" t="n">
        <f aca="false">IF($A854="",0,SUMIFS($G$8:$G$1007,$C$8:$C$1007,$C854,$A$8:$A$1007,"&gt;="&amp;$A854-6,$A$8:$A$1007,"&lt;="&amp;$A854))</f>
        <v>0</v>
      </c>
      <c r="I854" s="48" t="n">
        <f aca="false">IF($A854="",0,SUMIFS($G$8:$G$1007,$C$8:$C$1007,$C854,$A$8:$A$1007,"&gt;="&amp;$A854-27,$A$8:$A$1007,"&lt;="&amp;$A854)/4)</f>
        <v>0</v>
      </c>
      <c r="J854" s="67" t="n">
        <f aca="false">IF(OR($A854="",$I854=0),0,$H854/$I854)</f>
        <v>0</v>
      </c>
      <c r="K854" s="33" t="n">
        <f aca="false">IF($A854="",0,$A854-SUMPRODUCT(MIN(($C$8:$C$1007=$C854)*$A$8:$A$1007+($C$8:$C$1007&lt;&gt;$C854)*100000))+1)</f>
        <v>0</v>
      </c>
      <c r="L854" s="19" t="str">
        <f aca="false">IF($A854="","",IF($J854=0,"Sem registro anterior",IF($K854&lt;21,"Histórico insuficiente",IF($J854&lt;0.8,"Subcarga",IF($J854&lt;=1.3,"Zona ideal",IF($J854&lt;=1.5,"Atenção","Risco elevado"))))))</f>
        <v/>
      </c>
      <c r="M854" s="20"/>
    </row>
    <row r="855" customFormat="false" ht="15" hidden="false" customHeight="false" outlineLevel="0" collapsed="false">
      <c r="A855" s="21"/>
      <c r="B855" s="33" t="n">
        <f aca="false">IF($A855="",0,INT(($A855-Macrociclo!$C$11)/7)+1)</f>
        <v>0</v>
      </c>
      <c r="C855" s="20"/>
      <c r="D855" s="20"/>
      <c r="E855" s="22"/>
      <c r="F855" s="22"/>
      <c r="G855" s="48" t="n">
        <f aca="false">IF(OR($E855="",$F855=""),0,$E855*$F855)</f>
        <v>0</v>
      </c>
      <c r="H855" s="48" t="n">
        <f aca="false">IF($A855="",0,SUMIFS($G$8:$G$1007,$C$8:$C$1007,$C855,$A$8:$A$1007,"&gt;="&amp;$A855-6,$A$8:$A$1007,"&lt;="&amp;$A855))</f>
        <v>0</v>
      </c>
      <c r="I855" s="48" t="n">
        <f aca="false">IF($A855="",0,SUMIFS($G$8:$G$1007,$C$8:$C$1007,$C855,$A$8:$A$1007,"&gt;="&amp;$A855-27,$A$8:$A$1007,"&lt;="&amp;$A855)/4)</f>
        <v>0</v>
      </c>
      <c r="J855" s="67" t="n">
        <f aca="false">IF(OR($A855="",$I855=0),0,$H855/$I855)</f>
        <v>0</v>
      </c>
      <c r="K855" s="33" t="n">
        <f aca="false">IF($A855="",0,$A855-SUMPRODUCT(MIN(($C$8:$C$1007=$C855)*$A$8:$A$1007+($C$8:$C$1007&lt;&gt;$C855)*100000))+1)</f>
        <v>0</v>
      </c>
      <c r="L855" s="19" t="str">
        <f aca="false">IF($A855="","",IF($J855=0,"Sem registro anterior",IF($K855&lt;21,"Histórico insuficiente",IF($J855&lt;0.8,"Subcarga",IF($J855&lt;=1.3,"Zona ideal",IF($J855&lt;=1.5,"Atenção","Risco elevado"))))))</f>
        <v/>
      </c>
      <c r="M855" s="20"/>
    </row>
    <row r="856" customFormat="false" ht="15" hidden="false" customHeight="false" outlineLevel="0" collapsed="false">
      <c r="A856" s="21"/>
      <c r="B856" s="33" t="n">
        <f aca="false">IF($A856="",0,INT(($A856-Macrociclo!$C$11)/7)+1)</f>
        <v>0</v>
      </c>
      <c r="C856" s="20"/>
      <c r="D856" s="20"/>
      <c r="E856" s="22"/>
      <c r="F856" s="22"/>
      <c r="G856" s="48" t="n">
        <f aca="false">IF(OR($E856="",$F856=""),0,$E856*$F856)</f>
        <v>0</v>
      </c>
      <c r="H856" s="48" t="n">
        <f aca="false">IF($A856="",0,SUMIFS($G$8:$G$1007,$C$8:$C$1007,$C856,$A$8:$A$1007,"&gt;="&amp;$A856-6,$A$8:$A$1007,"&lt;="&amp;$A856))</f>
        <v>0</v>
      </c>
      <c r="I856" s="48" t="n">
        <f aca="false">IF($A856="",0,SUMIFS($G$8:$G$1007,$C$8:$C$1007,$C856,$A$8:$A$1007,"&gt;="&amp;$A856-27,$A$8:$A$1007,"&lt;="&amp;$A856)/4)</f>
        <v>0</v>
      </c>
      <c r="J856" s="67" t="n">
        <f aca="false">IF(OR($A856="",$I856=0),0,$H856/$I856)</f>
        <v>0</v>
      </c>
      <c r="K856" s="33" t="n">
        <f aca="false">IF($A856="",0,$A856-SUMPRODUCT(MIN(($C$8:$C$1007=$C856)*$A$8:$A$1007+($C$8:$C$1007&lt;&gt;$C856)*100000))+1)</f>
        <v>0</v>
      </c>
      <c r="L856" s="19" t="str">
        <f aca="false">IF($A856="","",IF($J856=0,"Sem registro anterior",IF($K856&lt;21,"Histórico insuficiente",IF($J856&lt;0.8,"Subcarga",IF($J856&lt;=1.3,"Zona ideal",IF($J856&lt;=1.5,"Atenção","Risco elevado"))))))</f>
        <v/>
      </c>
      <c r="M856" s="20"/>
    </row>
    <row r="857" customFormat="false" ht="15" hidden="false" customHeight="false" outlineLevel="0" collapsed="false">
      <c r="A857" s="21"/>
      <c r="B857" s="33" t="n">
        <f aca="false">IF($A857="",0,INT(($A857-Macrociclo!$C$11)/7)+1)</f>
        <v>0</v>
      </c>
      <c r="C857" s="20"/>
      <c r="D857" s="20"/>
      <c r="E857" s="22"/>
      <c r="F857" s="22"/>
      <c r="G857" s="48" t="n">
        <f aca="false">IF(OR($E857="",$F857=""),0,$E857*$F857)</f>
        <v>0</v>
      </c>
      <c r="H857" s="48" t="n">
        <f aca="false">IF($A857="",0,SUMIFS($G$8:$G$1007,$C$8:$C$1007,$C857,$A$8:$A$1007,"&gt;="&amp;$A857-6,$A$8:$A$1007,"&lt;="&amp;$A857))</f>
        <v>0</v>
      </c>
      <c r="I857" s="48" t="n">
        <f aca="false">IF($A857="",0,SUMIFS($G$8:$G$1007,$C$8:$C$1007,$C857,$A$8:$A$1007,"&gt;="&amp;$A857-27,$A$8:$A$1007,"&lt;="&amp;$A857)/4)</f>
        <v>0</v>
      </c>
      <c r="J857" s="67" t="n">
        <f aca="false">IF(OR($A857="",$I857=0),0,$H857/$I857)</f>
        <v>0</v>
      </c>
      <c r="K857" s="33" t="n">
        <f aca="false">IF($A857="",0,$A857-SUMPRODUCT(MIN(($C$8:$C$1007=$C857)*$A$8:$A$1007+($C$8:$C$1007&lt;&gt;$C857)*100000))+1)</f>
        <v>0</v>
      </c>
      <c r="L857" s="19" t="str">
        <f aca="false">IF($A857="","",IF($J857=0,"Sem registro anterior",IF($K857&lt;21,"Histórico insuficiente",IF($J857&lt;0.8,"Subcarga",IF($J857&lt;=1.3,"Zona ideal",IF($J857&lt;=1.5,"Atenção","Risco elevado"))))))</f>
        <v/>
      </c>
      <c r="M857" s="20"/>
    </row>
    <row r="858" customFormat="false" ht="15" hidden="false" customHeight="false" outlineLevel="0" collapsed="false">
      <c r="A858" s="21"/>
      <c r="B858" s="33" t="n">
        <f aca="false">IF($A858="",0,INT(($A858-Macrociclo!$C$11)/7)+1)</f>
        <v>0</v>
      </c>
      <c r="C858" s="20"/>
      <c r="D858" s="20"/>
      <c r="E858" s="22"/>
      <c r="F858" s="22"/>
      <c r="G858" s="48" t="n">
        <f aca="false">IF(OR($E858="",$F858=""),0,$E858*$F858)</f>
        <v>0</v>
      </c>
      <c r="H858" s="48" t="n">
        <f aca="false">IF($A858="",0,SUMIFS($G$8:$G$1007,$C$8:$C$1007,$C858,$A$8:$A$1007,"&gt;="&amp;$A858-6,$A$8:$A$1007,"&lt;="&amp;$A858))</f>
        <v>0</v>
      </c>
      <c r="I858" s="48" t="n">
        <f aca="false">IF($A858="",0,SUMIFS($G$8:$G$1007,$C$8:$C$1007,$C858,$A$8:$A$1007,"&gt;="&amp;$A858-27,$A$8:$A$1007,"&lt;="&amp;$A858)/4)</f>
        <v>0</v>
      </c>
      <c r="J858" s="67" t="n">
        <f aca="false">IF(OR($A858="",$I858=0),0,$H858/$I858)</f>
        <v>0</v>
      </c>
      <c r="K858" s="33" t="n">
        <f aca="false">IF($A858="",0,$A858-SUMPRODUCT(MIN(($C$8:$C$1007=$C858)*$A$8:$A$1007+($C$8:$C$1007&lt;&gt;$C858)*100000))+1)</f>
        <v>0</v>
      </c>
      <c r="L858" s="19" t="str">
        <f aca="false">IF($A858="","",IF($J858=0,"Sem registro anterior",IF($K858&lt;21,"Histórico insuficiente",IF($J858&lt;0.8,"Subcarga",IF($J858&lt;=1.3,"Zona ideal",IF($J858&lt;=1.5,"Atenção","Risco elevado"))))))</f>
        <v/>
      </c>
      <c r="M858" s="20"/>
    </row>
    <row r="859" customFormat="false" ht="15" hidden="false" customHeight="false" outlineLevel="0" collapsed="false">
      <c r="A859" s="21"/>
      <c r="B859" s="33" t="n">
        <f aca="false">IF($A859="",0,INT(($A859-Macrociclo!$C$11)/7)+1)</f>
        <v>0</v>
      </c>
      <c r="C859" s="20"/>
      <c r="D859" s="20"/>
      <c r="E859" s="22"/>
      <c r="F859" s="22"/>
      <c r="G859" s="48" t="n">
        <f aca="false">IF(OR($E859="",$F859=""),0,$E859*$F859)</f>
        <v>0</v>
      </c>
      <c r="H859" s="48" t="n">
        <f aca="false">IF($A859="",0,SUMIFS($G$8:$G$1007,$C$8:$C$1007,$C859,$A$8:$A$1007,"&gt;="&amp;$A859-6,$A$8:$A$1007,"&lt;="&amp;$A859))</f>
        <v>0</v>
      </c>
      <c r="I859" s="48" t="n">
        <f aca="false">IF($A859="",0,SUMIFS($G$8:$G$1007,$C$8:$C$1007,$C859,$A$8:$A$1007,"&gt;="&amp;$A859-27,$A$8:$A$1007,"&lt;="&amp;$A859)/4)</f>
        <v>0</v>
      </c>
      <c r="J859" s="67" t="n">
        <f aca="false">IF(OR($A859="",$I859=0),0,$H859/$I859)</f>
        <v>0</v>
      </c>
      <c r="K859" s="33" t="n">
        <f aca="false">IF($A859="",0,$A859-SUMPRODUCT(MIN(($C$8:$C$1007=$C859)*$A$8:$A$1007+($C$8:$C$1007&lt;&gt;$C859)*100000))+1)</f>
        <v>0</v>
      </c>
      <c r="L859" s="19" t="str">
        <f aca="false">IF($A859="","",IF($J859=0,"Sem registro anterior",IF($K859&lt;21,"Histórico insuficiente",IF($J859&lt;0.8,"Subcarga",IF($J859&lt;=1.3,"Zona ideal",IF($J859&lt;=1.5,"Atenção","Risco elevado"))))))</f>
        <v/>
      </c>
      <c r="M859" s="20"/>
    </row>
    <row r="860" customFormat="false" ht="15" hidden="false" customHeight="false" outlineLevel="0" collapsed="false">
      <c r="A860" s="21"/>
      <c r="B860" s="33" t="n">
        <f aca="false">IF($A860="",0,INT(($A860-Macrociclo!$C$11)/7)+1)</f>
        <v>0</v>
      </c>
      <c r="C860" s="20"/>
      <c r="D860" s="20"/>
      <c r="E860" s="22"/>
      <c r="F860" s="22"/>
      <c r="G860" s="48" t="n">
        <f aca="false">IF(OR($E860="",$F860=""),0,$E860*$F860)</f>
        <v>0</v>
      </c>
      <c r="H860" s="48" t="n">
        <f aca="false">IF($A860="",0,SUMIFS($G$8:$G$1007,$C$8:$C$1007,$C860,$A$8:$A$1007,"&gt;="&amp;$A860-6,$A$8:$A$1007,"&lt;="&amp;$A860))</f>
        <v>0</v>
      </c>
      <c r="I860" s="48" t="n">
        <f aca="false">IF($A860="",0,SUMIFS($G$8:$G$1007,$C$8:$C$1007,$C860,$A$8:$A$1007,"&gt;="&amp;$A860-27,$A$8:$A$1007,"&lt;="&amp;$A860)/4)</f>
        <v>0</v>
      </c>
      <c r="J860" s="67" t="n">
        <f aca="false">IF(OR($A860="",$I860=0),0,$H860/$I860)</f>
        <v>0</v>
      </c>
      <c r="K860" s="33" t="n">
        <f aca="false">IF($A860="",0,$A860-SUMPRODUCT(MIN(($C$8:$C$1007=$C860)*$A$8:$A$1007+($C$8:$C$1007&lt;&gt;$C860)*100000))+1)</f>
        <v>0</v>
      </c>
      <c r="L860" s="19" t="str">
        <f aca="false">IF($A860="","",IF($J860=0,"Sem registro anterior",IF($K860&lt;21,"Histórico insuficiente",IF($J860&lt;0.8,"Subcarga",IF($J860&lt;=1.3,"Zona ideal",IF($J860&lt;=1.5,"Atenção","Risco elevado"))))))</f>
        <v/>
      </c>
      <c r="M860" s="20"/>
    </row>
    <row r="861" customFormat="false" ht="15" hidden="false" customHeight="false" outlineLevel="0" collapsed="false">
      <c r="A861" s="21"/>
      <c r="B861" s="33" t="n">
        <f aca="false">IF($A861="",0,INT(($A861-Macrociclo!$C$11)/7)+1)</f>
        <v>0</v>
      </c>
      <c r="C861" s="20"/>
      <c r="D861" s="20"/>
      <c r="E861" s="22"/>
      <c r="F861" s="22"/>
      <c r="G861" s="48" t="n">
        <f aca="false">IF(OR($E861="",$F861=""),0,$E861*$F861)</f>
        <v>0</v>
      </c>
      <c r="H861" s="48" t="n">
        <f aca="false">IF($A861="",0,SUMIFS($G$8:$G$1007,$C$8:$C$1007,$C861,$A$8:$A$1007,"&gt;="&amp;$A861-6,$A$8:$A$1007,"&lt;="&amp;$A861))</f>
        <v>0</v>
      </c>
      <c r="I861" s="48" t="n">
        <f aca="false">IF($A861="",0,SUMIFS($G$8:$G$1007,$C$8:$C$1007,$C861,$A$8:$A$1007,"&gt;="&amp;$A861-27,$A$8:$A$1007,"&lt;="&amp;$A861)/4)</f>
        <v>0</v>
      </c>
      <c r="J861" s="67" t="n">
        <f aca="false">IF(OR($A861="",$I861=0),0,$H861/$I861)</f>
        <v>0</v>
      </c>
      <c r="K861" s="33" t="n">
        <f aca="false">IF($A861="",0,$A861-SUMPRODUCT(MIN(($C$8:$C$1007=$C861)*$A$8:$A$1007+($C$8:$C$1007&lt;&gt;$C861)*100000))+1)</f>
        <v>0</v>
      </c>
      <c r="L861" s="19" t="str">
        <f aca="false">IF($A861="","",IF($J861=0,"Sem registro anterior",IF($K861&lt;21,"Histórico insuficiente",IF($J861&lt;0.8,"Subcarga",IF($J861&lt;=1.3,"Zona ideal",IF($J861&lt;=1.5,"Atenção","Risco elevado"))))))</f>
        <v/>
      </c>
      <c r="M861" s="20"/>
    </row>
    <row r="862" customFormat="false" ht="15" hidden="false" customHeight="false" outlineLevel="0" collapsed="false">
      <c r="A862" s="21"/>
      <c r="B862" s="33" t="n">
        <f aca="false">IF($A862="",0,INT(($A862-Macrociclo!$C$11)/7)+1)</f>
        <v>0</v>
      </c>
      <c r="C862" s="20"/>
      <c r="D862" s="20"/>
      <c r="E862" s="22"/>
      <c r="F862" s="22"/>
      <c r="G862" s="48" t="n">
        <f aca="false">IF(OR($E862="",$F862=""),0,$E862*$F862)</f>
        <v>0</v>
      </c>
      <c r="H862" s="48" t="n">
        <f aca="false">IF($A862="",0,SUMIFS($G$8:$G$1007,$C$8:$C$1007,$C862,$A$8:$A$1007,"&gt;="&amp;$A862-6,$A$8:$A$1007,"&lt;="&amp;$A862))</f>
        <v>0</v>
      </c>
      <c r="I862" s="48" t="n">
        <f aca="false">IF($A862="",0,SUMIFS($G$8:$G$1007,$C$8:$C$1007,$C862,$A$8:$A$1007,"&gt;="&amp;$A862-27,$A$8:$A$1007,"&lt;="&amp;$A862)/4)</f>
        <v>0</v>
      </c>
      <c r="J862" s="67" t="n">
        <f aca="false">IF(OR($A862="",$I862=0),0,$H862/$I862)</f>
        <v>0</v>
      </c>
      <c r="K862" s="33" t="n">
        <f aca="false">IF($A862="",0,$A862-SUMPRODUCT(MIN(($C$8:$C$1007=$C862)*$A$8:$A$1007+($C$8:$C$1007&lt;&gt;$C862)*100000))+1)</f>
        <v>0</v>
      </c>
      <c r="L862" s="19" t="str">
        <f aca="false">IF($A862="","",IF($J862=0,"Sem registro anterior",IF($K862&lt;21,"Histórico insuficiente",IF($J862&lt;0.8,"Subcarga",IF($J862&lt;=1.3,"Zona ideal",IF($J862&lt;=1.5,"Atenção","Risco elevado"))))))</f>
        <v/>
      </c>
      <c r="M862" s="20"/>
    </row>
    <row r="863" customFormat="false" ht="15" hidden="false" customHeight="false" outlineLevel="0" collapsed="false">
      <c r="A863" s="21"/>
      <c r="B863" s="33" t="n">
        <f aca="false">IF($A863="",0,INT(($A863-Macrociclo!$C$11)/7)+1)</f>
        <v>0</v>
      </c>
      <c r="C863" s="20"/>
      <c r="D863" s="20"/>
      <c r="E863" s="22"/>
      <c r="F863" s="22"/>
      <c r="G863" s="48" t="n">
        <f aca="false">IF(OR($E863="",$F863=""),0,$E863*$F863)</f>
        <v>0</v>
      </c>
      <c r="H863" s="48" t="n">
        <f aca="false">IF($A863="",0,SUMIFS($G$8:$G$1007,$C$8:$C$1007,$C863,$A$8:$A$1007,"&gt;="&amp;$A863-6,$A$8:$A$1007,"&lt;="&amp;$A863))</f>
        <v>0</v>
      </c>
      <c r="I863" s="48" t="n">
        <f aca="false">IF($A863="",0,SUMIFS($G$8:$G$1007,$C$8:$C$1007,$C863,$A$8:$A$1007,"&gt;="&amp;$A863-27,$A$8:$A$1007,"&lt;="&amp;$A863)/4)</f>
        <v>0</v>
      </c>
      <c r="J863" s="67" t="n">
        <f aca="false">IF(OR($A863="",$I863=0),0,$H863/$I863)</f>
        <v>0</v>
      </c>
      <c r="K863" s="33" t="n">
        <f aca="false">IF($A863="",0,$A863-SUMPRODUCT(MIN(($C$8:$C$1007=$C863)*$A$8:$A$1007+($C$8:$C$1007&lt;&gt;$C863)*100000))+1)</f>
        <v>0</v>
      </c>
      <c r="L863" s="19" t="str">
        <f aca="false">IF($A863="","",IF($J863=0,"Sem registro anterior",IF($K863&lt;21,"Histórico insuficiente",IF($J863&lt;0.8,"Subcarga",IF($J863&lt;=1.3,"Zona ideal",IF($J863&lt;=1.5,"Atenção","Risco elevado"))))))</f>
        <v/>
      </c>
      <c r="M863" s="20"/>
    </row>
    <row r="864" customFormat="false" ht="15" hidden="false" customHeight="false" outlineLevel="0" collapsed="false">
      <c r="A864" s="21"/>
      <c r="B864" s="33" t="n">
        <f aca="false">IF($A864="",0,INT(($A864-Macrociclo!$C$11)/7)+1)</f>
        <v>0</v>
      </c>
      <c r="C864" s="20"/>
      <c r="D864" s="20"/>
      <c r="E864" s="22"/>
      <c r="F864" s="22"/>
      <c r="G864" s="48" t="n">
        <f aca="false">IF(OR($E864="",$F864=""),0,$E864*$F864)</f>
        <v>0</v>
      </c>
      <c r="H864" s="48" t="n">
        <f aca="false">IF($A864="",0,SUMIFS($G$8:$G$1007,$C$8:$C$1007,$C864,$A$8:$A$1007,"&gt;="&amp;$A864-6,$A$8:$A$1007,"&lt;="&amp;$A864))</f>
        <v>0</v>
      </c>
      <c r="I864" s="48" t="n">
        <f aca="false">IF($A864="",0,SUMIFS($G$8:$G$1007,$C$8:$C$1007,$C864,$A$8:$A$1007,"&gt;="&amp;$A864-27,$A$8:$A$1007,"&lt;="&amp;$A864)/4)</f>
        <v>0</v>
      </c>
      <c r="J864" s="67" t="n">
        <f aca="false">IF(OR($A864="",$I864=0),0,$H864/$I864)</f>
        <v>0</v>
      </c>
      <c r="K864" s="33" t="n">
        <f aca="false">IF($A864="",0,$A864-SUMPRODUCT(MIN(($C$8:$C$1007=$C864)*$A$8:$A$1007+($C$8:$C$1007&lt;&gt;$C864)*100000))+1)</f>
        <v>0</v>
      </c>
      <c r="L864" s="19" t="str">
        <f aca="false">IF($A864="","",IF($J864=0,"Sem registro anterior",IF($K864&lt;21,"Histórico insuficiente",IF($J864&lt;0.8,"Subcarga",IF($J864&lt;=1.3,"Zona ideal",IF($J864&lt;=1.5,"Atenção","Risco elevado"))))))</f>
        <v/>
      </c>
      <c r="M864" s="20"/>
    </row>
    <row r="865" customFormat="false" ht="15" hidden="false" customHeight="false" outlineLevel="0" collapsed="false">
      <c r="A865" s="21"/>
      <c r="B865" s="33" t="n">
        <f aca="false">IF($A865="",0,INT(($A865-Macrociclo!$C$11)/7)+1)</f>
        <v>0</v>
      </c>
      <c r="C865" s="20"/>
      <c r="D865" s="20"/>
      <c r="E865" s="22"/>
      <c r="F865" s="22"/>
      <c r="G865" s="48" t="n">
        <f aca="false">IF(OR($E865="",$F865=""),0,$E865*$F865)</f>
        <v>0</v>
      </c>
      <c r="H865" s="48" t="n">
        <f aca="false">IF($A865="",0,SUMIFS($G$8:$G$1007,$C$8:$C$1007,$C865,$A$8:$A$1007,"&gt;="&amp;$A865-6,$A$8:$A$1007,"&lt;="&amp;$A865))</f>
        <v>0</v>
      </c>
      <c r="I865" s="48" t="n">
        <f aca="false">IF($A865="",0,SUMIFS($G$8:$G$1007,$C$8:$C$1007,$C865,$A$8:$A$1007,"&gt;="&amp;$A865-27,$A$8:$A$1007,"&lt;="&amp;$A865)/4)</f>
        <v>0</v>
      </c>
      <c r="J865" s="67" t="n">
        <f aca="false">IF(OR($A865="",$I865=0),0,$H865/$I865)</f>
        <v>0</v>
      </c>
      <c r="K865" s="33" t="n">
        <f aca="false">IF($A865="",0,$A865-SUMPRODUCT(MIN(($C$8:$C$1007=$C865)*$A$8:$A$1007+($C$8:$C$1007&lt;&gt;$C865)*100000))+1)</f>
        <v>0</v>
      </c>
      <c r="L865" s="19" t="str">
        <f aca="false">IF($A865="","",IF($J865=0,"Sem registro anterior",IF($K865&lt;21,"Histórico insuficiente",IF($J865&lt;0.8,"Subcarga",IF($J865&lt;=1.3,"Zona ideal",IF($J865&lt;=1.5,"Atenção","Risco elevado"))))))</f>
        <v/>
      </c>
      <c r="M865" s="20"/>
    </row>
    <row r="866" customFormat="false" ht="15" hidden="false" customHeight="false" outlineLevel="0" collapsed="false">
      <c r="A866" s="21"/>
      <c r="B866" s="33" t="n">
        <f aca="false">IF($A866="",0,INT(($A866-Macrociclo!$C$11)/7)+1)</f>
        <v>0</v>
      </c>
      <c r="C866" s="20"/>
      <c r="D866" s="20"/>
      <c r="E866" s="22"/>
      <c r="F866" s="22"/>
      <c r="G866" s="48" t="n">
        <f aca="false">IF(OR($E866="",$F866=""),0,$E866*$F866)</f>
        <v>0</v>
      </c>
      <c r="H866" s="48" t="n">
        <f aca="false">IF($A866="",0,SUMIFS($G$8:$G$1007,$C$8:$C$1007,$C866,$A$8:$A$1007,"&gt;="&amp;$A866-6,$A$8:$A$1007,"&lt;="&amp;$A866))</f>
        <v>0</v>
      </c>
      <c r="I866" s="48" t="n">
        <f aca="false">IF($A866="",0,SUMIFS($G$8:$G$1007,$C$8:$C$1007,$C866,$A$8:$A$1007,"&gt;="&amp;$A866-27,$A$8:$A$1007,"&lt;="&amp;$A866)/4)</f>
        <v>0</v>
      </c>
      <c r="J866" s="67" t="n">
        <f aca="false">IF(OR($A866="",$I866=0),0,$H866/$I866)</f>
        <v>0</v>
      </c>
      <c r="K866" s="33" t="n">
        <f aca="false">IF($A866="",0,$A866-SUMPRODUCT(MIN(($C$8:$C$1007=$C866)*$A$8:$A$1007+($C$8:$C$1007&lt;&gt;$C866)*100000))+1)</f>
        <v>0</v>
      </c>
      <c r="L866" s="19" t="str">
        <f aca="false">IF($A866="","",IF($J866=0,"Sem registro anterior",IF($K866&lt;21,"Histórico insuficiente",IF($J866&lt;0.8,"Subcarga",IF($J866&lt;=1.3,"Zona ideal",IF($J866&lt;=1.5,"Atenção","Risco elevado"))))))</f>
        <v/>
      </c>
      <c r="M866" s="20"/>
    </row>
    <row r="867" customFormat="false" ht="15" hidden="false" customHeight="false" outlineLevel="0" collapsed="false">
      <c r="A867" s="21"/>
      <c r="B867" s="33" t="n">
        <f aca="false">IF($A867="",0,INT(($A867-Macrociclo!$C$11)/7)+1)</f>
        <v>0</v>
      </c>
      <c r="C867" s="20"/>
      <c r="D867" s="20"/>
      <c r="E867" s="22"/>
      <c r="F867" s="22"/>
      <c r="G867" s="48" t="n">
        <f aca="false">IF(OR($E867="",$F867=""),0,$E867*$F867)</f>
        <v>0</v>
      </c>
      <c r="H867" s="48" t="n">
        <f aca="false">IF($A867="",0,SUMIFS($G$8:$G$1007,$C$8:$C$1007,$C867,$A$8:$A$1007,"&gt;="&amp;$A867-6,$A$8:$A$1007,"&lt;="&amp;$A867))</f>
        <v>0</v>
      </c>
      <c r="I867" s="48" t="n">
        <f aca="false">IF($A867="",0,SUMIFS($G$8:$G$1007,$C$8:$C$1007,$C867,$A$8:$A$1007,"&gt;="&amp;$A867-27,$A$8:$A$1007,"&lt;="&amp;$A867)/4)</f>
        <v>0</v>
      </c>
      <c r="J867" s="67" t="n">
        <f aca="false">IF(OR($A867="",$I867=0),0,$H867/$I867)</f>
        <v>0</v>
      </c>
      <c r="K867" s="33" t="n">
        <f aca="false">IF($A867="",0,$A867-SUMPRODUCT(MIN(($C$8:$C$1007=$C867)*$A$8:$A$1007+($C$8:$C$1007&lt;&gt;$C867)*100000))+1)</f>
        <v>0</v>
      </c>
      <c r="L867" s="19" t="str">
        <f aca="false">IF($A867="","",IF($J867=0,"Sem registro anterior",IF($K867&lt;21,"Histórico insuficiente",IF($J867&lt;0.8,"Subcarga",IF($J867&lt;=1.3,"Zona ideal",IF($J867&lt;=1.5,"Atenção","Risco elevado"))))))</f>
        <v/>
      </c>
      <c r="M867" s="20"/>
    </row>
    <row r="868" customFormat="false" ht="15" hidden="false" customHeight="false" outlineLevel="0" collapsed="false">
      <c r="A868" s="21"/>
      <c r="B868" s="33" t="n">
        <f aca="false">IF($A868="",0,INT(($A868-Macrociclo!$C$11)/7)+1)</f>
        <v>0</v>
      </c>
      <c r="C868" s="20"/>
      <c r="D868" s="20"/>
      <c r="E868" s="22"/>
      <c r="F868" s="22"/>
      <c r="G868" s="48" t="n">
        <f aca="false">IF(OR($E868="",$F868=""),0,$E868*$F868)</f>
        <v>0</v>
      </c>
      <c r="H868" s="48" t="n">
        <f aca="false">IF($A868="",0,SUMIFS($G$8:$G$1007,$C$8:$C$1007,$C868,$A$8:$A$1007,"&gt;="&amp;$A868-6,$A$8:$A$1007,"&lt;="&amp;$A868))</f>
        <v>0</v>
      </c>
      <c r="I868" s="48" t="n">
        <f aca="false">IF($A868="",0,SUMIFS($G$8:$G$1007,$C$8:$C$1007,$C868,$A$8:$A$1007,"&gt;="&amp;$A868-27,$A$8:$A$1007,"&lt;="&amp;$A868)/4)</f>
        <v>0</v>
      </c>
      <c r="J868" s="67" t="n">
        <f aca="false">IF(OR($A868="",$I868=0),0,$H868/$I868)</f>
        <v>0</v>
      </c>
      <c r="K868" s="33" t="n">
        <f aca="false">IF($A868="",0,$A868-SUMPRODUCT(MIN(($C$8:$C$1007=$C868)*$A$8:$A$1007+($C$8:$C$1007&lt;&gt;$C868)*100000))+1)</f>
        <v>0</v>
      </c>
      <c r="L868" s="19" t="str">
        <f aca="false">IF($A868="","",IF($J868=0,"Sem registro anterior",IF($K868&lt;21,"Histórico insuficiente",IF($J868&lt;0.8,"Subcarga",IF($J868&lt;=1.3,"Zona ideal",IF($J868&lt;=1.5,"Atenção","Risco elevado"))))))</f>
        <v/>
      </c>
      <c r="M868" s="20"/>
    </row>
    <row r="869" customFormat="false" ht="15" hidden="false" customHeight="false" outlineLevel="0" collapsed="false">
      <c r="A869" s="21"/>
      <c r="B869" s="33" t="n">
        <f aca="false">IF($A869="",0,INT(($A869-Macrociclo!$C$11)/7)+1)</f>
        <v>0</v>
      </c>
      <c r="C869" s="20"/>
      <c r="D869" s="20"/>
      <c r="E869" s="22"/>
      <c r="F869" s="22"/>
      <c r="G869" s="48" t="n">
        <f aca="false">IF(OR($E869="",$F869=""),0,$E869*$F869)</f>
        <v>0</v>
      </c>
      <c r="H869" s="48" t="n">
        <f aca="false">IF($A869="",0,SUMIFS($G$8:$G$1007,$C$8:$C$1007,$C869,$A$8:$A$1007,"&gt;="&amp;$A869-6,$A$8:$A$1007,"&lt;="&amp;$A869))</f>
        <v>0</v>
      </c>
      <c r="I869" s="48" t="n">
        <f aca="false">IF($A869="",0,SUMIFS($G$8:$G$1007,$C$8:$C$1007,$C869,$A$8:$A$1007,"&gt;="&amp;$A869-27,$A$8:$A$1007,"&lt;="&amp;$A869)/4)</f>
        <v>0</v>
      </c>
      <c r="J869" s="67" t="n">
        <f aca="false">IF(OR($A869="",$I869=0),0,$H869/$I869)</f>
        <v>0</v>
      </c>
      <c r="K869" s="33" t="n">
        <f aca="false">IF($A869="",0,$A869-SUMPRODUCT(MIN(($C$8:$C$1007=$C869)*$A$8:$A$1007+($C$8:$C$1007&lt;&gt;$C869)*100000))+1)</f>
        <v>0</v>
      </c>
      <c r="L869" s="19" t="str">
        <f aca="false">IF($A869="","",IF($J869=0,"Sem registro anterior",IF($K869&lt;21,"Histórico insuficiente",IF($J869&lt;0.8,"Subcarga",IF($J869&lt;=1.3,"Zona ideal",IF($J869&lt;=1.5,"Atenção","Risco elevado"))))))</f>
        <v/>
      </c>
      <c r="M869" s="20"/>
    </row>
    <row r="870" customFormat="false" ht="15" hidden="false" customHeight="false" outlineLevel="0" collapsed="false">
      <c r="A870" s="21"/>
      <c r="B870" s="33" t="n">
        <f aca="false">IF($A870="",0,INT(($A870-Macrociclo!$C$11)/7)+1)</f>
        <v>0</v>
      </c>
      <c r="C870" s="20"/>
      <c r="D870" s="20"/>
      <c r="E870" s="22"/>
      <c r="F870" s="22"/>
      <c r="G870" s="48" t="n">
        <f aca="false">IF(OR($E870="",$F870=""),0,$E870*$F870)</f>
        <v>0</v>
      </c>
      <c r="H870" s="48" t="n">
        <f aca="false">IF($A870="",0,SUMIFS($G$8:$G$1007,$C$8:$C$1007,$C870,$A$8:$A$1007,"&gt;="&amp;$A870-6,$A$8:$A$1007,"&lt;="&amp;$A870))</f>
        <v>0</v>
      </c>
      <c r="I870" s="48" t="n">
        <f aca="false">IF($A870="",0,SUMIFS($G$8:$G$1007,$C$8:$C$1007,$C870,$A$8:$A$1007,"&gt;="&amp;$A870-27,$A$8:$A$1007,"&lt;="&amp;$A870)/4)</f>
        <v>0</v>
      </c>
      <c r="J870" s="67" t="n">
        <f aca="false">IF(OR($A870="",$I870=0),0,$H870/$I870)</f>
        <v>0</v>
      </c>
      <c r="K870" s="33" t="n">
        <f aca="false">IF($A870="",0,$A870-SUMPRODUCT(MIN(($C$8:$C$1007=$C870)*$A$8:$A$1007+($C$8:$C$1007&lt;&gt;$C870)*100000))+1)</f>
        <v>0</v>
      </c>
      <c r="L870" s="19" t="str">
        <f aca="false">IF($A870="","",IF($J870=0,"Sem registro anterior",IF($K870&lt;21,"Histórico insuficiente",IF($J870&lt;0.8,"Subcarga",IF($J870&lt;=1.3,"Zona ideal",IF($J870&lt;=1.5,"Atenção","Risco elevado"))))))</f>
        <v/>
      </c>
      <c r="M870" s="20"/>
    </row>
    <row r="871" customFormat="false" ht="15" hidden="false" customHeight="false" outlineLevel="0" collapsed="false">
      <c r="A871" s="21"/>
      <c r="B871" s="33" t="n">
        <f aca="false">IF($A871="",0,INT(($A871-Macrociclo!$C$11)/7)+1)</f>
        <v>0</v>
      </c>
      <c r="C871" s="20"/>
      <c r="D871" s="20"/>
      <c r="E871" s="22"/>
      <c r="F871" s="22"/>
      <c r="G871" s="48" t="n">
        <f aca="false">IF(OR($E871="",$F871=""),0,$E871*$F871)</f>
        <v>0</v>
      </c>
      <c r="H871" s="48" t="n">
        <f aca="false">IF($A871="",0,SUMIFS($G$8:$G$1007,$C$8:$C$1007,$C871,$A$8:$A$1007,"&gt;="&amp;$A871-6,$A$8:$A$1007,"&lt;="&amp;$A871))</f>
        <v>0</v>
      </c>
      <c r="I871" s="48" t="n">
        <f aca="false">IF($A871="",0,SUMIFS($G$8:$G$1007,$C$8:$C$1007,$C871,$A$8:$A$1007,"&gt;="&amp;$A871-27,$A$8:$A$1007,"&lt;="&amp;$A871)/4)</f>
        <v>0</v>
      </c>
      <c r="J871" s="67" t="n">
        <f aca="false">IF(OR($A871="",$I871=0),0,$H871/$I871)</f>
        <v>0</v>
      </c>
      <c r="K871" s="33" t="n">
        <f aca="false">IF($A871="",0,$A871-SUMPRODUCT(MIN(($C$8:$C$1007=$C871)*$A$8:$A$1007+($C$8:$C$1007&lt;&gt;$C871)*100000))+1)</f>
        <v>0</v>
      </c>
      <c r="L871" s="19" t="str">
        <f aca="false">IF($A871="","",IF($J871=0,"Sem registro anterior",IF($K871&lt;21,"Histórico insuficiente",IF($J871&lt;0.8,"Subcarga",IF($J871&lt;=1.3,"Zona ideal",IF($J871&lt;=1.5,"Atenção","Risco elevado"))))))</f>
        <v/>
      </c>
      <c r="M871" s="20"/>
    </row>
    <row r="872" customFormat="false" ht="15" hidden="false" customHeight="false" outlineLevel="0" collapsed="false">
      <c r="A872" s="21"/>
      <c r="B872" s="33" t="n">
        <f aca="false">IF($A872="",0,INT(($A872-Macrociclo!$C$11)/7)+1)</f>
        <v>0</v>
      </c>
      <c r="C872" s="20"/>
      <c r="D872" s="20"/>
      <c r="E872" s="22"/>
      <c r="F872" s="22"/>
      <c r="G872" s="48" t="n">
        <f aca="false">IF(OR($E872="",$F872=""),0,$E872*$F872)</f>
        <v>0</v>
      </c>
      <c r="H872" s="48" t="n">
        <f aca="false">IF($A872="",0,SUMIFS($G$8:$G$1007,$C$8:$C$1007,$C872,$A$8:$A$1007,"&gt;="&amp;$A872-6,$A$8:$A$1007,"&lt;="&amp;$A872))</f>
        <v>0</v>
      </c>
      <c r="I872" s="48" t="n">
        <f aca="false">IF($A872="",0,SUMIFS($G$8:$G$1007,$C$8:$C$1007,$C872,$A$8:$A$1007,"&gt;="&amp;$A872-27,$A$8:$A$1007,"&lt;="&amp;$A872)/4)</f>
        <v>0</v>
      </c>
      <c r="J872" s="67" t="n">
        <f aca="false">IF(OR($A872="",$I872=0),0,$H872/$I872)</f>
        <v>0</v>
      </c>
      <c r="K872" s="33" t="n">
        <f aca="false">IF($A872="",0,$A872-SUMPRODUCT(MIN(($C$8:$C$1007=$C872)*$A$8:$A$1007+($C$8:$C$1007&lt;&gt;$C872)*100000))+1)</f>
        <v>0</v>
      </c>
      <c r="L872" s="19" t="str">
        <f aca="false">IF($A872="","",IF($J872=0,"Sem registro anterior",IF($K872&lt;21,"Histórico insuficiente",IF($J872&lt;0.8,"Subcarga",IF($J872&lt;=1.3,"Zona ideal",IF($J872&lt;=1.5,"Atenção","Risco elevado"))))))</f>
        <v/>
      </c>
      <c r="M872" s="20"/>
    </row>
    <row r="873" customFormat="false" ht="15" hidden="false" customHeight="false" outlineLevel="0" collapsed="false">
      <c r="A873" s="21"/>
      <c r="B873" s="33" t="n">
        <f aca="false">IF($A873="",0,INT(($A873-Macrociclo!$C$11)/7)+1)</f>
        <v>0</v>
      </c>
      <c r="C873" s="20"/>
      <c r="D873" s="20"/>
      <c r="E873" s="22"/>
      <c r="F873" s="22"/>
      <c r="G873" s="48" t="n">
        <f aca="false">IF(OR($E873="",$F873=""),0,$E873*$F873)</f>
        <v>0</v>
      </c>
      <c r="H873" s="48" t="n">
        <f aca="false">IF($A873="",0,SUMIFS($G$8:$G$1007,$C$8:$C$1007,$C873,$A$8:$A$1007,"&gt;="&amp;$A873-6,$A$8:$A$1007,"&lt;="&amp;$A873))</f>
        <v>0</v>
      </c>
      <c r="I873" s="48" t="n">
        <f aca="false">IF($A873="",0,SUMIFS($G$8:$G$1007,$C$8:$C$1007,$C873,$A$8:$A$1007,"&gt;="&amp;$A873-27,$A$8:$A$1007,"&lt;="&amp;$A873)/4)</f>
        <v>0</v>
      </c>
      <c r="J873" s="67" t="n">
        <f aca="false">IF(OR($A873="",$I873=0),0,$H873/$I873)</f>
        <v>0</v>
      </c>
      <c r="K873" s="33" t="n">
        <f aca="false">IF($A873="",0,$A873-SUMPRODUCT(MIN(($C$8:$C$1007=$C873)*$A$8:$A$1007+($C$8:$C$1007&lt;&gt;$C873)*100000))+1)</f>
        <v>0</v>
      </c>
      <c r="L873" s="19" t="str">
        <f aca="false">IF($A873="","",IF($J873=0,"Sem registro anterior",IF($K873&lt;21,"Histórico insuficiente",IF($J873&lt;0.8,"Subcarga",IF($J873&lt;=1.3,"Zona ideal",IF($J873&lt;=1.5,"Atenção","Risco elevado"))))))</f>
        <v/>
      </c>
      <c r="M873" s="20"/>
    </row>
    <row r="874" customFormat="false" ht="15" hidden="false" customHeight="false" outlineLevel="0" collapsed="false">
      <c r="A874" s="21"/>
      <c r="B874" s="33" t="n">
        <f aca="false">IF($A874="",0,INT(($A874-Macrociclo!$C$11)/7)+1)</f>
        <v>0</v>
      </c>
      <c r="C874" s="20"/>
      <c r="D874" s="20"/>
      <c r="E874" s="22"/>
      <c r="F874" s="22"/>
      <c r="G874" s="48" t="n">
        <f aca="false">IF(OR($E874="",$F874=""),0,$E874*$F874)</f>
        <v>0</v>
      </c>
      <c r="H874" s="48" t="n">
        <f aca="false">IF($A874="",0,SUMIFS($G$8:$G$1007,$C$8:$C$1007,$C874,$A$8:$A$1007,"&gt;="&amp;$A874-6,$A$8:$A$1007,"&lt;="&amp;$A874))</f>
        <v>0</v>
      </c>
      <c r="I874" s="48" t="n">
        <f aca="false">IF($A874="",0,SUMIFS($G$8:$G$1007,$C$8:$C$1007,$C874,$A$8:$A$1007,"&gt;="&amp;$A874-27,$A$8:$A$1007,"&lt;="&amp;$A874)/4)</f>
        <v>0</v>
      </c>
      <c r="J874" s="67" t="n">
        <f aca="false">IF(OR($A874="",$I874=0),0,$H874/$I874)</f>
        <v>0</v>
      </c>
      <c r="K874" s="33" t="n">
        <f aca="false">IF($A874="",0,$A874-SUMPRODUCT(MIN(($C$8:$C$1007=$C874)*$A$8:$A$1007+($C$8:$C$1007&lt;&gt;$C874)*100000))+1)</f>
        <v>0</v>
      </c>
      <c r="L874" s="19" t="str">
        <f aca="false">IF($A874="","",IF($J874=0,"Sem registro anterior",IF($K874&lt;21,"Histórico insuficiente",IF($J874&lt;0.8,"Subcarga",IF($J874&lt;=1.3,"Zona ideal",IF($J874&lt;=1.5,"Atenção","Risco elevado"))))))</f>
        <v/>
      </c>
      <c r="M874" s="20"/>
    </row>
    <row r="875" customFormat="false" ht="15" hidden="false" customHeight="false" outlineLevel="0" collapsed="false">
      <c r="A875" s="21"/>
      <c r="B875" s="33" t="n">
        <f aca="false">IF($A875="",0,INT(($A875-Macrociclo!$C$11)/7)+1)</f>
        <v>0</v>
      </c>
      <c r="C875" s="20"/>
      <c r="D875" s="20"/>
      <c r="E875" s="22"/>
      <c r="F875" s="22"/>
      <c r="G875" s="48" t="n">
        <f aca="false">IF(OR($E875="",$F875=""),0,$E875*$F875)</f>
        <v>0</v>
      </c>
      <c r="H875" s="48" t="n">
        <f aca="false">IF($A875="",0,SUMIFS($G$8:$G$1007,$C$8:$C$1007,$C875,$A$8:$A$1007,"&gt;="&amp;$A875-6,$A$8:$A$1007,"&lt;="&amp;$A875))</f>
        <v>0</v>
      </c>
      <c r="I875" s="48" t="n">
        <f aca="false">IF($A875="",0,SUMIFS($G$8:$G$1007,$C$8:$C$1007,$C875,$A$8:$A$1007,"&gt;="&amp;$A875-27,$A$8:$A$1007,"&lt;="&amp;$A875)/4)</f>
        <v>0</v>
      </c>
      <c r="J875" s="67" t="n">
        <f aca="false">IF(OR($A875="",$I875=0),0,$H875/$I875)</f>
        <v>0</v>
      </c>
      <c r="K875" s="33" t="n">
        <f aca="false">IF($A875="",0,$A875-SUMPRODUCT(MIN(($C$8:$C$1007=$C875)*$A$8:$A$1007+($C$8:$C$1007&lt;&gt;$C875)*100000))+1)</f>
        <v>0</v>
      </c>
      <c r="L875" s="19" t="str">
        <f aca="false">IF($A875="","",IF($J875=0,"Sem registro anterior",IF($K875&lt;21,"Histórico insuficiente",IF($J875&lt;0.8,"Subcarga",IF($J875&lt;=1.3,"Zona ideal",IF($J875&lt;=1.5,"Atenção","Risco elevado"))))))</f>
        <v/>
      </c>
      <c r="M875" s="20"/>
    </row>
    <row r="876" customFormat="false" ht="15" hidden="false" customHeight="false" outlineLevel="0" collapsed="false">
      <c r="A876" s="21"/>
      <c r="B876" s="33" t="n">
        <f aca="false">IF($A876="",0,INT(($A876-Macrociclo!$C$11)/7)+1)</f>
        <v>0</v>
      </c>
      <c r="C876" s="20"/>
      <c r="D876" s="20"/>
      <c r="E876" s="22"/>
      <c r="F876" s="22"/>
      <c r="G876" s="48" t="n">
        <f aca="false">IF(OR($E876="",$F876=""),0,$E876*$F876)</f>
        <v>0</v>
      </c>
      <c r="H876" s="48" t="n">
        <f aca="false">IF($A876="",0,SUMIFS($G$8:$G$1007,$C$8:$C$1007,$C876,$A$8:$A$1007,"&gt;="&amp;$A876-6,$A$8:$A$1007,"&lt;="&amp;$A876))</f>
        <v>0</v>
      </c>
      <c r="I876" s="48" t="n">
        <f aca="false">IF($A876="",0,SUMIFS($G$8:$G$1007,$C$8:$C$1007,$C876,$A$8:$A$1007,"&gt;="&amp;$A876-27,$A$8:$A$1007,"&lt;="&amp;$A876)/4)</f>
        <v>0</v>
      </c>
      <c r="J876" s="67" t="n">
        <f aca="false">IF(OR($A876="",$I876=0),0,$H876/$I876)</f>
        <v>0</v>
      </c>
      <c r="K876" s="33" t="n">
        <f aca="false">IF($A876="",0,$A876-SUMPRODUCT(MIN(($C$8:$C$1007=$C876)*$A$8:$A$1007+($C$8:$C$1007&lt;&gt;$C876)*100000))+1)</f>
        <v>0</v>
      </c>
      <c r="L876" s="19" t="str">
        <f aca="false">IF($A876="","",IF($J876=0,"Sem registro anterior",IF($K876&lt;21,"Histórico insuficiente",IF($J876&lt;0.8,"Subcarga",IF($J876&lt;=1.3,"Zona ideal",IF($J876&lt;=1.5,"Atenção","Risco elevado"))))))</f>
        <v/>
      </c>
      <c r="M876" s="20"/>
    </row>
    <row r="877" customFormat="false" ht="15" hidden="false" customHeight="false" outlineLevel="0" collapsed="false">
      <c r="A877" s="21"/>
      <c r="B877" s="33" t="n">
        <f aca="false">IF($A877="",0,INT(($A877-Macrociclo!$C$11)/7)+1)</f>
        <v>0</v>
      </c>
      <c r="C877" s="20"/>
      <c r="D877" s="20"/>
      <c r="E877" s="22"/>
      <c r="F877" s="22"/>
      <c r="G877" s="48" t="n">
        <f aca="false">IF(OR($E877="",$F877=""),0,$E877*$F877)</f>
        <v>0</v>
      </c>
      <c r="H877" s="48" t="n">
        <f aca="false">IF($A877="",0,SUMIFS($G$8:$G$1007,$C$8:$C$1007,$C877,$A$8:$A$1007,"&gt;="&amp;$A877-6,$A$8:$A$1007,"&lt;="&amp;$A877))</f>
        <v>0</v>
      </c>
      <c r="I877" s="48" t="n">
        <f aca="false">IF($A877="",0,SUMIFS($G$8:$G$1007,$C$8:$C$1007,$C877,$A$8:$A$1007,"&gt;="&amp;$A877-27,$A$8:$A$1007,"&lt;="&amp;$A877)/4)</f>
        <v>0</v>
      </c>
      <c r="J877" s="67" t="n">
        <f aca="false">IF(OR($A877="",$I877=0),0,$H877/$I877)</f>
        <v>0</v>
      </c>
      <c r="K877" s="33" t="n">
        <f aca="false">IF($A877="",0,$A877-SUMPRODUCT(MIN(($C$8:$C$1007=$C877)*$A$8:$A$1007+($C$8:$C$1007&lt;&gt;$C877)*100000))+1)</f>
        <v>0</v>
      </c>
      <c r="L877" s="19" t="str">
        <f aca="false">IF($A877="","",IF($J877=0,"Sem registro anterior",IF($K877&lt;21,"Histórico insuficiente",IF($J877&lt;0.8,"Subcarga",IF($J877&lt;=1.3,"Zona ideal",IF($J877&lt;=1.5,"Atenção","Risco elevado"))))))</f>
        <v/>
      </c>
      <c r="M877" s="20"/>
    </row>
    <row r="878" customFormat="false" ht="15" hidden="false" customHeight="false" outlineLevel="0" collapsed="false">
      <c r="A878" s="21"/>
      <c r="B878" s="33" t="n">
        <f aca="false">IF($A878="",0,INT(($A878-Macrociclo!$C$11)/7)+1)</f>
        <v>0</v>
      </c>
      <c r="C878" s="20"/>
      <c r="D878" s="20"/>
      <c r="E878" s="22"/>
      <c r="F878" s="22"/>
      <c r="G878" s="48" t="n">
        <f aca="false">IF(OR($E878="",$F878=""),0,$E878*$F878)</f>
        <v>0</v>
      </c>
      <c r="H878" s="48" t="n">
        <f aca="false">IF($A878="",0,SUMIFS($G$8:$G$1007,$C$8:$C$1007,$C878,$A$8:$A$1007,"&gt;="&amp;$A878-6,$A$8:$A$1007,"&lt;="&amp;$A878))</f>
        <v>0</v>
      </c>
      <c r="I878" s="48" t="n">
        <f aca="false">IF($A878="",0,SUMIFS($G$8:$G$1007,$C$8:$C$1007,$C878,$A$8:$A$1007,"&gt;="&amp;$A878-27,$A$8:$A$1007,"&lt;="&amp;$A878)/4)</f>
        <v>0</v>
      </c>
      <c r="J878" s="67" t="n">
        <f aca="false">IF(OR($A878="",$I878=0),0,$H878/$I878)</f>
        <v>0</v>
      </c>
      <c r="K878" s="33" t="n">
        <f aca="false">IF($A878="",0,$A878-SUMPRODUCT(MIN(($C$8:$C$1007=$C878)*$A$8:$A$1007+($C$8:$C$1007&lt;&gt;$C878)*100000))+1)</f>
        <v>0</v>
      </c>
      <c r="L878" s="19" t="str">
        <f aca="false">IF($A878="","",IF($J878=0,"Sem registro anterior",IF($K878&lt;21,"Histórico insuficiente",IF($J878&lt;0.8,"Subcarga",IF($J878&lt;=1.3,"Zona ideal",IF($J878&lt;=1.5,"Atenção","Risco elevado"))))))</f>
        <v/>
      </c>
      <c r="M878" s="20"/>
    </row>
    <row r="879" customFormat="false" ht="15" hidden="false" customHeight="false" outlineLevel="0" collapsed="false">
      <c r="A879" s="21"/>
      <c r="B879" s="33" t="n">
        <f aca="false">IF($A879="",0,INT(($A879-Macrociclo!$C$11)/7)+1)</f>
        <v>0</v>
      </c>
      <c r="C879" s="20"/>
      <c r="D879" s="20"/>
      <c r="E879" s="22"/>
      <c r="F879" s="22"/>
      <c r="G879" s="48" t="n">
        <f aca="false">IF(OR($E879="",$F879=""),0,$E879*$F879)</f>
        <v>0</v>
      </c>
      <c r="H879" s="48" t="n">
        <f aca="false">IF($A879="",0,SUMIFS($G$8:$G$1007,$C$8:$C$1007,$C879,$A$8:$A$1007,"&gt;="&amp;$A879-6,$A$8:$A$1007,"&lt;="&amp;$A879))</f>
        <v>0</v>
      </c>
      <c r="I879" s="48" t="n">
        <f aca="false">IF($A879="",0,SUMIFS($G$8:$G$1007,$C$8:$C$1007,$C879,$A$8:$A$1007,"&gt;="&amp;$A879-27,$A$8:$A$1007,"&lt;="&amp;$A879)/4)</f>
        <v>0</v>
      </c>
      <c r="J879" s="67" t="n">
        <f aca="false">IF(OR($A879="",$I879=0),0,$H879/$I879)</f>
        <v>0</v>
      </c>
      <c r="K879" s="33" t="n">
        <f aca="false">IF($A879="",0,$A879-SUMPRODUCT(MIN(($C$8:$C$1007=$C879)*$A$8:$A$1007+($C$8:$C$1007&lt;&gt;$C879)*100000))+1)</f>
        <v>0</v>
      </c>
      <c r="L879" s="19" t="str">
        <f aca="false">IF($A879="","",IF($J879=0,"Sem registro anterior",IF($K879&lt;21,"Histórico insuficiente",IF($J879&lt;0.8,"Subcarga",IF($J879&lt;=1.3,"Zona ideal",IF($J879&lt;=1.5,"Atenção","Risco elevado"))))))</f>
        <v/>
      </c>
      <c r="M879" s="20"/>
    </row>
    <row r="880" customFormat="false" ht="15" hidden="false" customHeight="false" outlineLevel="0" collapsed="false">
      <c r="A880" s="21"/>
      <c r="B880" s="33" t="n">
        <f aca="false">IF($A880="",0,INT(($A880-Macrociclo!$C$11)/7)+1)</f>
        <v>0</v>
      </c>
      <c r="C880" s="20"/>
      <c r="D880" s="20"/>
      <c r="E880" s="22"/>
      <c r="F880" s="22"/>
      <c r="G880" s="48" t="n">
        <f aca="false">IF(OR($E880="",$F880=""),0,$E880*$F880)</f>
        <v>0</v>
      </c>
      <c r="H880" s="48" t="n">
        <f aca="false">IF($A880="",0,SUMIFS($G$8:$G$1007,$C$8:$C$1007,$C880,$A$8:$A$1007,"&gt;="&amp;$A880-6,$A$8:$A$1007,"&lt;="&amp;$A880))</f>
        <v>0</v>
      </c>
      <c r="I880" s="48" t="n">
        <f aca="false">IF($A880="",0,SUMIFS($G$8:$G$1007,$C$8:$C$1007,$C880,$A$8:$A$1007,"&gt;="&amp;$A880-27,$A$8:$A$1007,"&lt;="&amp;$A880)/4)</f>
        <v>0</v>
      </c>
      <c r="J880" s="67" t="n">
        <f aca="false">IF(OR($A880="",$I880=0),0,$H880/$I880)</f>
        <v>0</v>
      </c>
      <c r="K880" s="33" t="n">
        <f aca="false">IF($A880="",0,$A880-SUMPRODUCT(MIN(($C$8:$C$1007=$C880)*$A$8:$A$1007+($C$8:$C$1007&lt;&gt;$C880)*100000))+1)</f>
        <v>0</v>
      </c>
      <c r="L880" s="19" t="str">
        <f aca="false">IF($A880="","",IF($J880=0,"Sem registro anterior",IF($K880&lt;21,"Histórico insuficiente",IF($J880&lt;0.8,"Subcarga",IF($J880&lt;=1.3,"Zona ideal",IF($J880&lt;=1.5,"Atenção","Risco elevado"))))))</f>
        <v/>
      </c>
      <c r="M880" s="20"/>
    </row>
    <row r="881" customFormat="false" ht="15" hidden="false" customHeight="false" outlineLevel="0" collapsed="false">
      <c r="A881" s="21"/>
      <c r="B881" s="33" t="n">
        <f aca="false">IF($A881="",0,INT(($A881-Macrociclo!$C$11)/7)+1)</f>
        <v>0</v>
      </c>
      <c r="C881" s="20"/>
      <c r="D881" s="20"/>
      <c r="E881" s="22"/>
      <c r="F881" s="22"/>
      <c r="G881" s="48" t="n">
        <f aca="false">IF(OR($E881="",$F881=""),0,$E881*$F881)</f>
        <v>0</v>
      </c>
      <c r="H881" s="48" t="n">
        <f aca="false">IF($A881="",0,SUMIFS($G$8:$G$1007,$C$8:$C$1007,$C881,$A$8:$A$1007,"&gt;="&amp;$A881-6,$A$8:$A$1007,"&lt;="&amp;$A881))</f>
        <v>0</v>
      </c>
      <c r="I881" s="48" t="n">
        <f aca="false">IF($A881="",0,SUMIFS($G$8:$G$1007,$C$8:$C$1007,$C881,$A$8:$A$1007,"&gt;="&amp;$A881-27,$A$8:$A$1007,"&lt;="&amp;$A881)/4)</f>
        <v>0</v>
      </c>
      <c r="J881" s="67" t="n">
        <f aca="false">IF(OR($A881="",$I881=0),0,$H881/$I881)</f>
        <v>0</v>
      </c>
      <c r="K881" s="33" t="n">
        <f aca="false">IF($A881="",0,$A881-SUMPRODUCT(MIN(($C$8:$C$1007=$C881)*$A$8:$A$1007+($C$8:$C$1007&lt;&gt;$C881)*100000))+1)</f>
        <v>0</v>
      </c>
      <c r="L881" s="19" t="str">
        <f aca="false">IF($A881="","",IF($J881=0,"Sem registro anterior",IF($K881&lt;21,"Histórico insuficiente",IF($J881&lt;0.8,"Subcarga",IF($J881&lt;=1.3,"Zona ideal",IF($J881&lt;=1.5,"Atenção","Risco elevado"))))))</f>
        <v/>
      </c>
      <c r="M881" s="20"/>
    </row>
    <row r="882" customFormat="false" ht="15" hidden="false" customHeight="false" outlineLevel="0" collapsed="false">
      <c r="A882" s="21"/>
      <c r="B882" s="33" t="n">
        <f aca="false">IF($A882="",0,INT(($A882-Macrociclo!$C$11)/7)+1)</f>
        <v>0</v>
      </c>
      <c r="C882" s="20"/>
      <c r="D882" s="20"/>
      <c r="E882" s="22"/>
      <c r="F882" s="22"/>
      <c r="G882" s="48" t="n">
        <f aca="false">IF(OR($E882="",$F882=""),0,$E882*$F882)</f>
        <v>0</v>
      </c>
      <c r="H882" s="48" t="n">
        <f aca="false">IF($A882="",0,SUMIFS($G$8:$G$1007,$C$8:$C$1007,$C882,$A$8:$A$1007,"&gt;="&amp;$A882-6,$A$8:$A$1007,"&lt;="&amp;$A882))</f>
        <v>0</v>
      </c>
      <c r="I882" s="48" t="n">
        <f aca="false">IF($A882="",0,SUMIFS($G$8:$G$1007,$C$8:$C$1007,$C882,$A$8:$A$1007,"&gt;="&amp;$A882-27,$A$8:$A$1007,"&lt;="&amp;$A882)/4)</f>
        <v>0</v>
      </c>
      <c r="J882" s="67" t="n">
        <f aca="false">IF(OR($A882="",$I882=0),0,$H882/$I882)</f>
        <v>0</v>
      </c>
      <c r="K882" s="33" t="n">
        <f aca="false">IF($A882="",0,$A882-SUMPRODUCT(MIN(($C$8:$C$1007=$C882)*$A$8:$A$1007+($C$8:$C$1007&lt;&gt;$C882)*100000))+1)</f>
        <v>0</v>
      </c>
      <c r="L882" s="19" t="str">
        <f aca="false">IF($A882="","",IF($J882=0,"Sem registro anterior",IF($K882&lt;21,"Histórico insuficiente",IF($J882&lt;0.8,"Subcarga",IF($J882&lt;=1.3,"Zona ideal",IF($J882&lt;=1.5,"Atenção","Risco elevado"))))))</f>
        <v/>
      </c>
      <c r="M882" s="20"/>
    </row>
    <row r="883" customFormat="false" ht="15" hidden="false" customHeight="false" outlineLevel="0" collapsed="false">
      <c r="A883" s="21"/>
      <c r="B883" s="33" t="n">
        <f aca="false">IF($A883="",0,INT(($A883-Macrociclo!$C$11)/7)+1)</f>
        <v>0</v>
      </c>
      <c r="C883" s="20"/>
      <c r="D883" s="20"/>
      <c r="E883" s="22"/>
      <c r="F883" s="22"/>
      <c r="G883" s="48" t="n">
        <f aca="false">IF(OR($E883="",$F883=""),0,$E883*$F883)</f>
        <v>0</v>
      </c>
      <c r="H883" s="48" t="n">
        <f aca="false">IF($A883="",0,SUMIFS($G$8:$G$1007,$C$8:$C$1007,$C883,$A$8:$A$1007,"&gt;="&amp;$A883-6,$A$8:$A$1007,"&lt;="&amp;$A883))</f>
        <v>0</v>
      </c>
      <c r="I883" s="48" t="n">
        <f aca="false">IF($A883="",0,SUMIFS($G$8:$G$1007,$C$8:$C$1007,$C883,$A$8:$A$1007,"&gt;="&amp;$A883-27,$A$8:$A$1007,"&lt;="&amp;$A883)/4)</f>
        <v>0</v>
      </c>
      <c r="J883" s="67" t="n">
        <f aca="false">IF(OR($A883="",$I883=0),0,$H883/$I883)</f>
        <v>0</v>
      </c>
      <c r="K883" s="33" t="n">
        <f aca="false">IF($A883="",0,$A883-SUMPRODUCT(MIN(($C$8:$C$1007=$C883)*$A$8:$A$1007+($C$8:$C$1007&lt;&gt;$C883)*100000))+1)</f>
        <v>0</v>
      </c>
      <c r="L883" s="19" t="str">
        <f aca="false">IF($A883="","",IF($J883=0,"Sem registro anterior",IF($K883&lt;21,"Histórico insuficiente",IF($J883&lt;0.8,"Subcarga",IF($J883&lt;=1.3,"Zona ideal",IF($J883&lt;=1.5,"Atenção","Risco elevado"))))))</f>
        <v/>
      </c>
      <c r="M883" s="20"/>
    </row>
    <row r="884" customFormat="false" ht="15" hidden="false" customHeight="false" outlineLevel="0" collapsed="false">
      <c r="A884" s="21"/>
      <c r="B884" s="33" t="n">
        <f aca="false">IF($A884="",0,INT(($A884-Macrociclo!$C$11)/7)+1)</f>
        <v>0</v>
      </c>
      <c r="C884" s="20"/>
      <c r="D884" s="20"/>
      <c r="E884" s="22"/>
      <c r="F884" s="22"/>
      <c r="G884" s="48" t="n">
        <f aca="false">IF(OR($E884="",$F884=""),0,$E884*$F884)</f>
        <v>0</v>
      </c>
      <c r="H884" s="48" t="n">
        <f aca="false">IF($A884="",0,SUMIFS($G$8:$G$1007,$C$8:$C$1007,$C884,$A$8:$A$1007,"&gt;="&amp;$A884-6,$A$8:$A$1007,"&lt;="&amp;$A884))</f>
        <v>0</v>
      </c>
      <c r="I884" s="48" t="n">
        <f aca="false">IF($A884="",0,SUMIFS($G$8:$G$1007,$C$8:$C$1007,$C884,$A$8:$A$1007,"&gt;="&amp;$A884-27,$A$8:$A$1007,"&lt;="&amp;$A884)/4)</f>
        <v>0</v>
      </c>
      <c r="J884" s="67" t="n">
        <f aca="false">IF(OR($A884="",$I884=0),0,$H884/$I884)</f>
        <v>0</v>
      </c>
      <c r="K884" s="33" t="n">
        <f aca="false">IF($A884="",0,$A884-SUMPRODUCT(MIN(($C$8:$C$1007=$C884)*$A$8:$A$1007+($C$8:$C$1007&lt;&gt;$C884)*100000))+1)</f>
        <v>0</v>
      </c>
      <c r="L884" s="19" t="str">
        <f aca="false">IF($A884="","",IF($J884=0,"Sem registro anterior",IF($K884&lt;21,"Histórico insuficiente",IF($J884&lt;0.8,"Subcarga",IF($J884&lt;=1.3,"Zona ideal",IF($J884&lt;=1.5,"Atenção","Risco elevado"))))))</f>
        <v/>
      </c>
      <c r="M884" s="20"/>
    </row>
    <row r="885" customFormat="false" ht="15" hidden="false" customHeight="false" outlineLevel="0" collapsed="false">
      <c r="A885" s="21"/>
      <c r="B885" s="33" t="n">
        <f aca="false">IF($A885="",0,INT(($A885-Macrociclo!$C$11)/7)+1)</f>
        <v>0</v>
      </c>
      <c r="C885" s="20"/>
      <c r="D885" s="20"/>
      <c r="E885" s="22"/>
      <c r="F885" s="22"/>
      <c r="G885" s="48" t="n">
        <f aca="false">IF(OR($E885="",$F885=""),0,$E885*$F885)</f>
        <v>0</v>
      </c>
      <c r="H885" s="48" t="n">
        <f aca="false">IF($A885="",0,SUMIFS($G$8:$G$1007,$C$8:$C$1007,$C885,$A$8:$A$1007,"&gt;="&amp;$A885-6,$A$8:$A$1007,"&lt;="&amp;$A885))</f>
        <v>0</v>
      </c>
      <c r="I885" s="48" t="n">
        <f aca="false">IF($A885="",0,SUMIFS($G$8:$G$1007,$C$8:$C$1007,$C885,$A$8:$A$1007,"&gt;="&amp;$A885-27,$A$8:$A$1007,"&lt;="&amp;$A885)/4)</f>
        <v>0</v>
      </c>
      <c r="J885" s="67" t="n">
        <f aca="false">IF(OR($A885="",$I885=0),0,$H885/$I885)</f>
        <v>0</v>
      </c>
      <c r="K885" s="33" t="n">
        <f aca="false">IF($A885="",0,$A885-SUMPRODUCT(MIN(($C$8:$C$1007=$C885)*$A$8:$A$1007+($C$8:$C$1007&lt;&gt;$C885)*100000))+1)</f>
        <v>0</v>
      </c>
      <c r="L885" s="19" t="str">
        <f aca="false">IF($A885="","",IF($J885=0,"Sem registro anterior",IF($K885&lt;21,"Histórico insuficiente",IF($J885&lt;0.8,"Subcarga",IF($J885&lt;=1.3,"Zona ideal",IF($J885&lt;=1.5,"Atenção","Risco elevado"))))))</f>
        <v/>
      </c>
      <c r="M885" s="20"/>
    </row>
    <row r="886" customFormat="false" ht="15" hidden="false" customHeight="false" outlineLevel="0" collapsed="false">
      <c r="A886" s="21"/>
      <c r="B886" s="33" t="n">
        <f aca="false">IF($A886="",0,INT(($A886-Macrociclo!$C$11)/7)+1)</f>
        <v>0</v>
      </c>
      <c r="C886" s="20"/>
      <c r="D886" s="20"/>
      <c r="E886" s="22"/>
      <c r="F886" s="22"/>
      <c r="G886" s="48" t="n">
        <f aca="false">IF(OR($E886="",$F886=""),0,$E886*$F886)</f>
        <v>0</v>
      </c>
      <c r="H886" s="48" t="n">
        <f aca="false">IF($A886="",0,SUMIFS($G$8:$G$1007,$C$8:$C$1007,$C886,$A$8:$A$1007,"&gt;="&amp;$A886-6,$A$8:$A$1007,"&lt;="&amp;$A886))</f>
        <v>0</v>
      </c>
      <c r="I886" s="48" t="n">
        <f aca="false">IF($A886="",0,SUMIFS($G$8:$G$1007,$C$8:$C$1007,$C886,$A$8:$A$1007,"&gt;="&amp;$A886-27,$A$8:$A$1007,"&lt;="&amp;$A886)/4)</f>
        <v>0</v>
      </c>
      <c r="J886" s="67" t="n">
        <f aca="false">IF(OR($A886="",$I886=0),0,$H886/$I886)</f>
        <v>0</v>
      </c>
      <c r="K886" s="33" t="n">
        <f aca="false">IF($A886="",0,$A886-SUMPRODUCT(MIN(($C$8:$C$1007=$C886)*$A$8:$A$1007+($C$8:$C$1007&lt;&gt;$C886)*100000))+1)</f>
        <v>0</v>
      </c>
      <c r="L886" s="19" t="str">
        <f aca="false">IF($A886="","",IF($J886=0,"Sem registro anterior",IF($K886&lt;21,"Histórico insuficiente",IF($J886&lt;0.8,"Subcarga",IF($J886&lt;=1.3,"Zona ideal",IF($J886&lt;=1.5,"Atenção","Risco elevado"))))))</f>
        <v/>
      </c>
      <c r="M886" s="20"/>
    </row>
    <row r="887" customFormat="false" ht="15" hidden="false" customHeight="false" outlineLevel="0" collapsed="false">
      <c r="A887" s="21"/>
      <c r="B887" s="33" t="n">
        <f aca="false">IF($A887="",0,INT(($A887-Macrociclo!$C$11)/7)+1)</f>
        <v>0</v>
      </c>
      <c r="C887" s="20"/>
      <c r="D887" s="20"/>
      <c r="E887" s="22"/>
      <c r="F887" s="22"/>
      <c r="G887" s="48" t="n">
        <f aca="false">IF(OR($E887="",$F887=""),0,$E887*$F887)</f>
        <v>0</v>
      </c>
      <c r="H887" s="48" t="n">
        <f aca="false">IF($A887="",0,SUMIFS($G$8:$G$1007,$C$8:$C$1007,$C887,$A$8:$A$1007,"&gt;="&amp;$A887-6,$A$8:$A$1007,"&lt;="&amp;$A887))</f>
        <v>0</v>
      </c>
      <c r="I887" s="48" t="n">
        <f aca="false">IF($A887="",0,SUMIFS($G$8:$G$1007,$C$8:$C$1007,$C887,$A$8:$A$1007,"&gt;="&amp;$A887-27,$A$8:$A$1007,"&lt;="&amp;$A887)/4)</f>
        <v>0</v>
      </c>
      <c r="J887" s="67" t="n">
        <f aca="false">IF(OR($A887="",$I887=0),0,$H887/$I887)</f>
        <v>0</v>
      </c>
      <c r="K887" s="33" t="n">
        <f aca="false">IF($A887="",0,$A887-SUMPRODUCT(MIN(($C$8:$C$1007=$C887)*$A$8:$A$1007+($C$8:$C$1007&lt;&gt;$C887)*100000))+1)</f>
        <v>0</v>
      </c>
      <c r="L887" s="19" t="str">
        <f aca="false">IF($A887="","",IF($J887=0,"Sem registro anterior",IF($K887&lt;21,"Histórico insuficiente",IF($J887&lt;0.8,"Subcarga",IF($J887&lt;=1.3,"Zona ideal",IF($J887&lt;=1.5,"Atenção","Risco elevado"))))))</f>
        <v/>
      </c>
      <c r="M887" s="20"/>
    </row>
    <row r="888" customFormat="false" ht="15" hidden="false" customHeight="false" outlineLevel="0" collapsed="false">
      <c r="A888" s="21"/>
      <c r="B888" s="33" t="n">
        <f aca="false">IF($A888="",0,INT(($A888-Macrociclo!$C$11)/7)+1)</f>
        <v>0</v>
      </c>
      <c r="C888" s="20"/>
      <c r="D888" s="20"/>
      <c r="E888" s="22"/>
      <c r="F888" s="22"/>
      <c r="G888" s="48" t="n">
        <f aca="false">IF(OR($E888="",$F888=""),0,$E888*$F888)</f>
        <v>0</v>
      </c>
      <c r="H888" s="48" t="n">
        <f aca="false">IF($A888="",0,SUMIFS($G$8:$G$1007,$C$8:$C$1007,$C888,$A$8:$A$1007,"&gt;="&amp;$A888-6,$A$8:$A$1007,"&lt;="&amp;$A888))</f>
        <v>0</v>
      </c>
      <c r="I888" s="48" t="n">
        <f aca="false">IF($A888="",0,SUMIFS($G$8:$G$1007,$C$8:$C$1007,$C888,$A$8:$A$1007,"&gt;="&amp;$A888-27,$A$8:$A$1007,"&lt;="&amp;$A888)/4)</f>
        <v>0</v>
      </c>
      <c r="J888" s="67" t="n">
        <f aca="false">IF(OR($A888="",$I888=0),0,$H888/$I888)</f>
        <v>0</v>
      </c>
      <c r="K888" s="33" t="n">
        <f aca="false">IF($A888="",0,$A888-SUMPRODUCT(MIN(($C$8:$C$1007=$C888)*$A$8:$A$1007+($C$8:$C$1007&lt;&gt;$C888)*100000))+1)</f>
        <v>0</v>
      </c>
      <c r="L888" s="19" t="str">
        <f aca="false">IF($A888="","",IF($J888=0,"Sem registro anterior",IF($K888&lt;21,"Histórico insuficiente",IF($J888&lt;0.8,"Subcarga",IF($J888&lt;=1.3,"Zona ideal",IF($J888&lt;=1.5,"Atenção","Risco elevado"))))))</f>
        <v/>
      </c>
      <c r="M888" s="20"/>
    </row>
    <row r="889" customFormat="false" ht="15" hidden="false" customHeight="false" outlineLevel="0" collapsed="false">
      <c r="A889" s="21"/>
      <c r="B889" s="33" t="n">
        <f aca="false">IF($A889="",0,INT(($A889-Macrociclo!$C$11)/7)+1)</f>
        <v>0</v>
      </c>
      <c r="C889" s="20"/>
      <c r="D889" s="20"/>
      <c r="E889" s="22"/>
      <c r="F889" s="22"/>
      <c r="G889" s="48" t="n">
        <f aca="false">IF(OR($E889="",$F889=""),0,$E889*$F889)</f>
        <v>0</v>
      </c>
      <c r="H889" s="48" t="n">
        <f aca="false">IF($A889="",0,SUMIFS($G$8:$G$1007,$C$8:$C$1007,$C889,$A$8:$A$1007,"&gt;="&amp;$A889-6,$A$8:$A$1007,"&lt;="&amp;$A889))</f>
        <v>0</v>
      </c>
      <c r="I889" s="48" t="n">
        <f aca="false">IF($A889="",0,SUMIFS($G$8:$G$1007,$C$8:$C$1007,$C889,$A$8:$A$1007,"&gt;="&amp;$A889-27,$A$8:$A$1007,"&lt;="&amp;$A889)/4)</f>
        <v>0</v>
      </c>
      <c r="J889" s="67" t="n">
        <f aca="false">IF(OR($A889="",$I889=0),0,$H889/$I889)</f>
        <v>0</v>
      </c>
      <c r="K889" s="33" t="n">
        <f aca="false">IF($A889="",0,$A889-SUMPRODUCT(MIN(($C$8:$C$1007=$C889)*$A$8:$A$1007+($C$8:$C$1007&lt;&gt;$C889)*100000))+1)</f>
        <v>0</v>
      </c>
      <c r="L889" s="19" t="str">
        <f aca="false">IF($A889="","",IF($J889=0,"Sem registro anterior",IF($K889&lt;21,"Histórico insuficiente",IF($J889&lt;0.8,"Subcarga",IF($J889&lt;=1.3,"Zona ideal",IF($J889&lt;=1.5,"Atenção","Risco elevado"))))))</f>
        <v/>
      </c>
      <c r="M889" s="20"/>
    </row>
    <row r="890" customFormat="false" ht="15" hidden="false" customHeight="false" outlineLevel="0" collapsed="false">
      <c r="A890" s="21"/>
      <c r="B890" s="33" t="n">
        <f aca="false">IF($A890="",0,INT(($A890-Macrociclo!$C$11)/7)+1)</f>
        <v>0</v>
      </c>
      <c r="C890" s="20"/>
      <c r="D890" s="20"/>
      <c r="E890" s="22"/>
      <c r="F890" s="22"/>
      <c r="G890" s="48" t="n">
        <f aca="false">IF(OR($E890="",$F890=""),0,$E890*$F890)</f>
        <v>0</v>
      </c>
      <c r="H890" s="48" t="n">
        <f aca="false">IF($A890="",0,SUMIFS($G$8:$G$1007,$C$8:$C$1007,$C890,$A$8:$A$1007,"&gt;="&amp;$A890-6,$A$8:$A$1007,"&lt;="&amp;$A890))</f>
        <v>0</v>
      </c>
      <c r="I890" s="48" t="n">
        <f aca="false">IF($A890="",0,SUMIFS($G$8:$G$1007,$C$8:$C$1007,$C890,$A$8:$A$1007,"&gt;="&amp;$A890-27,$A$8:$A$1007,"&lt;="&amp;$A890)/4)</f>
        <v>0</v>
      </c>
      <c r="J890" s="67" t="n">
        <f aca="false">IF(OR($A890="",$I890=0),0,$H890/$I890)</f>
        <v>0</v>
      </c>
      <c r="K890" s="33" t="n">
        <f aca="false">IF($A890="",0,$A890-SUMPRODUCT(MIN(($C$8:$C$1007=$C890)*$A$8:$A$1007+($C$8:$C$1007&lt;&gt;$C890)*100000))+1)</f>
        <v>0</v>
      </c>
      <c r="L890" s="19" t="str">
        <f aca="false">IF($A890="","",IF($J890=0,"Sem registro anterior",IF($K890&lt;21,"Histórico insuficiente",IF($J890&lt;0.8,"Subcarga",IF($J890&lt;=1.3,"Zona ideal",IF($J890&lt;=1.5,"Atenção","Risco elevado"))))))</f>
        <v/>
      </c>
      <c r="M890" s="20"/>
    </row>
    <row r="891" customFormat="false" ht="15" hidden="false" customHeight="false" outlineLevel="0" collapsed="false">
      <c r="A891" s="21"/>
      <c r="B891" s="33" t="n">
        <f aca="false">IF($A891="",0,INT(($A891-Macrociclo!$C$11)/7)+1)</f>
        <v>0</v>
      </c>
      <c r="C891" s="20"/>
      <c r="D891" s="20"/>
      <c r="E891" s="22"/>
      <c r="F891" s="22"/>
      <c r="G891" s="48" t="n">
        <f aca="false">IF(OR($E891="",$F891=""),0,$E891*$F891)</f>
        <v>0</v>
      </c>
      <c r="H891" s="48" t="n">
        <f aca="false">IF($A891="",0,SUMIFS($G$8:$G$1007,$C$8:$C$1007,$C891,$A$8:$A$1007,"&gt;="&amp;$A891-6,$A$8:$A$1007,"&lt;="&amp;$A891))</f>
        <v>0</v>
      </c>
      <c r="I891" s="48" t="n">
        <f aca="false">IF($A891="",0,SUMIFS($G$8:$G$1007,$C$8:$C$1007,$C891,$A$8:$A$1007,"&gt;="&amp;$A891-27,$A$8:$A$1007,"&lt;="&amp;$A891)/4)</f>
        <v>0</v>
      </c>
      <c r="J891" s="67" t="n">
        <f aca="false">IF(OR($A891="",$I891=0),0,$H891/$I891)</f>
        <v>0</v>
      </c>
      <c r="K891" s="33" t="n">
        <f aca="false">IF($A891="",0,$A891-SUMPRODUCT(MIN(($C$8:$C$1007=$C891)*$A$8:$A$1007+($C$8:$C$1007&lt;&gt;$C891)*100000))+1)</f>
        <v>0</v>
      </c>
      <c r="L891" s="19" t="str">
        <f aca="false">IF($A891="","",IF($J891=0,"Sem registro anterior",IF($K891&lt;21,"Histórico insuficiente",IF($J891&lt;0.8,"Subcarga",IF($J891&lt;=1.3,"Zona ideal",IF($J891&lt;=1.5,"Atenção","Risco elevado"))))))</f>
        <v/>
      </c>
      <c r="M891" s="20"/>
    </row>
    <row r="892" customFormat="false" ht="15" hidden="false" customHeight="false" outlineLevel="0" collapsed="false">
      <c r="A892" s="21"/>
      <c r="B892" s="33" t="n">
        <f aca="false">IF($A892="",0,INT(($A892-Macrociclo!$C$11)/7)+1)</f>
        <v>0</v>
      </c>
      <c r="C892" s="20"/>
      <c r="D892" s="20"/>
      <c r="E892" s="22"/>
      <c r="F892" s="22"/>
      <c r="G892" s="48" t="n">
        <f aca="false">IF(OR($E892="",$F892=""),0,$E892*$F892)</f>
        <v>0</v>
      </c>
      <c r="H892" s="48" t="n">
        <f aca="false">IF($A892="",0,SUMIFS($G$8:$G$1007,$C$8:$C$1007,$C892,$A$8:$A$1007,"&gt;="&amp;$A892-6,$A$8:$A$1007,"&lt;="&amp;$A892))</f>
        <v>0</v>
      </c>
      <c r="I892" s="48" t="n">
        <f aca="false">IF($A892="",0,SUMIFS($G$8:$G$1007,$C$8:$C$1007,$C892,$A$8:$A$1007,"&gt;="&amp;$A892-27,$A$8:$A$1007,"&lt;="&amp;$A892)/4)</f>
        <v>0</v>
      </c>
      <c r="J892" s="67" t="n">
        <f aca="false">IF(OR($A892="",$I892=0),0,$H892/$I892)</f>
        <v>0</v>
      </c>
      <c r="K892" s="33" t="n">
        <f aca="false">IF($A892="",0,$A892-SUMPRODUCT(MIN(($C$8:$C$1007=$C892)*$A$8:$A$1007+($C$8:$C$1007&lt;&gt;$C892)*100000))+1)</f>
        <v>0</v>
      </c>
      <c r="L892" s="19" t="str">
        <f aca="false">IF($A892="","",IF($J892=0,"Sem registro anterior",IF($K892&lt;21,"Histórico insuficiente",IF($J892&lt;0.8,"Subcarga",IF($J892&lt;=1.3,"Zona ideal",IF($J892&lt;=1.5,"Atenção","Risco elevado"))))))</f>
        <v/>
      </c>
      <c r="M892" s="20"/>
    </row>
    <row r="893" customFormat="false" ht="15" hidden="false" customHeight="false" outlineLevel="0" collapsed="false">
      <c r="A893" s="21"/>
      <c r="B893" s="33" t="n">
        <f aca="false">IF($A893="",0,INT(($A893-Macrociclo!$C$11)/7)+1)</f>
        <v>0</v>
      </c>
      <c r="C893" s="20"/>
      <c r="D893" s="20"/>
      <c r="E893" s="22"/>
      <c r="F893" s="22"/>
      <c r="G893" s="48" t="n">
        <f aca="false">IF(OR($E893="",$F893=""),0,$E893*$F893)</f>
        <v>0</v>
      </c>
      <c r="H893" s="48" t="n">
        <f aca="false">IF($A893="",0,SUMIFS($G$8:$G$1007,$C$8:$C$1007,$C893,$A$8:$A$1007,"&gt;="&amp;$A893-6,$A$8:$A$1007,"&lt;="&amp;$A893))</f>
        <v>0</v>
      </c>
      <c r="I893" s="48" t="n">
        <f aca="false">IF($A893="",0,SUMIFS($G$8:$G$1007,$C$8:$C$1007,$C893,$A$8:$A$1007,"&gt;="&amp;$A893-27,$A$8:$A$1007,"&lt;="&amp;$A893)/4)</f>
        <v>0</v>
      </c>
      <c r="J893" s="67" t="n">
        <f aca="false">IF(OR($A893="",$I893=0),0,$H893/$I893)</f>
        <v>0</v>
      </c>
      <c r="K893" s="33" t="n">
        <f aca="false">IF($A893="",0,$A893-SUMPRODUCT(MIN(($C$8:$C$1007=$C893)*$A$8:$A$1007+($C$8:$C$1007&lt;&gt;$C893)*100000))+1)</f>
        <v>0</v>
      </c>
      <c r="L893" s="19" t="str">
        <f aca="false">IF($A893="","",IF($J893=0,"Sem registro anterior",IF($K893&lt;21,"Histórico insuficiente",IF($J893&lt;0.8,"Subcarga",IF($J893&lt;=1.3,"Zona ideal",IF($J893&lt;=1.5,"Atenção","Risco elevado"))))))</f>
        <v/>
      </c>
      <c r="M893" s="20"/>
    </row>
    <row r="894" customFormat="false" ht="15" hidden="false" customHeight="false" outlineLevel="0" collapsed="false">
      <c r="A894" s="21"/>
      <c r="B894" s="33" t="n">
        <f aca="false">IF($A894="",0,INT(($A894-Macrociclo!$C$11)/7)+1)</f>
        <v>0</v>
      </c>
      <c r="C894" s="20"/>
      <c r="D894" s="20"/>
      <c r="E894" s="22"/>
      <c r="F894" s="22"/>
      <c r="G894" s="48" t="n">
        <f aca="false">IF(OR($E894="",$F894=""),0,$E894*$F894)</f>
        <v>0</v>
      </c>
      <c r="H894" s="48" t="n">
        <f aca="false">IF($A894="",0,SUMIFS($G$8:$G$1007,$C$8:$C$1007,$C894,$A$8:$A$1007,"&gt;="&amp;$A894-6,$A$8:$A$1007,"&lt;="&amp;$A894))</f>
        <v>0</v>
      </c>
      <c r="I894" s="48" t="n">
        <f aca="false">IF($A894="",0,SUMIFS($G$8:$G$1007,$C$8:$C$1007,$C894,$A$8:$A$1007,"&gt;="&amp;$A894-27,$A$8:$A$1007,"&lt;="&amp;$A894)/4)</f>
        <v>0</v>
      </c>
      <c r="J894" s="67" t="n">
        <f aca="false">IF(OR($A894="",$I894=0),0,$H894/$I894)</f>
        <v>0</v>
      </c>
      <c r="K894" s="33" t="n">
        <f aca="false">IF($A894="",0,$A894-SUMPRODUCT(MIN(($C$8:$C$1007=$C894)*$A$8:$A$1007+($C$8:$C$1007&lt;&gt;$C894)*100000))+1)</f>
        <v>0</v>
      </c>
      <c r="L894" s="19" t="str">
        <f aca="false">IF($A894="","",IF($J894=0,"Sem registro anterior",IF($K894&lt;21,"Histórico insuficiente",IF($J894&lt;0.8,"Subcarga",IF($J894&lt;=1.3,"Zona ideal",IF($J894&lt;=1.5,"Atenção","Risco elevado"))))))</f>
        <v/>
      </c>
      <c r="M894" s="20"/>
    </row>
    <row r="895" customFormat="false" ht="15" hidden="false" customHeight="false" outlineLevel="0" collapsed="false">
      <c r="A895" s="21"/>
      <c r="B895" s="33" t="n">
        <f aca="false">IF($A895="",0,INT(($A895-Macrociclo!$C$11)/7)+1)</f>
        <v>0</v>
      </c>
      <c r="C895" s="20"/>
      <c r="D895" s="20"/>
      <c r="E895" s="22"/>
      <c r="F895" s="22"/>
      <c r="G895" s="48" t="n">
        <f aca="false">IF(OR($E895="",$F895=""),0,$E895*$F895)</f>
        <v>0</v>
      </c>
      <c r="H895" s="48" t="n">
        <f aca="false">IF($A895="",0,SUMIFS($G$8:$G$1007,$C$8:$C$1007,$C895,$A$8:$A$1007,"&gt;="&amp;$A895-6,$A$8:$A$1007,"&lt;="&amp;$A895))</f>
        <v>0</v>
      </c>
      <c r="I895" s="48" t="n">
        <f aca="false">IF($A895="",0,SUMIFS($G$8:$G$1007,$C$8:$C$1007,$C895,$A$8:$A$1007,"&gt;="&amp;$A895-27,$A$8:$A$1007,"&lt;="&amp;$A895)/4)</f>
        <v>0</v>
      </c>
      <c r="J895" s="67" t="n">
        <f aca="false">IF(OR($A895="",$I895=0),0,$H895/$I895)</f>
        <v>0</v>
      </c>
      <c r="K895" s="33" t="n">
        <f aca="false">IF($A895="",0,$A895-SUMPRODUCT(MIN(($C$8:$C$1007=$C895)*$A$8:$A$1007+($C$8:$C$1007&lt;&gt;$C895)*100000))+1)</f>
        <v>0</v>
      </c>
      <c r="L895" s="19" t="str">
        <f aca="false">IF($A895="","",IF($J895=0,"Sem registro anterior",IF($K895&lt;21,"Histórico insuficiente",IF($J895&lt;0.8,"Subcarga",IF($J895&lt;=1.3,"Zona ideal",IF($J895&lt;=1.5,"Atenção","Risco elevado"))))))</f>
        <v/>
      </c>
      <c r="M895" s="20"/>
    </row>
    <row r="896" customFormat="false" ht="15" hidden="false" customHeight="false" outlineLevel="0" collapsed="false">
      <c r="A896" s="21"/>
      <c r="B896" s="33" t="n">
        <f aca="false">IF($A896="",0,INT(($A896-Macrociclo!$C$11)/7)+1)</f>
        <v>0</v>
      </c>
      <c r="C896" s="20"/>
      <c r="D896" s="20"/>
      <c r="E896" s="22"/>
      <c r="F896" s="22"/>
      <c r="G896" s="48" t="n">
        <f aca="false">IF(OR($E896="",$F896=""),0,$E896*$F896)</f>
        <v>0</v>
      </c>
      <c r="H896" s="48" t="n">
        <f aca="false">IF($A896="",0,SUMIFS($G$8:$G$1007,$C$8:$C$1007,$C896,$A$8:$A$1007,"&gt;="&amp;$A896-6,$A$8:$A$1007,"&lt;="&amp;$A896))</f>
        <v>0</v>
      </c>
      <c r="I896" s="48" t="n">
        <f aca="false">IF($A896="",0,SUMIFS($G$8:$G$1007,$C$8:$C$1007,$C896,$A$8:$A$1007,"&gt;="&amp;$A896-27,$A$8:$A$1007,"&lt;="&amp;$A896)/4)</f>
        <v>0</v>
      </c>
      <c r="J896" s="67" t="n">
        <f aca="false">IF(OR($A896="",$I896=0),0,$H896/$I896)</f>
        <v>0</v>
      </c>
      <c r="K896" s="33" t="n">
        <f aca="false">IF($A896="",0,$A896-SUMPRODUCT(MIN(($C$8:$C$1007=$C896)*$A$8:$A$1007+($C$8:$C$1007&lt;&gt;$C896)*100000))+1)</f>
        <v>0</v>
      </c>
      <c r="L896" s="19" t="str">
        <f aca="false">IF($A896="","",IF($J896=0,"Sem registro anterior",IF($K896&lt;21,"Histórico insuficiente",IF($J896&lt;0.8,"Subcarga",IF($J896&lt;=1.3,"Zona ideal",IF($J896&lt;=1.5,"Atenção","Risco elevado"))))))</f>
        <v/>
      </c>
      <c r="M896" s="20"/>
    </row>
    <row r="897" customFormat="false" ht="15" hidden="false" customHeight="false" outlineLevel="0" collapsed="false">
      <c r="A897" s="21"/>
      <c r="B897" s="33" t="n">
        <f aca="false">IF($A897="",0,INT(($A897-Macrociclo!$C$11)/7)+1)</f>
        <v>0</v>
      </c>
      <c r="C897" s="20"/>
      <c r="D897" s="20"/>
      <c r="E897" s="22"/>
      <c r="F897" s="22"/>
      <c r="G897" s="48" t="n">
        <f aca="false">IF(OR($E897="",$F897=""),0,$E897*$F897)</f>
        <v>0</v>
      </c>
      <c r="H897" s="48" t="n">
        <f aca="false">IF($A897="",0,SUMIFS($G$8:$G$1007,$C$8:$C$1007,$C897,$A$8:$A$1007,"&gt;="&amp;$A897-6,$A$8:$A$1007,"&lt;="&amp;$A897))</f>
        <v>0</v>
      </c>
      <c r="I897" s="48" t="n">
        <f aca="false">IF($A897="",0,SUMIFS($G$8:$G$1007,$C$8:$C$1007,$C897,$A$8:$A$1007,"&gt;="&amp;$A897-27,$A$8:$A$1007,"&lt;="&amp;$A897)/4)</f>
        <v>0</v>
      </c>
      <c r="J897" s="67" t="n">
        <f aca="false">IF(OR($A897="",$I897=0),0,$H897/$I897)</f>
        <v>0</v>
      </c>
      <c r="K897" s="33" t="n">
        <f aca="false">IF($A897="",0,$A897-SUMPRODUCT(MIN(($C$8:$C$1007=$C897)*$A$8:$A$1007+($C$8:$C$1007&lt;&gt;$C897)*100000))+1)</f>
        <v>0</v>
      </c>
      <c r="L897" s="19" t="str">
        <f aca="false">IF($A897="","",IF($J897=0,"Sem registro anterior",IF($K897&lt;21,"Histórico insuficiente",IF($J897&lt;0.8,"Subcarga",IF($J897&lt;=1.3,"Zona ideal",IF($J897&lt;=1.5,"Atenção","Risco elevado"))))))</f>
        <v/>
      </c>
      <c r="M897" s="20"/>
    </row>
    <row r="898" customFormat="false" ht="15" hidden="false" customHeight="false" outlineLevel="0" collapsed="false">
      <c r="A898" s="21"/>
      <c r="B898" s="33" t="n">
        <f aca="false">IF($A898="",0,INT(($A898-Macrociclo!$C$11)/7)+1)</f>
        <v>0</v>
      </c>
      <c r="C898" s="20"/>
      <c r="D898" s="20"/>
      <c r="E898" s="22"/>
      <c r="F898" s="22"/>
      <c r="G898" s="48" t="n">
        <f aca="false">IF(OR($E898="",$F898=""),0,$E898*$F898)</f>
        <v>0</v>
      </c>
      <c r="H898" s="48" t="n">
        <f aca="false">IF($A898="",0,SUMIFS($G$8:$G$1007,$C$8:$C$1007,$C898,$A$8:$A$1007,"&gt;="&amp;$A898-6,$A$8:$A$1007,"&lt;="&amp;$A898))</f>
        <v>0</v>
      </c>
      <c r="I898" s="48" t="n">
        <f aca="false">IF($A898="",0,SUMIFS($G$8:$G$1007,$C$8:$C$1007,$C898,$A$8:$A$1007,"&gt;="&amp;$A898-27,$A$8:$A$1007,"&lt;="&amp;$A898)/4)</f>
        <v>0</v>
      </c>
      <c r="J898" s="67" t="n">
        <f aca="false">IF(OR($A898="",$I898=0),0,$H898/$I898)</f>
        <v>0</v>
      </c>
      <c r="K898" s="33" t="n">
        <f aca="false">IF($A898="",0,$A898-SUMPRODUCT(MIN(($C$8:$C$1007=$C898)*$A$8:$A$1007+($C$8:$C$1007&lt;&gt;$C898)*100000))+1)</f>
        <v>0</v>
      </c>
      <c r="L898" s="19" t="str">
        <f aca="false">IF($A898="","",IF($J898=0,"Sem registro anterior",IF($K898&lt;21,"Histórico insuficiente",IF($J898&lt;0.8,"Subcarga",IF($J898&lt;=1.3,"Zona ideal",IF($J898&lt;=1.5,"Atenção","Risco elevado"))))))</f>
        <v/>
      </c>
      <c r="M898" s="20"/>
    </row>
    <row r="899" customFormat="false" ht="15" hidden="false" customHeight="false" outlineLevel="0" collapsed="false">
      <c r="A899" s="21"/>
      <c r="B899" s="33" t="n">
        <f aca="false">IF($A899="",0,INT(($A899-Macrociclo!$C$11)/7)+1)</f>
        <v>0</v>
      </c>
      <c r="C899" s="20"/>
      <c r="D899" s="20"/>
      <c r="E899" s="22"/>
      <c r="F899" s="22"/>
      <c r="G899" s="48" t="n">
        <f aca="false">IF(OR($E899="",$F899=""),0,$E899*$F899)</f>
        <v>0</v>
      </c>
      <c r="H899" s="48" t="n">
        <f aca="false">IF($A899="",0,SUMIFS($G$8:$G$1007,$C$8:$C$1007,$C899,$A$8:$A$1007,"&gt;="&amp;$A899-6,$A$8:$A$1007,"&lt;="&amp;$A899))</f>
        <v>0</v>
      </c>
      <c r="I899" s="48" t="n">
        <f aca="false">IF($A899="",0,SUMIFS($G$8:$G$1007,$C$8:$C$1007,$C899,$A$8:$A$1007,"&gt;="&amp;$A899-27,$A$8:$A$1007,"&lt;="&amp;$A899)/4)</f>
        <v>0</v>
      </c>
      <c r="J899" s="67" t="n">
        <f aca="false">IF(OR($A899="",$I899=0),0,$H899/$I899)</f>
        <v>0</v>
      </c>
      <c r="K899" s="33" t="n">
        <f aca="false">IF($A899="",0,$A899-SUMPRODUCT(MIN(($C$8:$C$1007=$C899)*$A$8:$A$1007+($C$8:$C$1007&lt;&gt;$C899)*100000))+1)</f>
        <v>0</v>
      </c>
      <c r="L899" s="19" t="str">
        <f aca="false">IF($A899="","",IF($J899=0,"Sem registro anterior",IF($K899&lt;21,"Histórico insuficiente",IF($J899&lt;0.8,"Subcarga",IF($J899&lt;=1.3,"Zona ideal",IF($J899&lt;=1.5,"Atenção","Risco elevado"))))))</f>
        <v/>
      </c>
      <c r="M899" s="20"/>
    </row>
    <row r="900" customFormat="false" ht="15" hidden="false" customHeight="false" outlineLevel="0" collapsed="false">
      <c r="A900" s="21"/>
      <c r="B900" s="33" t="n">
        <f aca="false">IF($A900="",0,INT(($A900-Macrociclo!$C$11)/7)+1)</f>
        <v>0</v>
      </c>
      <c r="C900" s="20"/>
      <c r="D900" s="20"/>
      <c r="E900" s="22"/>
      <c r="F900" s="22"/>
      <c r="G900" s="48" t="n">
        <f aca="false">IF(OR($E900="",$F900=""),0,$E900*$F900)</f>
        <v>0</v>
      </c>
      <c r="H900" s="48" t="n">
        <f aca="false">IF($A900="",0,SUMIFS($G$8:$G$1007,$C$8:$C$1007,$C900,$A$8:$A$1007,"&gt;="&amp;$A900-6,$A$8:$A$1007,"&lt;="&amp;$A900))</f>
        <v>0</v>
      </c>
      <c r="I900" s="48" t="n">
        <f aca="false">IF($A900="",0,SUMIFS($G$8:$G$1007,$C$8:$C$1007,$C900,$A$8:$A$1007,"&gt;="&amp;$A900-27,$A$8:$A$1007,"&lt;="&amp;$A900)/4)</f>
        <v>0</v>
      </c>
      <c r="J900" s="67" t="n">
        <f aca="false">IF(OR($A900="",$I900=0),0,$H900/$I900)</f>
        <v>0</v>
      </c>
      <c r="K900" s="33" t="n">
        <f aca="false">IF($A900="",0,$A900-SUMPRODUCT(MIN(($C$8:$C$1007=$C900)*$A$8:$A$1007+($C$8:$C$1007&lt;&gt;$C900)*100000))+1)</f>
        <v>0</v>
      </c>
      <c r="L900" s="19" t="str">
        <f aca="false">IF($A900="","",IF($J900=0,"Sem registro anterior",IF($K900&lt;21,"Histórico insuficiente",IF($J900&lt;0.8,"Subcarga",IF($J900&lt;=1.3,"Zona ideal",IF($J900&lt;=1.5,"Atenção","Risco elevado"))))))</f>
        <v/>
      </c>
      <c r="M900" s="20"/>
    </row>
    <row r="901" customFormat="false" ht="15" hidden="false" customHeight="false" outlineLevel="0" collapsed="false">
      <c r="A901" s="21"/>
      <c r="B901" s="33" t="n">
        <f aca="false">IF($A901="",0,INT(($A901-Macrociclo!$C$11)/7)+1)</f>
        <v>0</v>
      </c>
      <c r="C901" s="20"/>
      <c r="D901" s="20"/>
      <c r="E901" s="22"/>
      <c r="F901" s="22"/>
      <c r="G901" s="48" t="n">
        <f aca="false">IF(OR($E901="",$F901=""),0,$E901*$F901)</f>
        <v>0</v>
      </c>
      <c r="H901" s="48" t="n">
        <f aca="false">IF($A901="",0,SUMIFS($G$8:$G$1007,$C$8:$C$1007,$C901,$A$8:$A$1007,"&gt;="&amp;$A901-6,$A$8:$A$1007,"&lt;="&amp;$A901))</f>
        <v>0</v>
      </c>
      <c r="I901" s="48" t="n">
        <f aca="false">IF($A901="",0,SUMIFS($G$8:$G$1007,$C$8:$C$1007,$C901,$A$8:$A$1007,"&gt;="&amp;$A901-27,$A$8:$A$1007,"&lt;="&amp;$A901)/4)</f>
        <v>0</v>
      </c>
      <c r="J901" s="67" t="n">
        <f aca="false">IF(OR($A901="",$I901=0),0,$H901/$I901)</f>
        <v>0</v>
      </c>
      <c r="K901" s="33" t="n">
        <f aca="false">IF($A901="",0,$A901-SUMPRODUCT(MIN(($C$8:$C$1007=$C901)*$A$8:$A$1007+($C$8:$C$1007&lt;&gt;$C901)*100000))+1)</f>
        <v>0</v>
      </c>
      <c r="L901" s="19" t="str">
        <f aca="false">IF($A901="","",IF($J901=0,"Sem registro anterior",IF($K901&lt;21,"Histórico insuficiente",IF($J901&lt;0.8,"Subcarga",IF($J901&lt;=1.3,"Zona ideal",IF($J901&lt;=1.5,"Atenção","Risco elevado"))))))</f>
        <v/>
      </c>
      <c r="M901" s="20"/>
    </row>
    <row r="902" customFormat="false" ht="15" hidden="false" customHeight="false" outlineLevel="0" collapsed="false">
      <c r="A902" s="21"/>
      <c r="B902" s="33" t="n">
        <f aca="false">IF($A902="",0,INT(($A902-Macrociclo!$C$11)/7)+1)</f>
        <v>0</v>
      </c>
      <c r="C902" s="20"/>
      <c r="D902" s="20"/>
      <c r="E902" s="22"/>
      <c r="F902" s="22"/>
      <c r="G902" s="48" t="n">
        <f aca="false">IF(OR($E902="",$F902=""),0,$E902*$F902)</f>
        <v>0</v>
      </c>
      <c r="H902" s="48" t="n">
        <f aca="false">IF($A902="",0,SUMIFS($G$8:$G$1007,$C$8:$C$1007,$C902,$A$8:$A$1007,"&gt;="&amp;$A902-6,$A$8:$A$1007,"&lt;="&amp;$A902))</f>
        <v>0</v>
      </c>
      <c r="I902" s="48" t="n">
        <f aca="false">IF($A902="",0,SUMIFS($G$8:$G$1007,$C$8:$C$1007,$C902,$A$8:$A$1007,"&gt;="&amp;$A902-27,$A$8:$A$1007,"&lt;="&amp;$A902)/4)</f>
        <v>0</v>
      </c>
      <c r="J902" s="67" t="n">
        <f aca="false">IF(OR($A902="",$I902=0),0,$H902/$I902)</f>
        <v>0</v>
      </c>
      <c r="K902" s="33" t="n">
        <f aca="false">IF($A902="",0,$A902-SUMPRODUCT(MIN(($C$8:$C$1007=$C902)*$A$8:$A$1007+($C$8:$C$1007&lt;&gt;$C902)*100000))+1)</f>
        <v>0</v>
      </c>
      <c r="L902" s="19" t="str">
        <f aca="false">IF($A902="","",IF($J902=0,"Sem registro anterior",IF($K902&lt;21,"Histórico insuficiente",IF($J902&lt;0.8,"Subcarga",IF($J902&lt;=1.3,"Zona ideal",IF($J902&lt;=1.5,"Atenção","Risco elevado"))))))</f>
        <v/>
      </c>
      <c r="M902" s="20"/>
    </row>
    <row r="903" customFormat="false" ht="15" hidden="false" customHeight="false" outlineLevel="0" collapsed="false">
      <c r="A903" s="21"/>
      <c r="B903" s="33" t="n">
        <f aca="false">IF($A903="",0,INT(($A903-Macrociclo!$C$11)/7)+1)</f>
        <v>0</v>
      </c>
      <c r="C903" s="20"/>
      <c r="D903" s="20"/>
      <c r="E903" s="22"/>
      <c r="F903" s="22"/>
      <c r="G903" s="48" t="n">
        <f aca="false">IF(OR($E903="",$F903=""),0,$E903*$F903)</f>
        <v>0</v>
      </c>
      <c r="H903" s="48" t="n">
        <f aca="false">IF($A903="",0,SUMIFS($G$8:$G$1007,$C$8:$C$1007,$C903,$A$8:$A$1007,"&gt;="&amp;$A903-6,$A$8:$A$1007,"&lt;="&amp;$A903))</f>
        <v>0</v>
      </c>
      <c r="I903" s="48" t="n">
        <f aca="false">IF($A903="",0,SUMIFS($G$8:$G$1007,$C$8:$C$1007,$C903,$A$8:$A$1007,"&gt;="&amp;$A903-27,$A$8:$A$1007,"&lt;="&amp;$A903)/4)</f>
        <v>0</v>
      </c>
      <c r="J903" s="67" t="n">
        <f aca="false">IF(OR($A903="",$I903=0),0,$H903/$I903)</f>
        <v>0</v>
      </c>
      <c r="K903" s="33" t="n">
        <f aca="false">IF($A903="",0,$A903-SUMPRODUCT(MIN(($C$8:$C$1007=$C903)*$A$8:$A$1007+($C$8:$C$1007&lt;&gt;$C903)*100000))+1)</f>
        <v>0</v>
      </c>
      <c r="L903" s="19" t="str">
        <f aca="false">IF($A903="","",IF($J903=0,"Sem registro anterior",IF($K903&lt;21,"Histórico insuficiente",IF($J903&lt;0.8,"Subcarga",IF($J903&lt;=1.3,"Zona ideal",IF($J903&lt;=1.5,"Atenção","Risco elevado"))))))</f>
        <v/>
      </c>
      <c r="M903" s="20"/>
    </row>
    <row r="904" customFormat="false" ht="15" hidden="false" customHeight="false" outlineLevel="0" collapsed="false">
      <c r="A904" s="21"/>
      <c r="B904" s="33" t="n">
        <f aca="false">IF($A904="",0,INT(($A904-Macrociclo!$C$11)/7)+1)</f>
        <v>0</v>
      </c>
      <c r="C904" s="20"/>
      <c r="D904" s="20"/>
      <c r="E904" s="22"/>
      <c r="F904" s="22"/>
      <c r="G904" s="48" t="n">
        <f aca="false">IF(OR($E904="",$F904=""),0,$E904*$F904)</f>
        <v>0</v>
      </c>
      <c r="H904" s="48" t="n">
        <f aca="false">IF($A904="",0,SUMIFS($G$8:$G$1007,$C$8:$C$1007,$C904,$A$8:$A$1007,"&gt;="&amp;$A904-6,$A$8:$A$1007,"&lt;="&amp;$A904))</f>
        <v>0</v>
      </c>
      <c r="I904" s="48" t="n">
        <f aca="false">IF($A904="",0,SUMIFS($G$8:$G$1007,$C$8:$C$1007,$C904,$A$8:$A$1007,"&gt;="&amp;$A904-27,$A$8:$A$1007,"&lt;="&amp;$A904)/4)</f>
        <v>0</v>
      </c>
      <c r="J904" s="67" t="n">
        <f aca="false">IF(OR($A904="",$I904=0),0,$H904/$I904)</f>
        <v>0</v>
      </c>
      <c r="K904" s="33" t="n">
        <f aca="false">IF($A904="",0,$A904-SUMPRODUCT(MIN(($C$8:$C$1007=$C904)*$A$8:$A$1007+($C$8:$C$1007&lt;&gt;$C904)*100000))+1)</f>
        <v>0</v>
      </c>
      <c r="L904" s="19" t="str">
        <f aca="false">IF($A904="","",IF($J904=0,"Sem registro anterior",IF($K904&lt;21,"Histórico insuficiente",IF($J904&lt;0.8,"Subcarga",IF($J904&lt;=1.3,"Zona ideal",IF($J904&lt;=1.5,"Atenção","Risco elevado"))))))</f>
        <v/>
      </c>
      <c r="M904" s="20"/>
    </row>
    <row r="905" customFormat="false" ht="15" hidden="false" customHeight="false" outlineLevel="0" collapsed="false">
      <c r="A905" s="21"/>
      <c r="B905" s="33" t="n">
        <f aca="false">IF($A905="",0,INT(($A905-Macrociclo!$C$11)/7)+1)</f>
        <v>0</v>
      </c>
      <c r="C905" s="20"/>
      <c r="D905" s="20"/>
      <c r="E905" s="22"/>
      <c r="F905" s="22"/>
      <c r="G905" s="48" t="n">
        <f aca="false">IF(OR($E905="",$F905=""),0,$E905*$F905)</f>
        <v>0</v>
      </c>
      <c r="H905" s="48" t="n">
        <f aca="false">IF($A905="",0,SUMIFS($G$8:$G$1007,$C$8:$C$1007,$C905,$A$8:$A$1007,"&gt;="&amp;$A905-6,$A$8:$A$1007,"&lt;="&amp;$A905))</f>
        <v>0</v>
      </c>
      <c r="I905" s="48" t="n">
        <f aca="false">IF($A905="",0,SUMIFS($G$8:$G$1007,$C$8:$C$1007,$C905,$A$8:$A$1007,"&gt;="&amp;$A905-27,$A$8:$A$1007,"&lt;="&amp;$A905)/4)</f>
        <v>0</v>
      </c>
      <c r="J905" s="67" t="n">
        <f aca="false">IF(OR($A905="",$I905=0),0,$H905/$I905)</f>
        <v>0</v>
      </c>
      <c r="K905" s="33" t="n">
        <f aca="false">IF($A905="",0,$A905-SUMPRODUCT(MIN(($C$8:$C$1007=$C905)*$A$8:$A$1007+($C$8:$C$1007&lt;&gt;$C905)*100000))+1)</f>
        <v>0</v>
      </c>
      <c r="L905" s="19" t="str">
        <f aca="false">IF($A905="","",IF($J905=0,"Sem registro anterior",IF($K905&lt;21,"Histórico insuficiente",IF($J905&lt;0.8,"Subcarga",IF($J905&lt;=1.3,"Zona ideal",IF($J905&lt;=1.5,"Atenção","Risco elevado"))))))</f>
        <v/>
      </c>
      <c r="M905" s="20"/>
    </row>
    <row r="906" customFormat="false" ht="15" hidden="false" customHeight="false" outlineLevel="0" collapsed="false">
      <c r="A906" s="21"/>
      <c r="B906" s="33" t="n">
        <f aca="false">IF($A906="",0,INT(($A906-Macrociclo!$C$11)/7)+1)</f>
        <v>0</v>
      </c>
      <c r="C906" s="20"/>
      <c r="D906" s="20"/>
      <c r="E906" s="22"/>
      <c r="F906" s="22"/>
      <c r="G906" s="48" t="n">
        <f aca="false">IF(OR($E906="",$F906=""),0,$E906*$F906)</f>
        <v>0</v>
      </c>
      <c r="H906" s="48" t="n">
        <f aca="false">IF($A906="",0,SUMIFS($G$8:$G$1007,$C$8:$C$1007,$C906,$A$8:$A$1007,"&gt;="&amp;$A906-6,$A$8:$A$1007,"&lt;="&amp;$A906))</f>
        <v>0</v>
      </c>
      <c r="I906" s="48" t="n">
        <f aca="false">IF($A906="",0,SUMIFS($G$8:$G$1007,$C$8:$C$1007,$C906,$A$8:$A$1007,"&gt;="&amp;$A906-27,$A$8:$A$1007,"&lt;="&amp;$A906)/4)</f>
        <v>0</v>
      </c>
      <c r="J906" s="67" t="n">
        <f aca="false">IF(OR($A906="",$I906=0),0,$H906/$I906)</f>
        <v>0</v>
      </c>
      <c r="K906" s="33" t="n">
        <f aca="false">IF($A906="",0,$A906-SUMPRODUCT(MIN(($C$8:$C$1007=$C906)*$A$8:$A$1007+($C$8:$C$1007&lt;&gt;$C906)*100000))+1)</f>
        <v>0</v>
      </c>
      <c r="L906" s="19" t="str">
        <f aca="false">IF($A906="","",IF($J906=0,"Sem registro anterior",IF($K906&lt;21,"Histórico insuficiente",IF($J906&lt;0.8,"Subcarga",IF($J906&lt;=1.3,"Zona ideal",IF($J906&lt;=1.5,"Atenção","Risco elevado"))))))</f>
        <v/>
      </c>
      <c r="M906" s="20"/>
    </row>
    <row r="907" customFormat="false" ht="15" hidden="false" customHeight="false" outlineLevel="0" collapsed="false">
      <c r="A907" s="21"/>
      <c r="B907" s="33" t="n">
        <f aca="false">IF($A907="",0,INT(($A907-Macrociclo!$C$11)/7)+1)</f>
        <v>0</v>
      </c>
      <c r="C907" s="20"/>
      <c r="D907" s="20"/>
      <c r="E907" s="22"/>
      <c r="F907" s="22"/>
      <c r="G907" s="48" t="n">
        <f aca="false">IF(OR($E907="",$F907=""),0,$E907*$F907)</f>
        <v>0</v>
      </c>
      <c r="H907" s="48" t="n">
        <f aca="false">IF($A907="",0,SUMIFS($G$8:$G$1007,$C$8:$C$1007,$C907,$A$8:$A$1007,"&gt;="&amp;$A907-6,$A$8:$A$1007,"&lt;="&amp;$A907))</f>
        <v>0</v>
      </c>
      <c r="I907" s="48" t="n">
        <f aca="false">IF($A907="",0,SUMIFS($G$8:$G$1007,$C$8:$C$1007,$C907,$A$8:$A$1007,"&gt;="&amp;$A907-27,$A$8:$A$1007,"&lt;="&amp;$A907)/4)</f>
        <v>0</v>
      </c>
      <c r="J907" s="67" t="n">
        <f aca="false">IF(OR($A907="",$I907=0),0,$H907/$I907)</f>
        <v>0</v>
      </c>
      <c r="K907" s="33" t="n">
        <f aca="false">IF($A907="",0,$A907-SUMPRODUCT(MIN(($C$8:$C$1007=$C907)*$A$8:$A$1007+($C$8:$C$1007&lt;&gt;$C907)*100000))+1)</f>
        <v>0</v>
      </c>
      <c r="L907" s="19" t="str">
        <f aca="false">IF($A907="","",IF($J907=0,"Sem registro anterior",IF($K907&lt;21,"Histórico insuficiente",IF($J907&lt;0.8,"Subcarga",IF($J907&lt;=1.3,"Zona ideal",IF($J907&lt;=1.5,"Atenção","Risco elevado"))))))</f>
        <v/>
      </c>
      <c r="M907" s="20"/>
    </row>
    <row r="908" customFormat="false" ht="15" hidden="false" customHeight="false" outlineLevel="0" collapsed="false">
      <c r="A908" s="21"/>
      <c r="B908" s="33" t="n">
        <f aca="false">IF($A908="",0,INT(($A908-Macrociclo!$C$11)/7)+1)</f>
        <v>0</v>
      </c>
      <c r="C908" s="20"/>
      <c r="D908" s="20"/>
      <c r="E908" s="22"/>
      <c r="F908" s="22"/>
      <c r="G908" s="48" t="n">
        <f aca="false">IF(OR($E908="",$F908=""),0,$E908*$F908)</f>
        <v>0</v>
      </c>
      <c r="H908" s="48" t="n">
        <f aca="false">IF($A908="",0,SUMIFS($G$8:$G$1007,$C$8:$C$1007,$C908,$A$8:$A$1007,"&gt;="&amp;$A908-6,$A$8:$A$1007,"&lt;="&amp;$A908))</f>
        <v>0</v>
      </c>
      <c r="I908" s="48" t="n">
        <f aca="false">IF($A908="",0,SUMIFS($G$8:$G$1007,$C$8:$C$1007,$C908,$A$8:$A$1007,"&gt;="&amp;$A908-27,$A$8:$A$1007,"&lt;="&amp;$A908)/4)</f>
        <v>0</v>
      </c>
      <c r="J908" s="67" t="n">
        <f aca="false">IF(OR($A908="",$I908=0),0,$H908/$I908)</f>
        <v>0</v>
      </c>
      <c r="K908" s="33" t="n">
        <f aca="false">IF($A908="",0,$A908-SUMPRODUCT(MIN(($C$8:$C$1007=$C908)*$A$8:$A$1007+($C$8:$C$1007&lt;&gt;$C908)*100000))+1)</f>
        <v>0</v>
      </c>
      <c r="L908" s="19" t="str">
        <f aca="false">IF($A908="","",IF($J908=0,"Sem registro anterior",IF($K908&lt;21,"Histórico insuficiente",IF($J908&lt;0.8,"Subcarga",IF($J908&lt;=1.3,"Zona ideal",IF($J908&lt;=1.5,"Atenção","Risco elevado"))))))</f>
        <v/>
      </c>
      <c r="M908" s="20"/>
    </row>
    <row r="909" customFormat="false" ht="15" hidden="false" customHeight="false" outlineLevel="0" collapsed="false">
      <c r="A909" s="21"/>
      <c r="B909" s="33" t="n">
        <f aca="false">IF($A909="",0,INT(($A909-Macrociclo!$C$11)/7)+1)</f>
        <v>0</v>
      </c>
      <c r="C909" s="20"/>
      <c r="D909" s="20"/>
      <c r="E909" s="22"/>
      <c r="F909" s="22"/>
      <c r="G909" s="48" t="n">
        <f aca="false">IF(OR($E909="",$F909=""),0,$E909*$F909)</f>
        <v>0</v>
      </c>
      <c r="H909" s="48" t="n">
        <f aca="false">IF($A909="",0,SUMIFS($G$8:$G$1007,$C$8:$C$1007,$C909,$A$8:$A$1007,"&gt;="&amp;$A909-6,$A$8:$A$1007,"&lt;="&amp;$A909))</f>
        <v>0</v>
      </c>
      <c r="I909" s="48" t="n">
        <f aca="false">IF($A909="",0,SUMIFS($G$8:$G$1007,$C$8:$C$1007,$C909,$A$8:$A$1007,"&gt;="&amp;$A909-27,$A$8:$A$1007,"&lt;="&amp;$A909)/4)</f>
        <v>0</v>
      </c>
      <c r="J909" s="67" t="n">
        <f aca="false">IF(OR($A909="",$I909=0),0,$H909/$I909)</f>
        <v>0</v>
      </c>
      <c r="K909" s="33" t="n">
        <f aca="false">IF($A909="",0,$A909-SUMPRODUCT(MIN(($C$8:$C$1007=$C909)*$A$8:$A$1007+($C$8:$C$1007&lt;&gt;$C909)*100000))+1)</f>
        <v>0</v>
      </c>
      <c r="L909" s="19" t="str">
        <f aca="false">IF($A909="","",IF($J909=0,"Sem registro anterior",IF($K909&lt;21,"Histórico insuficiente",IF($J909&lt;0.8,"Subcarga",IF($J909&lt;=1.3,"Zona ideal",IF($J909&lt;=1.5,"Atenção","Risco elevado"))))))</f>
        <v/>
      </c>
      <c r="M909" s="20"/>
    </row>
    <row r="910" customFormat="false" ht="15" hidden="false" customHeight="false" outlineLevel="0" collapsed="false">
      <c r="A910" s="21"/>
      <c r="B910" s="33" t="n">
        <f aca="false">IF($A910="",0,INT(($A910-Macrociclo!$C$11)/7)+1)</f>
        <v>0</v>
      </c>
      <c r="C910" s="20"/>
      <c r="D910" s="20"/>
      <c r="E910" s="22"/>
      <c r="F910" s="22"/>
      <c r="G910" s="48" t="n">
        <f aca="false">IF(OR($E910="",$F910=""),0,$E910*$F910)</f>
        <v>0</v>
      </c>
      <c r="H910" s="48" t="n">
        <f aca="false">IF($A910="",0,SUMIFS($G$8:$G$1007,$C$8:$C$1007,$C910,$A$8:$A$1007,"&gt;="&amp;$A910-6,$A$8:$A$1007,"&lt;="&amp;$A910))</f>
        <v>0</v>
      </c>
      <c r="I910" s="48" t="n">
        <f aca="false">IF($A910="",0,SUMIFS($G$8:$G$1007,$C$8:$C$1007,$C910,$A$8:$A$1007,"&gt;="&amp;$A910-27,$A$8:$A$1007,"&lt;="&amp;$A910)/4)</f>
        <v>0</v>
      </c>
      <c r="J910" s="67" t="n">
        <f aca="false">IF(OR($A910="",$I910=0),0,$H910/$I910)</f>
        <v>0</v>
      </c>
      <c r="K910" s="33" t="n">
        <f aca="false">IF($A910="",0,$A910-SUMPRODUCT(MIN(($C$8:$C$1007=$C910)*$A$8:$A$1007+($C$8:$C$1007&lt;&gt;$C910)*100000))+1)</f>
        <v>0</v>
      </c>
      <c r="L910" s="19" t="str">
        <f aca="false">IF($A910="","",IF($J910=0,"Sem registro anterior",IF($K910&lt;21,"Histórico insuficiente",IF($J910&lt;0.8,"Subcarga",IF($J910&lt;=1.3,"Zona ideal",IF($J910&lt;=1.5,"Atenção","Risco elevado"))))))</f>
        <v/>
      </c>
      <c r="M910" s="20"/>
    </row>
    <row r="911" customFormat="false" ht="15" hidden="false" customHeight="false" outlineLevel="0" collapsed="false">
      <c r="A911" s="21"/>
      <c r="B911" s="33" t="n">
        <f aca="false">IF($A911="",0,INT(($A911-Macrociclo!$C$11)/7)+1)</f>
        <v>0</v>
      </c>
      <c r="C911" s="20"/>
      <c r="D911" s="20"/>
      <c r="E911" s="22"/>
      <c r="F911" s="22"/>
      <c r="G911" s="48" t="n">
        <f aca="false">IF(OR($E911="",$F911=""),0,$E911*$F911)</f>
        <v>0</v>
      </c>
      <c r="H911" s="48" t="n">
        <f aca="false">IF($A911="",0,SUMIFS($G$8:$G$1007,$C$8:$C$1007,$C911,$A$8:$A$1007,"&gt;="&amp;$A911-6,$A$8:$A$1007,"&lt;="&amp;$A911))</f>
        <v>0</v>
      </c>
      <c r="I911" s="48" t="n">
        <f aca="false">IF($A911="",0,SUMIFS($G$8:$G$1007,$C$8:$C$1007,$C911,$A$8:$A$1007,"&gt;="&amp;$A911-27,$A$8:$A$1007,"&lt;="&amp;$A911)/4)</f>
        <v>0</v>
      </c>
      <c r="J911" s="67" t="n">
        <f aca="false">IF(OR($A911="",$I911=0),0,$H911/$I911)</f>
        <v>0</v>
      </c>
      <c r="K911" s="33" t="n">
        <f aca="false">IF($A911="",0,$A911-SUMPRODUCT(MIN(($C$8:$C$1007=$C911)*$A$8:$A$1007+($C$8:$C$1007&lt;&gt;$C911)*100000))+1)</f>
        <v>0</v>
      </c>
      <c r="L911" s="19" t="str">
        <f aca="false">IF($A911="","",IF($J911=0,"Sem registro anterior",IF($K911&lt;21,"Histórico insuficiente",IF($J911&lt;0.8,"Subcarga",IF($J911&lt;=1.3,"Zona ideal",IF($J911&lt;=1.5,"Atenção","Risco elevado"))))))</f>
        <v/>
      </c>
      <c r="M911" s="20"/>
    </row>
    <row r="912" customFormat="false" ht="15" hidden="false" customHeight="false" outlineLevel="0" collapsed="false">
      <c r="A912" s="21"/>
      <c r="B912" s="33" t="n">
        <f aca="false">IF($A912="",0,INT(($A912-Macrociclo!$C$11)/7)+1)</f>
        <v>0</v>
      </c>
      <c r="C912" s="20"/>
      <c r="D912" s="20"/>
      <c r="E912" s="22"/>
      <c r="F912" s="22"/>
      <c r="G912" s="48" t="n">
        <f aca="false">IF(OR($E912="",$F912=""),0,$E912*$F912)</f>
        <v>0</v>
      </c>
      <c r="H912" s="48" t="n">
        <f aca="false">IF($A912="",0,SUMIFS($G$8:$G$1007,$C$8:$C$1007,$C912,$A$8:$A$1007,"&gt;="&amp;$A912-6,$A$8:$A$1007,"&lt;="&amp;$A912))</f>
        <v>0</v>
      </c>
      <c r="I912" s="48" t="n">
        <f aca="false">IF($A912="",0,SUMIFS($G$8:$G$1007,$C$8:$C$1007,$C912,$A$8:$A$1007,"&gt;="&amp;$A912-27,$A$8:$A$1007,"&lt;="&amp;$A912)/4)</f>
        <v>0</v>
      </c>
      <c r="J912" s="67" t="n">
        <f aca="false">IF(OR($A912="",$I912=0),0,$H912/$I912)</f>
        <v>0</v>
      </c>
      <c r="K912" s="33" t="n">
        <f aca="false">IF($A912="",0,$A912-SUMPRODUCT(MIN(($C$8:$C$1007=$C912)*$A$8:$A$1007+($C$8:$C$1007&lt;&gt;$C912)*100000))+1)</f>
        <v>0</v>
      </c>
      <c r="L912" s="19" t="str">
        <f aca="false">IF($A912="","",IF($J912=0,"Sem registro anterior",IF($K912&lt;21,"Histórico insuficiente",IF($J912&lt;0.8,"Subcarga",IF($J912&lt;=1.3,"Zona ideal",IF($J912&lt;=1.5,"Atenção","Risco elevado"))))))</f>
        <v/>
      </c>
      <c r="M912" s="20"/>
    </row>
    <row r="913" customFormat="false" ht="15" hidden="false" customHeight="false" outlineLevel="0" collapsed="false">
      <c r="A913" s="21"/>
      <c r="B913" s="33" t="n">
        <f aca="false">IF($A913="",0,INT(($A913-Macrociclo!$C$11)/7)+1)</f>
        <v>0</v>
      </c>
      <c r="C913" s="20"/>
      <c r="D913" s="20"/>
      <c r="E913" s="22"/>
      <c r="F913" s="22"/>
      <c r="G913" s="48" t="n">
        <f aca="false">IF(OR($E913="",$F913=""),0,$E913*$F913)</f>
        <v>0</v>
      </c>
      <c r="H913" s="48" t="n">
        <f aca="false">IF($A913="",0,SUMIFS($G$8:$G$1007,$C$8:$C$1007,$C913,$A$8:$A$1007,"&gt;="&amp;$A913-6,$A$8:$A$1007,"&lt;="&amp;$A913))</f>
        <v>0</v>
      </c>
      <c r="I913" s="48" t="n">
        <f aca="false">IF($A913="",0,SUMIFS($G$8:$G$1007,$C$8:$C$1007,$C913,$A$8:$A$1007,"&gt;="&amp;$A913-27,$A$8:$A$1007,"&lt;="&amp;$A913)/4)</f>
        <v>0</v>
      </c>
      <c r="J913" s="67" t="n">
        <f aca="false">IF(OR($A913="",$I913=0),0,$H913/$I913)</f>
        <v>0</v>
      </c>
      <c r="K913" s="33" t="n">
        <f aca="false">IF($A913="",0,$A913-SUMPRODUCT(MIN(($C$8:$C$1007=$C913)*$A$8:$A$1007+($C$8:$C$1007&lt;&gt;$C913)*100000))+1)</f>
        <v>0</v>
      </c>
      <c r="L913" s="19" t="str">
        <f aca="false">IF($A913="","",IF($J913=0,"Sem registro anterior",IF($K913&lt;21,"Histórico insuficiente",IF($J913&lt;0.8,"Subcarga",IF($J913&lt;=1.3,"Zona ideal",IF($J913&lt;=1.5,"Atenção","Risco elevado"))))))</f>
        <v/>
      </c>
      <c r="M913" s="20"/>
    </row>
    <row r="914" customFormat="false" ht="15" hidden="false" customHeight="false" outlineLevel="0" collapsed="false">
      <c r="A914" s="21"/>
      <c r="B914" s="33" t="n">
        <f aca="false">IF($A914="",0,INT(($A914-Macrociclo!$C$11)/7)+1)</f>
        <v>0</v>
      </c>
      <c r="C914" s="20"/>
      <c r="D914" s="20"/>
      <c r="E914" s="22"/>
      <c r="F914" s="22"/>
      <c r="G914" s="48" t="n">
        <f aca="false">IF(OR($E914="",$F914=""),0,$E914*$F914)</f>
        <v>0</v>
      </c>
      <c r="H914" s="48" t="n">
        <f aca="false">IF($A914="",0,SUMIFS($G$8:$G$1007,$C$8:$C$1007,$C914,$A$8:$A$1007,"&gt;="&amp;$A914-6,$A$8:$A$1007,"&lt;="&amp;$A914))</f>
        <v>0</v>
      </c>
      <c r="I914" s="48" t="n">
        <f aca="false">IF($A914="",0,SUMIFS($G$8:$G$1007,$C$8:$C$1007,$C914,$A$8:$A$1007,"&gt;="&amp;$A914-27,$A$8:$A$1007,"&lt;="&amp;$A914)/4)</f>
        <v>0</v>
      </c>
      <c r="J914" s="67" t="n">
        <f aca="false">IF(OR($A914="",$I914=0),0,$H914/$I914)</f>
        <v>0</v>
      </c>
      <c r="K914" s="33" t="n">
        <f aca="false">IF($A914="",0,$A914-SUMPRODUCT(MIN(($C$8:$C$1007=$C914)*$A$8:$A$1007+($C$8:$C$1007&lt;&gt;$C914)*100000))+1)</f>
        <v>0</v>
      </c>
      <c r="L914" s="19" t="str">
        <f aca="false">IF($A914="","",IF($J914=0,"Sem registro anterior",IF($K914&lt;21,"Histórico insuficiente",IF($J914&lt;0.8,"Subcarga",IF($J914&lt;=1.3,"Zona ideal",IF($J914&lt;=1.5,"Atenção","Risco elevado"))))))</f>
        <v/>
      </c>
      <c r="M914" s="20"/>
    </row>
    <row r="915" customFormat="false" ht="15" hidden="false" customHeight="false" outlineLevel="0" collapsed="false">
      <c r="A915" s="21"/>
      <c r="B915" s="33" t="n">
        <f aca="false">IF($A915="",0,INT(($A915-Macrociclo!$C$11)/7)+1)</f>
        <v>0</v>
      </c>
      <c r="C915" s="20"/>
      <c r="D915" s="20"/>
      <c r="E915" s="22"/>
      <c r="F915" s="22"/>
      <c r="G915" s="48" t="n">
        <f aca="false">IF(OR($E915="",$F915=""),0,$E915*$F915)</f>
        <v>0</v>
      </c>
      <c r="H915" s="48" t="n">
        <f aca="false">IF($A915="",0,SUMIFS($G$8:$G$1007,$C$8:$C$1007,$C915,$A$8:$A$1007,"&gt;="&amp;$A915-6,$A$8:$A$1007,"&lt;="&amp;$A915))</f>
        <v>0</v>
      </c>
      <c r="I915" s="48" t="n">
        <f aca="false">IF($A915="",0,SUMIFS($G$8:$G$1007,$C$8:$C$1007,$C915,$A$8:$A$1007,"&gt;="&amp;$A915-27,$A$8:$A$1007,"&lt;="&amp;$A915)/4)</f>
        <v>0</v>
      </c>
      <c r="J915" s="67" t="n">
        <f aca="false">IF(OR($A915="",$I915=0),0,$H915/$I915)</f>
        <v>0</v>
      </c>
      <c r="K915" s="33" t="n">
        <f aca="false">IF($A915="",0,$A915-SUMPRODUCT(MIN(($C$8:$C$1007=$C915)*$A$8:$A$1007+($C$8:$C$1007&lt;&gt;$C915)*100000))+1)</f>
        <v>0</v>
      </c>
      <c r="L915" s="19" t="str">
        <f aca="false">IF($A915="","",IF($J915=0,"Sem registro anterior",IF($K915&lt;21,"Histórico insuficiente",IF($J915&lt;0.8,"Subcarga",IF($J915&lt;=1.3,"Zona ideal",IF($J915&lt;=1.5,"Atenção","Risco elevado"))))))</f>
        <v/>
      </c>
      <c r="M915" s="20"/>
    </row>
    <row r="916" customFormat="false" ht="15" hidden="false" customHeight="false" outlineLevel="0" collapsed="false">
      <c r="A916" s="21"/>
      <c r="B916" s="33" t="n">
        <f aca="false">IF($A916="",0,INT(($A916-Macrociclo!$C$11)/7)+1)</f>
        <v>0</v>
      </c>
      <c r="C916" s="20"/>
      <c r="D916" s="20"/>
      <c r="E916" s="22"/>
      <c r="F916" s="22"/>
      <c r="G916" s="48" t="n">
        <f aca="false">IF(OR($E916="",$F916=""),0,$E916*$F916)</f>
        <v>0</v>
      </c>
      <c r="H916" s="48" t="n">
        <f aca="false">IF($A916="",0,SUMIFS($G$8:$G$1007,$C$8:$C$1007,$C916,$A$8:$A$1007,"&gt;="&amp;$A916-6,$A$8:$A$1007,"&lt;="&amp;$A916))</f>
        <v>0</v>
      </c>
      <c r="I916" s="48" t="n">
        <f aca="false">IF($A916="",0,SUMIFS($G$8:$G$1007,$C$8:$C$1007,$C916,$A$8:$A$1007,"&gt;="&amp;$A916-27,$A$8:$A$1007,"&lt;="&amp;$A916)/4)</f>
        <v>0</v>
      </c>
      <c r="J916" s="67" t="n">
        <f aca="false">IF(OR($A916="",$I916=0),0,$H916/$I916)</f>
        <v>0</v>
      </c>
      <c r="K916" s="33" t="n">
        <f aca="false">IF($A916="",0,$A916-SUMPRODUCT(MIN(($C$8:$C$1007=$C916)*$A$8:$A$1007+($C$8:$C$1007&lt;&gt;$C916)*100000))+1)</f>
        <v>0</v>
      </c>
      <c r="L916" s="19" t="str">
        <f aca="false">IF($A916="","",IF($J916=0,"Sem registro anterior",IF($K916&lt;21,"Histórico insuficiente",IF($J916&lt;0.8,"Subcarga",IF($J916&lt;=1.3,"Zona ideal",IF($J916&lt;=1.5,"Atenção","Risco elevado"))))))</f>
        <v/>
      </c>
      <c r="M916" s="20"/>
    </row>
    <row r="917" customFormat="false" ht="15" hidden="false" customHeight="false" outlineLevel="0" collapsed="false">
      <c r="A917" s="21"/>
      <c r="B917" s="33" t="n">
        <f aca="false">IF($A917="",0,INT(($A917-Macrociclo!$C$11)/7)+1)</f>
        <v>0</v>
      </c>
      <c r="C917" s="20"/>
      <c r="D917" s="20"/>
      <c r="E917" s="22"/>
      <c r="F917" s="22"/>
      <c r="G917" s="48" t="n">
        <f aca="false">IF(OR($E917="",$F917=""),0,$E917*$F917)</f>
        <v>0</v>
      </c>
      <c r="H917" s="48" t="n">
        <f aca="false">IF($A917="",0,SUMIFS($G$8:$G$1007,$C$8:$C$1007,$C917,$A$8:$A$1007,"&gt;="&amp;$A917-6,$A$8:$A$1007,"&lt;="&amp;$A917))</f>
        <v>0</v>
      </c>
      <c r="I917" s="48" t="n">
        <f aca="false">IF($A917="",0,SUMIFS($G$8:$G$1007,$C$8:$C$1007,$C917,$A$8:$A$1007,"&gt;="&amp;$A917-27,$A$8:$A$1007,"&lt;="&amp;$A917)/4)</f>
        <v>0</v>
      </c>
      <c r="J917" s="67" t="n">
        <f aca="false">IF(OR($A917="",$I917=0),0,$H917/$I917)</f>
        <v>0</v>
      </c>
      <c r="K917" s="33" t="n">
        <f aca="false">IF($A917="",0,$A917-SUMPRODUCT(MIN(($C$8:$C$1007=$C917)*$A$8:$A$1007+($C$8:$C$1007&lt;&gt;$C917)*100000))+1)</f>
        <v>0</v>
      </c>
      <c r="L917" s="19" t="str">
        <f aca="false">IF($A917="","",IF($J917=0,"Sem registro anterior",IF($K917&lt;21,"Histórico insuficiente",IF($J917&lt;0.8,"Subcarga",IF($J917&lt;=1.3,"Zona ideal",IF($J917&lt;=1.5,"Atenção","Risco elevado"))))))</f>
        <v/>
      </c>
      <c r="M917" s="20"/>
    </row>
    <row r="918" customFormat="false" ht="15" hidden="false" customHeight="false" outlineLevel="0" collapsed="false">
      <c r="A918" s="21"/>
      <c r="B918" s="33" t="n">
        <f aca="false">IF($A918="",0,INT(($A918-Macrociclo!$C$11)/7)+1)</f>
        <v>0</v>
      </c>
      <c r="C918" s="20"/>
      <c r="D918" s="20"/>
      <c r="E918" s="22"/>
      <c r="F918" s="22"/>
      <c r="G918" s="48" t="n">
        <f aca="false">IF(OR($E918="",$F918=""),0,$E918*$F918)</f>
        <v>0</v>
      </c>
      <c r="H918" s="48" t="n">
        <f aca="false">IF($A918="",0,SUMIFS($G$8:$G$1007,$C$8:$C$1007,$C918,$A$8:$A$1007,"&gt;="&amp;$A918-6,$A$8:$A$1007,"&lt;="&amp;$A918))</f>
        <v>0</v>
      </c>
      <c r="I918" s="48" t="n">
        <f aca="false">IF($A918="",0,SUMIFS($G$8:$G$1007,$C$8:$C$1007,$C918,$A$8:$A$1007,"&gt;="&amp;$A918-27,$A$8:$A$1007,"&lt;="&amp;$A918)/4)</f>
        <v>0</v>
      </c>
      <c r="J918" s="67" t="n">
        <f aca="false">IF(OR($A918="",$I918=0),0,$H918/$I918)</f>
        <v>0</v>
      </c>
      <c r="K918" s="33" t="n">
        <f aca="false">IF($A918="",0,$A918-SUMPRODUCT(MIN(($C$8:$C$1007=$C918)*$A$8:$A$1007+($C$8:$C$1007&lt;&gt;$C918)*100000))+1)</f>
        <v>0</v>
      </c>
      <c r="L918" s="19" t="str">
        <f aca="false">IF($A918="","",IF($J918=0,"Sem registro anterior",IF($K918&lt;21,"Histórico insuficiente",IF($J918&lt;0.8,"Subcarga",IF($J918&lt;=1.3,"Zona ideal",IF($J918&lt;=1.5,"Atenção","Risco elevado"))))))</f>
        <v/>
      </c>
      <c r="M918" s="20"/>
    </row>
    <row r="919" customFormat="false" ht="15" hidden="false" customHeight="false" outlineLevel="0" collapsed="false">
      <c r="A919" s="21"/>
      <c r="B919" s="33" t="n">
        <f aca="false">IF($A919="",0,INT(($A919-Macrociclo!$C$11)/7)+1)</f>
        <v>0</v>
      </c>
      <c r="C919" s="20"/>
      <c r="D919" s="20"/>
      <c r="E919" s="22"/>
      <c r="F919" s="22"/>
      <c r="G919" s="48" t="n">
        <f aca="false">IF(OR($E919="",$F919=""),0,$E919*$F919)</f>
        <v>0</v>
      </c>
      <c r="H919" s="48" t="n">
        <f aca="false">IF($A919="",0,SUMIFS($G$8:$G$1007,$C$8:$C$1007,$C919,$A$8:$A$1007,"&gt;="&amp;$A919-6,$A$8:$A$1007,"&lt;="&amp;$A919))</f>
        <v>0</v>
      </c>
      <c r="I919" s="48" t="n">
        <f aca="false">IF($A919="",0,SUMIFS($G$8:$G$1007,$C$8:$C$1007,$C919,$A$8:$A$1007,"&gt;="&amp;$A919-27,$A$8:$A$1007,"&lt;="&amp;$A919)/4)</f>
        <v>0</v>
      </c>
      <c r="J919" s="67" t="n">
        <f aca="false">IF(OR($A919="",$I919=0),0,$H919/$I919)</f>
        <v>0</v>
      </c>
      <c r="K919" s="33" t="n">
        <f aca="false">IF($A919="",0,$A919-SUMPRODUCT(MIN(($C$8:$C$1007=$C919)*$A$8:$A$1007+($C$8:$C$1007&lt;&gt;$C919)*100000))+1)</f>
        <v>0</v>
      </c>
      <c r="L919" s="19" t="str">
        <f aca="false">IF($A919="","",IF($J919=0,"Sem registro anterior",IF($K919&lt;21,"Histórico insuficiente",IF($J919&lt;0.8,"Subcarga",IF($J919&lt;=1.3,"Zona ideal",IF($J919&lt;=1.5,"Atenção","Risco elevado"))))))</f>
        <v/>
      </c>
      <c r="M919" s="20"/>
    </row>
    <row r="920" customFormat="false" ht="15" hidden="false" customHeight="false" outlineLevel="0" collapsed="false">
      <c r="A920" s="21"/>
      <c r="B920" s="33" t="n">
        <f aca="false">IF($A920="",0,INT(($A920-Macrociclo!$C$11)/7)+1)</f>
        <v>0</v>
      </c>
      <c r="C920" s="20"/>
      <c r="D920" s="20"/>
      <c r="E920" s="22"/>
      <c r="F920" s="22"/>
      <c r="G920" s="48" t="n">
        <f aca="false">IF(OR($E920="",$F920=""),0,$E920*$F920)</f>
        <v>0</v>
      </c>
      <c r="H920" s="48" t="n">
        <f aca="false">IF($A920="",0,SUMIFS($G$8:$G$1007,$C$8:$C$1007,$C920,$A$8:$A$1007,"&gt;="&amp;$A920-6,$A$8:$A$1007,"&lt;="&amp;$A920))</f>
        <v>0</v>
      </c>
      <c r="I920" s="48" t="n">
        <f aca="false">IF($A920="",0,SUMIFS($G$8:$G$1007,$C$8:$C$1007,$C920,$A$8:$A$1007,"&gt;="&amp;$A920-27,$A$8:$A$1007,"&lt;="&amp;$A920)/4)</f>
        <v>0</v>
      </c>
      <c r="J920" s="67" t="n">
        <f aca="false">IF(OR($A920="",$I920=0),0,$H920/$I920)</f>
        <v>0</v>
      </c>
      <c r="K920" s="33" t="n">
        <f aca="false">IF($A920="",0,$A920-SUMPRODUCT(MIN(($C$8:$C$1007=$C920)*$A$8:$A$1007+($C$8:$C$1007&lt;&gt;$C920)*100000))+1)</f>
        <v>0</v>
      </c>
      <c r="L920" s="19" t="str">
        <f aca="false">IF($A920="","",IF($J920=0,"Sem registro anterior",IF($K920&lt;21,"Histórico insuficiente",IF($J920&lt;0.8,"Subcarga",IF($J920&lt;=1.3,"Zona ideal",IF($J920&lt;=1.5,"Atenção","Risco elevado"))))))</f>
        <v/>
      </c>
      <c r="M920" s="20"/>
    </row>
    <row r="921" customFormat="false" ht="15" hidden="false" customHeight="false" outlineLevel="0" collapsed="false">
      <c r="A921" s="21"/>
      <c r="B921" s="33" t="n">
        <f aca="false">IF($A921="",0,INT(($A921-Macrociclo!$C$11)/7)+1)</f>
        <v>0</v>
      </c>
      <c r="C921" s="20"/>
      <c r="D921" s="20"/>
      <c r="E921" s="22"/>
      <c r="F921" s="22"/>
      <c r="G921" s="48" t="n">
        <f aca="false">IF(OR($E921="",$F921=""),0,$E921*$F921)</f>
        <v>0</v>
      </c>
      <c r="H921" s="48" t="n">
        <f aca="false">IF($A921="",0,SUMIFS($G$8:$G$1007,$C$8:$C$1007,$C921,$A$8:$A$1007,"&gt;="&amp;$A921-6,$A$8:$A$1007,"&lt;="&amp;$A921))</f>
        <v>0</v>
      </c>
      <c r="I921" s="48" t="n">
        <f aca="false">IF($A921="",0,SUMIFS($G$8:$G$1007,$C$8:$C$1007,$C921,$A$8:$A$1007,"&gt;="&amp;$A921-27,$A$8:$A$1007,"&lt;="&amp;$A921)/4)</f>
        <v>0</v>
      </c>
      <c r="J921" s="67" t="n">
        <f aca="false">IF(OR($A921="",$I921=0),0,$H921/$I921)</f>
        <v>0</v>
      </c>
      <c r="K921" s="33" t="n">
        <f aca="false">IF($A921="",0,$A921-SUMPRODUCT(MIN(($C$8:$C$1007=$C921)*$A$8:$A$1007+($C$8:$C$1007&lt;&gt;$C921)*100000))+1)</f>
        <v>0</v>
      </c>
      <c r="L921" s="19" t="str">
        <f aca="false">IF($A921="","",IF($J921=0,"Sem registro anterior",IF($K921&lt;21,"Histórico insuficiente",IF($J921&lt;0.8,"Subcarga",IF($J921&lt;=1.3,"Zona ideal",IF($J921&lt;=1.5,"Atenção","Risco elevado"))))))</f>
        <v/>
      </c>
      <c r="M921" s="20"/>
    </row>
    <row r="922" customFormat="false" ht="15" hidden="false" customHeight="false" outlineLevel="0" collapsed="false">
      <c r="A922" s="21"/>
      <c r="B922" s="33" t="n">
        <f aca="false">IF($A922="",0,INT(($A922-Macrociclo!$C$11)/7)+1)</f>
        <v>0</v>
      </c>
      <c r="C922" s="20"/>
      <c r="D922" s="20"/>
      <c r="E922" s="22"/>
      <c r="F922" s="22"/>
      <c r="G922" s="48" t="n">
        <f aca="false">IF(OR($E922="",$F922=""),0,$E922*$F922)</f>
        <v>0</v>
      </c>
      <c r="H922" s="48" t="n">
        <f aca="false">IF($A922="",0,SUMIFS($G$8:$G$1007,$C$8:$C$1007,$C922,$A$8:$A$1007,"&gt;="&amp;$A922-6,$A$8:$A$1007,"&lt;="&amp;$A922))</f>
        <v>0</v>
      </c>
      <c r="I922" s="48" t="n">
        <f aca="false">IF($A922="",0,SUMIFS($G$8:$G$1007,$C$8:$C$1007,$C922,$A$8:$A$1007,"&gt;="&amp;$A922-27,$A$8:$A$1007,"&lt;="&amp;$A922)/4)</f>
        <v>0</v>
      </c>
      <c r="J922" s="67" t="n">
        <f aca="false">IF(OR($A922="",$I922=0),0,$H922/$I922)</f>
        <v>0</v>
      </c>
      <c r="K922" s="33" t="n">
        <f aca="false">IF($A922="",0,$A922-SUMPRODUCT(MIN(($C$8:$C$1007=$C922)*$A$8:$A$1007+($C$8:$C$1007&lt;&gt;$C922)*100000))+1)</f>
        <v>0</v>
      </c>
      <c r="L922" s="19" t="str">
        <f aca="false">IF($A922="","",IF($J922=0,"Sem registro anterior",IF($K922&lt;21,"Histórico insuficiente",IF($J922&lt;0.8,"Subcarga",IF($J922&lt;=1.3,"Zona ideal",IF($J922&lt;=1.5,"Atenção","Risco elevado"))))))</f>
        <v/>
      </c>
      <c r="M922" s="20"/>
    </row>
    <row r="923" customFormat="false" ht="15" hidden="false" customHeight="false" outlineLevel="0" collapsed="false">
      <c r="A923" s="21"/>
      <c r="B923" s="33" t="n">
        <f aca="false">IF($A923="",0,INT(($A923-Macrociclo!$C$11)/7)+1)</f>
        <v>0</v>
      </c>
      <c r="C923" s="20"/>
      <c r="D923" s="20"/>
      <c r="E923" s="22"/>
      <c r="F923" s="22"/>
      <c r="G923" s="48" t="n">
        <f aca="false">IF(OR($E923="",$F923=""),0,$E923*$F923)</f>
        <v>0</v>
      </c>
      <c r="H923" s="48" t="n">
        <f aca="false">IF($A923="",0,SUMIFS($G$8:$G$1007,$C$8:$C$1007,$C923,$A$8:$A$1007,"&gt;="&amp;$A923-6,$A$8:$A$1007,"&lt;="&amp;$A923))</f>
        <v>0</v>
      </c>
      <c r="I923" s="48" t="n">
        <f aca="false">IF($A923="",0,SUMIFS($G$8:$G$1007,$C$8:$C$1007,$C923,$A$8:$A$1007,"&gt;="&amp;$A923-27,$A$8:$A$1007,"&lt;="&amp;$A923)/4)</f>
        <v>0</v>
      </c>
      <c r="J923" s="67" t="n">
        <f aca="false">IF(OR($A923="",$I923=0),0,$H923/$I923)</f>
        <v>0</v>
      </c>
      <c r="K923" s="33" t="n">
        <f aca="false">IF($A923="",0,$A923-SUMPRODUCT(MIN(($C$8:$C$1007=$C923)*$A$8:$A$1007+($C$8:$C$1007&lt;&gt;$C923)*100000))+1)</f>
        <v>0</v>
      </c>
      <c r="L923" s="19" t="str">
        <f aca="false">IF($A923="","",IF($J923=0,"Sem registro anterior",IF($K923&lt;21,"Histórico insuficiente",IF($J923&lt;0.8,"Subcarga",IF($J923&lt;=1.3,"Zona ideal",IF($J923&lt;=1.5,"Atenção","Risco elevado"))))))</f>
        <v/>
      </c>
      <c r="M923" s="20"/>
    </row>
    <row r="924" customFormat="false" ht="15" hidden="false" customHeight="false" outlineLevel="0" collapsed="false">
      <c r="A924" s="21"/>
      <c r="B924" s="33" t="n">
        <f aca="false">IF($A924="",0,INT(($A924-Macrociclo!$C$11)/7)+1)</f>
        <v>0</v>
      </c>
      <c r="C924" s="20"/>
      <c r="D924" s="20"/>
      <c r="E924" s="22"/>
      <c r="F924" s="22"/>
      <c r="G924" s="48" t="n">
        <f aca="false">IF(OR($E924="",$F924=""),0,$E924*$F924)</f>
        <v>0</v>
      </c>
      <c r="H924" s="48" t="n">
        <f aca="false">IF($A924="",0,SUMIFS($G$8:$G$1007,$C$8:$C$1007,$C924,$A$8:$A$1007,"&gt;="&amp;$A924-6,$A$8:$A$1007,"&lt;="&amp;$A924))</f>
        <v>0</v>
      </c>
      <c r="I924" s="48" t="n">
        <f aca="false">IF($A924="",0,SUMIFS($G$8:$G$1007,$C$8:$C$1007,$C924,$A$8:$A$1007,"&gt;="&amp;$A924-27,$A$8:$A$1007,"&lt;="&amp;$A924)/4)</f>
        <v>0</v>
      </c>
      <c r="J924" s="67" t="n">
        <f aca="false">IF(OR($A924="",$I924=0),0,$H924/$I924)</f>
        <v>0</v>
      </c>
      <c r="K924" s="33" t="n">
        <f aca="false">IF($A924="",0,$A924-SUMPRODUCT(MIN(($C$8:$C$1007=$C924)*$A$8:$A$1007+($C$8:$C$1007&lt;&gt;$C924)*100000))+1)</f>
        <v>0</v>
      </c>
      <c r="L924" s="19" t="str">
        <f aca="false">IF($A924="","",IF($J924=0,"Sem registro anterior",IF($K924&lt;21,"Histórico insuficiente",IF($J924&lt;0.8,"Subcarga",IF($J924&lt;=1.3,"Zona ideal",IF($J924&lt;=1.5,"Atenção","Risco elevado"))))))</f>
        <v/>
      </c>
      <c r="M924" s="20"/>
    </row>
    <row r="925" customFormat="false" ht="15" hidden="false" customHeight="false" outlineLevel="0" collapsed="false">
      <c r="A925" s="21"/>
      <c r="B925" s="33" t="n">
        <f aca="false">IF($A925="",0,INT(($A925-Macrociclo!$C$11)/7)+1)</f>
        <v>0</v>
      </c>
      <c r="C925" s="20"/>
      <c r="D925" s="20"/>
      <c r="E925" s="22"/>
      <c r="F925" s="22"/>
      <c r="G925" s="48" t="n">
        <f aca="false">IF(OR($E925="",$F925=""),0,$E925*$F925)</f>
        <v>0</v>
      </c>
      <c r="H925" s="48" t="n">
        <f aca="false">IF($A925="",0,SUMIFS($G$8:$G$1007,$C$8:$C$1007,$C925,$A$8:$A$1007,"&gt;="&amp;$A925-6,$A$8:$A$1007,"&lt;="&amp;$A925))</f>
        <v>0</v>
      </c>
      <c r="I925" s="48" t="n">
        <f aca="false">IF($A925="",0,SUMIFS($G$8:$G$1007,$C$8:$C$1007,$C925,$A$8:$A$1007,"&gt;="&amp;$A925-27,$A$8:$A$1007,"&lt;="&amp;$A925)/4)</f>
        <v>0</v>
      </c>
      <c r="J925" s="67" t="n">
        <f aca="false">IF(OR($A925="",$I925=0),0,$H925/$I925)</f>
        <v>0</v>
      </c>
      <c r="K925" s="33" t="n">
        <f aca="false">IF($A925="",0,$A925-SUMPRODUCT(MIN(($C$8:$C$1007=$C925)*$A$8:$A$1007+($C$8:$C$1007&lt;&gt;$C925)*100000))+1)</f>
        <v>0</v>
      </c>
      <c r="L925" s="19" t="str">
        <f aca="false">IF($A925="","",IF($J925=0,"Sem registro anterior",IF($K925&lt;21,"Histórico insuficiente",IF($J925&lt;0.8,"Subcarga",IF($J925&lt;=1.3,"Zona ideal",IF($J925&lt;=1.5,"Atenção","Risco elevado"))))))</f>
        <v/>
      </c>
      <c r="M925" s="20"/>
    </row>
    <row r="926" customFormat="false" ht="15" hidden="false" customHeight="false" outlineLevel="0" collapsed="false">
      <c r="A926" s="21"/>
      <c r="B926" s="33" t="n">
        <f aca="false">IF($A926="",0,INT(($A926-Macrociclo!$C$11)/7)+1)</f>
        <v>0</v>
      </c>
      <c r="C926" s="20"/>
      <c r="D926" s="20"/>
      <c r="E926" s="22"/>
      <c r="F926" s="22"/>
      <c r="G926" s="48" t="n">
        <f aca="false">IF(OR($E926="",$F926=""),0,$E926*$F926)</f>
        <v>0</v>
      </c>
      <c r="H926" s="48" t="n">
        <f aca="false">IF($A926="",0,SUMIFS($G$8:$G$1007,$C$8:$C$1007,$C926,$A$8:$A$1007,"&gt;="&amp;$A926-6,$A$8:$A$1007,"&lt;="&amp;$A926))</f>
        <v>0</v>
      </c>
      <c r="I926" s="48" t="n">
        <f aca="false">IF($A926="",0,SUMIFS($G$8:$G$1007,$C$8:$C$1007,$C926,$A$8:$A$1007,"&gt;="&amp;$A926-27,$A$8:$A$1007,"&lt;="&amp;$A926)/4)</f>
        <v>0</v>
      </c>
      <c r="J926" s="67" t="n">
        <f aca="false">IF(OR($A926="",$I926=0),0,$H926/$I926)</f>
        <v>0</v>
      </c>
      <c r="K926" s="33" t="n">
        <f aca="false">IF($A926="",0,$A926-SUMPRODUCT(MIN(($C$8:$C$1007=$C926)*$A$8:$A$1007+($C$8:$C$1007&lt;&gt;$C926)*100000))+1)</f>
        <v>0</v>
      </c>
      <c r="L926" s="19" t="str">
        <f aca="false">IF($A926="","",IF($J926=0,"Sem registro anterior",IF($K926&lt;21,"Histórico insuficiente",IF($J926&lt;0.8,"Subcarga",IF($J926&lt;=1.3,"Zona ideal",IF($J926&lt;=1.5,"Atenção","Risco elevado"))))))</f>
        <v/>
      </c>
      <c r="M926" s="20"/>
    </row>
    <row r="927" customFormat="false" ht="15" hidden="false" customHeight="false" outlineLevel="0" collapsed="false">
      <c r="A927" s="21"/>
      <c r="B927" s="33" t="n">
        <f aca="false">IF($A927="",0,INT(($A927-Macrociclo!$C$11)/7)+1)</f>
        <v>0</v>
      </c>
      <c r="C927" s="20"/>
      <c r="D927" s="20"/>
      <c r="E927" s="22"/>
      <c r="F927" s="22"/>
      <c r="G927" s="48" t="n">
        <f aca="false">IF(OR($E927="",$F927=""),0,$E927*$F927)</f>
        <v>0</v>
      </c>
      <c r="H927" s="48" t="n">
        <f aca="false">IF($A927="",0,SUMIFS($G$8:$G$1007,$C$8:$C$1007,$C927,$A$8:$A$1007,"&gt;="&amp;$A927-6,$A$8:$A$1007,"&lt;="&amp;$A927))</f>
        <v>0</v>
      </c>
      <c r="I927" s="48" t="n">
        <f aca="false">IF($A927="",0,SUMIFS($G$8:$G$1007,$C$8:$C$1007,$C927,$A$8:$A$1007,"&gt;="&amp;$A927-27,$A$8:$A$1007,"&lt;="&amp;$A927)/4)</f>
        <v>0</v>
      </c>
      <c r="J927" s="67" t="n">
        <f aca="false">IF(OR($A927="",$I927=0),0,$H927/$I927)</f>
        <v>0</v>
      </c>
      <c r="K927" s="33" t="n">
        <f aca="false">IF($A927="",0,$A927-SUMPRODUCT(MIN(($C$8:$C$1007=$C927)*$A$8:$A$1007+($C$8:$C$1007&lt;&gt;$C927)*100000))+1)</f>
        <v>0</v>
      </c>
      <c r="L927" s="19" t="str">
        <f aca="false">IF($A927="","",IF($J927=0,"Sem registro anterior",IF($K927&lt;21,"Histórico insuficiente",IF($J927&lt;0.8,"Subcarga",IF($J927&lt;=1.3,"Zona ideal",IF($J927&lt;=1.5,"Atenção","Risco elevado"))))))</f>
        <v/>
      </c>
      <c r="M927" s="20"/>
    </row>
    <row r="928" customFormat="false" ht="15" hidden="false" customHeight="false" outlineLevel="0" collapsed="false">
      <c r="A928" s="21"/>
      <c r="B928" s="33" t="n">
        <f aca="false">IF($A928="",0,INT(($A928-Macrociclo!$C$11)/7)+1)</f>
        <v>0</v>
      </c>
      <c r="C928" s="20"/>
      <c r="D928" s="20"/>
      <c r="E928" s="22"/>
      <c r="F928" s="22"/>
      <c r="G928" s="48" t="n">
        <f aca="false">IF(OR($E928="",$F928=""),0,$E928*$F928)</f>
        <v>0</v>
      </c>
      <c r="H928" s="48" t="n">
        <f aca="false">IF($A928="",0,SUMIFS($G$8:$G$1007,$C$8:$C$1007,$C928,$A$8:$A$1007,"&gt;="&amp;$A928-6,$A$8:$A$1007,"&lt;="&amp;$A928))</f>
        <v>0</v>
      </c>
      <c r="I928" s="48" t="n">
        <f aca="false">IF($A928="",0,SUMIFS($G$8:$G$1007,$C$8:$C$1007,$C928,$A$8:$A$1007,"&gt;="&amp;$A928-27,$A$8:$A$1007,"&lt;="&amp;$A928)/4)</f>
        <v>0</v>
      </c>
      <c r="J928" s="67" t="n">
        <f aca="false">IF(OR($A928="",$I928=0),0,$H928/$I928)</f>
        <v>0</v>
      </c>
      <c r="K928" s="33" t="n">
        <f aca="false">IF($A928="",0,$A928-SUMPRODUCT(MIN(($C$8:$C$1007=$C928)*$A$8:$A$1007+($C$8:$C$1007&lt;&gt;$C928)*100000))+1)</f>
        <v>0</v>
      </c>
      <c r="L928" s="19" t="str">
        <f aca="false">IF($A928="","",IF($J928=0,"Sem registro anterior",IF($K928&lt;21,"Histórico insuficiente",IF($J928&lt;0.8,"Subcarga",IF($J928&lt;=1.3,"Zona ideal",IF($J928&lt;=1.5,"Atenção","Risco elevado"))))))</f>
        <v/>
      </c>
      <c r="M928" s="20"/>
    </row>
    <row r="929" customFormat="false" ht="15" hidden="false" customHeight="false" outlineLevel="0" collapsed="false">
      <c r="A929" s="21"/>
      <c r="B929" s="33" t="n">
        <f aca="false">IF($A929="",0,INT(($A929-Macrociclo!$C$11)/7)+1)</f>
        <v>0</v>
      </c>
      <c r="C929" s="20"/>
      <c r="D929" s="20"/>
      <c r="E929" s="22"/>
      <c r="F929" s="22"/>
      <c r="G929" s="48" t="n">
        <f aca="false">IF(OR($E929="",$F929=""),0,$E929*$F929)</f>
        <v>0</v>
      </c>
      <c r="H929" s="48" t="n">
        <f aca="false">IF($A929="",0,SUMIFS($G$8:$G$1007,$C$8:$C$1007,$C929,$A$8:$A$1007,"&gt;="&amp;$A929-6,$A$8:$A$1007,"&lt;="&amp;$A929))</f>
        <v>0</v>
      </c>
      <c r="I929" s="48" t="n">
        <f aca="false">IF($A929="",0,SUMIFS($G$8:$G$1007,$C$8:$C$1007,$C929,$A$8:$A$1007,"&gt;="&amp;$A929-27,$A$8:$A$1007,"&lt;="&amp;$A929)/4)</f>
        <v>0</v>
      </c>
      <c r="J929" s="67" t="n">
        <f aca="false">IF(OR($A929="",$I929=0),0,$H929/$I929)</f>
        <v>0</v>
      </c>
      <c r="K929" s="33" t="n">
        <f aca="false">IF($A929="",0,$A929-SUMPRODUCT(MIN(($C$8:$C$1007=$C929)*$A$8:$A$1007+($C$8:$C$1007&lt;&gt;$C929)*100000))+1)</f>
        <v>0</v>
      </c>
      <c r="L929" s="19" t="str">
        <f aca="false">IF($A929="","",IF($J929=0,"Sem registro anterior",IF($K929&lt;21,"Histórico insuficiente",IF($J929&lt;0.8,"Subcarga",IF($J929&lt;=1.3,"Zona ideal",IF($J929&lt;=1.5,"Atenção","Risco elevado"))))))</f>
        <v/>
      </c>
      <c r="M929" s="20"/>
    </row>
    <row r="930" customFormat="false" ht="15" hidden="false" customHeight="false" outlineLevel="0" collapsed="false">
      <c r="A930" s="21"/>
      <c r="B930" s="33" t="n">
        <f aca="false">IF($A930="",0,INT(($A930-Macrociclo!$C$11)/7)+1)</f>
        <v>0</v>
      </c>
      <c r="C930" s="20"/>
      <c r="D930" s="20"/>
      <c r="E930" s="22"/>
      <c r="F930" s="22"/>
      <c r="G930" s="48" t="n">
        <f aca="false">IF(OR($E930="",$F930=""),0,$E930*$F930)</f>
        <v>0</v>
      </c>
      <c r="H930" s="48" t="n">
        <f aca="false">IF($A930="",0,SUMIFS($G$8:$G$1007,$C$8:$C$1007,$C930,$A$8:$A$1007,"&gt;="&amp;$A930-6,$A$8:$A$1007,"&lt;="&amp;$A930))</f>
        <v>0</v>
      </c>
      <c r="I930" s="48" t="n">
        <f aca="false">IF($A930="",0,SUMIFS($G$8:$G$1007,$C$8:$C$1007,$C930,$A$8:$A$1007,"&gt;="&amp;$A930-27,$A$8:$A$1007,"&lt;="&amp;$A930)/4)</f>
        <v>0</v>
      </c>
      <c r="J930" s="67" t="n">
        <f aca="false">IF(OR($A930="",$I930=0),0,$H930/$I930)</f>
        <v>0</v>
      </c>
      <c r="K930" s="33" t="n">
        <f aca="false">IF($A930="",0,$A930-SUMPRODUCT(MIN(($C$8:$C$1007=$C930)*$A$8:$A$1007+($C$8:$C$1007&lt;&gt;$C930)*100000))+1)</f>
        <v>0</v>
      </c>
      <c r="L930" s="19" t="str">
        <f aca="false">IF($A930="","",IF($J930=0,"Sem registro anterior",IF($K930&lt;21,"Histórico insuficiente",IF($J930&lt;0.8,"Subcarga",IF($J930&lt;=1.3,"Zona ideal",IF($J930&lt;=1.5,"Atenção","Risco elevado"))))))</f>
        <v/>
      </c>
      <c r="M930" s="20"/>
    </row>
    <row r="931" customFormat="false" ht="15" hidden="false" customHeight="false" outlineLevel="0" collapsed="false">
      <c r="A931" s="21"/>
      <c r="B931" s="33" t="n">
        <f aca="false">IF($A931="",0,INT(($A931-Macrociclo!$C$11)/7)+1)</f>
        <v>0</v>
      </c>
      <c r="C931" s="20"/>
      <c r="D931" s="20"/>
      <c r="E931" s="22"/>
      <c r="F931" s="22"/>
      <c r="G931" s="48" t="n">
        <f aca="false">IF(OR($E931="",$F931=""),0,$E931*$F931)</f>
        <v>0</v>
      </c>
      <c r="H931" s="48" t="n">
        <f aca="false">IF($A931="",0,SUMIFS($G$8:$G$1007,$C$8:$C$1007,$C931,$A$8:$A$1007,"&gt;="&amp;$A931-6,$A$8:$A$1007,"&lt;="&amp;$A931))</f>
        <v>0</v>
      </c>
      <c r="I931" s="48" t="n">
        <f aca="false">IF($A931="",0,SUMIFS($G$8:$G$1007,$C$8:$C$1007,$C931,$A$8:$A$1007,"&gt;="&amp;$A931-27,$A$8:$A$1007,"&lt;="&amp;$A931)/4)</f>
        <v>0</v>
      </c>
      <c r="J931" s="67" t="n">
        <f aca="false">IF(OR($A931="",$I931=0),0,$H931/$I931)</f>
        <v>0</v>
      </c>
      <c r="K931" s="33" t="n">
        <f aca="false">IF($A931="",0,$A931-SUMPRODUCT(MIN(($C$8:$C$1007=$C931)*$A$8:$A$1007+($C$8:$C$1007&lt;&gt;$C931)*100000))+1)</f>
        <v>0</v>
      </c>
      <c r="L931" s="19" t="str">
        <f aca="false">IF($A931="","",IF($J931=0,"Sem registro anterior",IF($K931&lt;21,"Histórico insuficiente",IF($J931&lt;0.8,"Subcarga",IF($J931&lt;=1.3,"Zona ideal",IF($J931&lt;=1.5,"Atenção","Risco elevado"))))))</f>
        <v/>
      </c>
      <c r="M931" s="20"/>
    </row>
    <row r="932" customFormat="false" ht="15" hidden="false" customHeight="false" outlineLevel="0" collapsed="false">
      <c r="A932" s="21"/>
      <c r="B932" s="33" t="n">
        <f aca="false">IF($A932="",0,INT(($A932-Macrociclo!$C$11)/7)+1)</f>
        <v>0</v>
      </c>
      <c r="C932" s="20"/>
      <c r="D932" s="20"/>
      <c r="E932" s="22"/>
      <c r="F932" s="22"/>
      <c r="G932" s="48" t="n">
        <f aca="false">IF(OR($E932="",$F932=""),0,$E932*$F932)</f>
        <v>0</v>
      </c>
      <c r="H932" s="48" t="n">
        <f aca="false">IF($A932="",0,SUMIFS($G$8:$G$1007,$C$8:$C$1007,$C932,$A$8:$A$1007,"&gt;="&amp;$A932-6,$A$8:$A$1007,"&lt;="&amp;$A932))</f>
        <v>0</v>
      </c>
      <c r="I932" s="48" t="n">
        <f aca="false">IF($A932="",0,SUMIFS($G$8:$G$1007,$C$8:$C$1007,$C932,$A$8:$A$1007,"&gt;="&amp;$A932-27,$A$8:$A$1007,"&lt;="&amp;$A932)/4)</f>
        <v>0</v>
      </c>
      <c r="J932" s="67" t="n">
        <f aca="false">IF(OR($A932="",$I932=0),0,$H932/$I932)</f>
        <v>0</v>
      </c>
      <c r="K932" s="33" t="n">
        <f aca="false">IF($A932="",0,$A932-SUMPRODUCT(MIN(($C$8:$C$1007=$C932)*$A$8:$A$1007+($C$8:$C$1007&lt;&gt;$C932)*100000))+1)</f>
        <v>0</v>
      </c>
      <c r="L932" s="19" t="str">
        <f aca="false">IF($A932="","",IF($J932=0,"Sem registro anterior",IF($K932&lt;21,"Histórico insuficiente",IF($J932&lt;0.8,"Subcarga",IF($J932&lt;=1.3,"Zona ideal",IF($J932&lt;=1.5,"Atenção","Risco elevado"))))))</f>
        <v/>
      </c>
      <c r="M932" s="20"/>
    </row>
    <row r="933" customFormat="false" ht="15" hidden="false" customHeight="false" outlineLevel="0" collapsed="false">
      <c r="A933" s="21"/>
      <c r="B933" s="33" t="n">
        <f aca="false">IF($A933="",0,INT(($A933-Macrociclo!$C$11)/7)+1)</f>
        <v>0</v>
      </c>
      <c r="C933" s="20"/>
      <c r="D933" s="20"/>
      <c r="E933" s="22"/>
      <c r="F933" s="22"/>
      <c r="G933" s="48" t="n">
        <f aca="false">IF(OR($E933="",$F933=""),0,$E933*$F933)</f>
        <v>0</v>
      </c>
      <c r="H933" s="48" t="n">
        <f aca="false">IF($A933="",0,SUMIFS($G$8:$G$1007,$C$8:$C$1007,$C933,$A$8:$A$1007,"&gt;="&amp;$A933-6,$A$8:$A$1007,"&lt;="&amp;$A933))</f>
        <v>0</v>
      </c>
      <c r="I933" s="48" t="n">
        <f aca="false">IF($A933="",0,SUMIFS($G$8:$G$1007,$C$8:$C$1007,$C933,$A$8:$A$1007,"&gt;="&amp;$A933-27,$A$8:$A$1007,"&lt;="&amp;$A933)/4)</f>
        <v>0</v>
      </c>
      <c r="J933" s="67" t="n">
        <f aca="false">IF(OR($A933="",$I933=0),0,$H933/$I933)</f>
        <v>0</v>
      </c>
      <c r="K933" s="33" t="n">
        <f aca="false">IF($A933="",0,$A933-SUMPRODUCT(MIN(($C$8:$C$1007=$C933)*$A$8:$A$1007+($C$8:$C$1007&lt;&gt;$C933)*100000))+1)</f>
        <v>0</v>
      </c>
      <c r="L933" s="19" t="str">
        <f aca="false">IF($A933="","",IF($J933=0,"Sem registro anterior",IF($K933&lt;21,"Histórico insuficiente",IF($J933&lt;0.8,"Subcarga",IF($J933&lt;=1.3,"Zona ideal",IF($J933&lt;=1.5,"Atenção","Risco elevado"))))))</f>
        <v/>
      </c>
      <c r="M933" s="20"/>
    </row>
    <row r="934" customFormat="false" ht="15" hidden="false" customHeight="false" outlineLevel="0" collapsed="false">
      <c r="A934" s="21"/>
      <c r="B934" s="33" t="n">
        <f aca="false">IF($A934="",0,INT(($A934-Macrociclo!$C$11)/7)+1)</f>
        <v>0</v>
      </c>
      <c r="C934" s="20"/>
      <c r="D934" s="20"/>
      <c r="E934" s="22"/>
      <c r="F934" s="22"/>
      <c r="G934" s="48" t="n">
        <f aca="false">IF(OR($E934="",$F934=""),0,$E934*$F934)</f>
        <v>0</v>
      </c>
      <c r="H934" s="48" t="n">
        <f aca="false">IF($A934="",0,SUMIFS($G$8:$G$1007,$C$8:$C$1007,$C934,$A$8:$A$1007,"&gt;="&amp;$A934-6,$A$8:$A$1007,"&lt;="&amp;$A934))</f>
        <v>0</v>
      </c>
      <c r="I934" s="48" t="n">
        <f aca="false">IF($A934="",0,SUMIFS($G$8:$G$1007,$C$8:$C$1007,$C934,$A$8:$A$1007,"&gt;="&amp;$A934-27,$A$8:$A$1007,"&lt;="&amp;$A934)/4)</f>
        <v>0</v>
      </c>
      <c r="J934" s="67" t="n">
        <f aca="false">IF(OR($A934="",$I934=0),0,$H934/$I934)</f>
        <v>0</v>
      </c>
      <c r="K934" s="33" t="n">
        <f aca="false">IF($A934="",0,$A934-SUMPRODUCT(MIN(($C$8:$C$1007=$C934)*$A$8:$A$1007+($C$8:$C$1007&lt;&gt;$C934)*100000))+1)</f>
        <v>0</v>
      </c>
      <c r="L934" s="19" t="str">
        <f aca="false">IF($A934="","",IF($J934=0,"Sem registro anterior",IF($K934&lt;21,"Histórico insuficiente",IF($J934&lt;0.8,"Subcarga",IF($J934&lt;=1.3,"Zona ideal",IF($J934&lt;=1.5,"Atenção","Risco elevado"))))))</f>
        <v/>
      </c>
      <c r="M934" s="20"/>
    </row>
    <row r="935" customFormat="false" ht="15" hidden="false" customHeight="false" outlineLevel="0" collapsed="false">
      <c r="A935" s="21"/>
      <c r="B935" s="33" t="n">
        <f aca="false">IF($A935="",0,INT(($A935-Macrociclo!$C$11)/7)+1)</f>
        <v>0</v>
      </c>
      <c r="C935" s="20"/>
      <c r="D935" s="20"/>
      <c r="E935" s="22"/>
      <c r="F935" s="22"/>
      <c r="G935" s="48" t="n">
        <f aca="false">IF(OR($E935="",$F935=""),0,$E935*$F935)</f>
        <v>0</v>
      </c>
      <c r="H935" s="48" t="n">
        <f aca="false">IF($A935="",0,SUMIFS($G$8:$G$1007,$C$8:$C$1007,$C935,$A$8:$A$1007,"&gt;="&amp;$A935-6,$A$8:$A$1007,"&lt;="&amp;$A935))</f>
        <v>0</v>
      </c>
      <c r="I935" s="48" t="n">
        <f aca="false">IF($A935="",0,SUMIFS($G$8:$G$1007,$C$8:$C$1007,$C935,$A$8:$A$1007,"&gt;="&amp;$A935-27,$A$8:$A$1007,"&lt;="&amp;$A935)/4)</f>
        <v>0</v>
      </c>
      <c r="J935" s="67" t="n">
        <f aca="false">IF(OR($A935="",$I935=0),0,$H935/$I935)</f>
        <v>0</v>
      </c>
      <c r="K935" s="33" t="n">
        <f aca="false">IF($A935="",0,$A935-SUMPRODUCT(MIN(($C$8:$C$1007=$C935)*$A$8:$A$1007+($C$8:$C$1007&lt;&gt;$C935)*100000))+1)</f>
        <v>0</v>
      </c>
      <c r="L935" s="19" t="str">
        <f aca="false">IF($A935="","",IF($J935=0,"Sem registro anterior",IF($K935&lt;21,"Histórico insuficiente",IF($J935&lt;0.8,"Subcarga",IF($J935&lt;=1.3,"Zona ideal",IF($J935&lt;=1.5,"Atenção","Risco elevado"))))))</f>
        <v/>
      </c>
      <c r="M935" s="20"/>
    </row>
    <row r="936" customFormat="false" ht="15" hidden="false" customHeight="false" outlineLevel="0" collapsed="false">
      <c r="A936" s="21"/>
      <c r="B936" s="33" t="n">
        <f aca="false">IF($A936="",0,INT(($A936-Macrociclo!$C$11)/7)+1)</f>
        <v>0</v>
      </c>
      <c r="C936" s="20"/>
      <c r="D936" s="20"/>
      <c r="E936" s="22"/>
      <c r="F936" s="22"/>
      <c r="G936" s="48" t="n">
        <f aca="false">IF(OR($E936="",$F936=""),0,$E936*$F936)</f>
        <v>0</v>
      </c>
      <c r="H936" s="48" t="n">
        <f aca="false">IF($A936="",0,SUMIFS($G$8:$G$1007,$C$8:$C$1007,$C936,$A$8:$A$1007,"&gt;="&amp;$A936-6,$A$8:$A$1007,"&lt;="&amp;$A936))</f>
        <v>0</v>
      </c>
      <c r="I936" s="48" t="n">
        <f aca="false">IF($A936="",0,SUMIFS($G$8:$G$1007,$C$8:$C$1007,$C936,$A$8:$A$1007,"&gt;="&amp;$A936-27,$A$8:$A$1007,"&lt;="&amp;$A936)/4)</f>
        <v>0</v>
      </c>
      <c r="J936" s="67" t="n">
        <f aca="false">IF(OR($A936="",$I936=0),0,$H936/$I936)</f>
        <v>0</v>
      </c>
      <c r="K936" s="33" t="n">
        <f aca="false">IF($A936="",0,$A936-SUMPRODUCT(MIN(($C$8:$C$1007=$C936)*$A$8:$A$1007+($C$8:$C$1007&lt;&gt;$C936)*100000))+1)</f>
        <v>0</v>
      </c>
      <c r="L936" s="19" t="str">
        <f aca="false">IF($A936="","",IF($J936=0,"Sem registro anterior",IF($K936&lt;21,"Histórico insuficiente",IF($J936&lt;0.8,"Subcarga",IF($J936&lt;=1.3,"Zona ideal",IF($J936&lt;=1.5,"Atenção","Risco elevado"))))))</f>
        <v/>
      </c>
      <c r="M936" s="20"/>
    </row>
    <row r="937" customFormat="false" ht="15" hidden="false" customHeight="false" outlineLevel="0" collapsed="false">
      <c r="A937" s="21"/>
      <c r="B937" s="33" t="n">
        <f aca="false">IF($A937="",0,INT(($A937-Macrociclo!$C$11)/7)+1)</f>
        <v>0</v>
      </c>
      <c r="C937" s="20"/>
      <c r="D937" s="20"/>
      <c r="E937" s="22"/>
      <c r="F937" s="22"/>
      <c r="G937" s="48" t="n">
        <f aca="false">IF(OR($E937="",$F937=""),0,$E937*$F937)</f>
        <v>0</v>
      </c>
      <c r="H937" s="48" t="n">
        <f aca="false">IF($A937="",0,SUMIFS($G$8:$G$1007,$C$8:$C$1007,$C937,$A$8:$A$1007,"&gt;="&amp;$A937-6,$A$8:$A$1007,"&lt;="&amp;$A937))</f>
        <v>0</v>
      </c>
      <c r="I937" s="48" t="n">
        <f aca="false">IF($A937="",0,SUMIFS($G$8:$G$1007,$C$8:$C$1007,$C937,$A$8:$A$1007,"&gt;="&amp;$A937-27,$A$8:$A$1007,"&lt;="&amp;$A937)/4)</f>
        <v>0</v>
      </c>
      <c r="J937" s="67" t="n">
        <f aca="false">IF(OR($A937="",$I937=0),0,$H937/$I937)</f>
        <v>0</v>
      </c>
      <c r="K937" s="33" t="n">
        <f aca="false">IF($A937="",0,$A937-SUMPRODUCT(MIN(($C$8:$C$1007=$C937)*$A$8:$A$1007+($C$8:$C$1007&lt;&gt;$C937)*100000))+1)</f>
        <v>0</v>
      </c>
      <c r="L937" s="19" t="str">
        <f aca="false">IF($A937="","",IF($J937=0,"Sem registro anterior",IF($K937&lt;21,"Histórico insuficiente",IF($J937&lt;0.8,"Subcarga",IF($J937&lt;=1.3,"Zona ideal",IF($J937&lt;=1.5,"Atenção","Risco elevado"))))))</f>
        <v/>
      </c>
      <c r="M937" s="20"/>
    </row>
    <row r="938" customFormat="false" ht="15" hidden="false" customHeight="false" outlineLevel="0" collapsed="false">
      <c r="A938" s="21"/>
      <c r="B938" s="33" t="n">
        <f aca="false">IF($A938="",0,INT(($A938-Macrociclo!$C$11)/7)+1)</f>
        <v>0</v>
      </c>
      <c r="C938" s="20"/>
      <c r="D938" s="20"/>
      <c r="E938" s="22"/>
      <c r="F938" s="22"/>
      <c r="G938" s="48" t="n">
        <f aca="false">IF(OR($E938="",$F938=""),0,$E938*$F938)</f>
        <v>0</v>
      </c>
      <c r="H938" s="48" t="n">
        <f aca="false">IF($A938="",0,SUMIFS($G$8:$G$1007,$C$8:$C$1007,$C938,$A$8:$A$1007,"&gt;="&amp;$A938-6,$A$8:$A$1007,"&lt;="&amp;$A938))</f>
        <v>0</v>
      </c>
      <c r="I938" s="48" t="n">
        <f aca="false">IF($A938="",0,SUMIFS($G$8:$G$1007,$C$8:$C$1007,$C938,$A$8:$A$1007,"&gt;="&amp;$A938-27,$A$8:$A$1007,"&lt;="&amp;$A938)/4)</f>
        <v>0</v>
      </c>
      <c r="J938" s="67" t="n">
        <f aca="false">IF(OR($A938="",$I938=0),0,$H938/$I938)</f>
        <v>0</v>
      </c>
      <c r="K938" s="33" t="n">
        <f aca="false">IF($A938="",0,$A938-SUMPRODUCT(MIN(($C$8:$C$1007=$C938)*$A$8:$A$1007+($C$8:$C$1007&lt;&gt;$C938)*100000))+1)</f>
        <v>0</v>
      </c>
      <c r="L938" s="19" t="str">
        <f aca="false">IF($A938="","",IF($J938=0,"Sem registro anterior",IF($K938&lt;21,"Histórico insuficiente",IF($J938&lt;0.8,"Subcarga",IF($J938&lt;=1.3,"Zona ideal",IF($J938&lt;=1.5,"Atenção","Risco elevado"))))))</f>
        <v/>
      </c>
      <c r="M938" s="20"/>
    </row>
    <row r="939" customFormat="false" ht="15" hidden="false" customHeight="false" outlineLevel="0" collapsed="false">
      <c r="A939" s="21"/>
      <c r="B939" s="33" t="n">
        <f aca="false">IF($A939="",0,INT(($A939-Macrociclo!$C$11)/7)+1)</f>
        <v>0</v>
      </c>
      <c r="C939" s="20"/>
      <c r="D939" s="20"/>
      <c r="E939" s="22"/>
      <c r="F939" s="22"/>
      <c r="G939" s="48" t="n">
        <f aca="false">IF(OR($E939="",$F939=""),0,$E939*$F939)</f>
        <v>0</v>
      </c>
      <c r="H939" s="48" t="n">
        <f aca="false">IF($A939="",0,SUMIFS($G$8:$G$1007,$C$8:$C$1007,$C939,$A$8:$A$1007,"&gt;="&amp;$A939-6,$A$8:$A$1007,"&lt;="&amp;$A939))</f>
        <v>0</v>
      </c>
      <c r="I939" s="48" t="n">
        <f aca="false">IF($A939="",0,SUMIFS($G$8:$G$1007,$C$8:$C$1007,$C939,$A$8:$A$1007,"&gt;="&amp;$A939-27,$A$8:$A$1007,"&lt;="&amp;$A939)/4)</f>
        <v>0</v>
      </c>
      <c r="J939" s="67" t="n">
        <f aca="false">IF(OR($A939="",$I939=0),0,$H939/$I939)</f>
        <v>0</v>
      </c>
      <c r="K939" s="33" t="n">
        <f aca="false">IF($A939="",0,$A939-SUMPRODUCT(MIN(($C$8:$C$1007=$C939)*$A$8:$A$1007+($C$8:$C$1007&lt;&gt;$C939)*100000))+1)</f>
        <v>0</v>
      </c>
      <c r="L939" s="19" t="str">
        <f aca="false">IF($A939="","",IF($J939=0,"Sem registro anterior",IF($K939&lt;21,"Histórico insuficiente",IF($J939&lt;0.8,"Subcarga",IF($J939&lt;=1.3,"Zona ideal",IF($J939&lt;=1.5,"Atenção","Risco elevado"))))))</f>
        <v/>
      </c>
      <c r="M939" s="20"/>
    </row>
    <row r="940" customFormat="false" ht="15" hidden="false" customHeight="false" outlineLevel="0" collapsed="false">
      <c r="A940" s="21"/>
      <c r="B940" s="33" t="n">
        <f aca="false">IF($A940="",0,INT(($A940-Macrociclo!$C$11)/7)+1)</f>
        <v>0</v>
      </c>
      <c r="C940" s="20"/>
      <c r="D940" s="20"/>
      <c r="E940" s="22"/>
      <c r="F940" s="22"/>
      <c r="G940" s="48" t="n">
        <f aca="false">IF(OR($E940="",$F940=""),0,$E940*$F940)</f>
        <v>0</v>
      </c>
      <c r="H940" s="48" t="n">
        <f aca="false">IF($A940="",0,SUMIFS($G$8:$G$1007,$C$8:$C$1007,$C940,$A$8:$A$1007,"&gt;="&amp;$A940-6,$A$8:$A$1007,"&lt;="&amp;$A940))</f>
        <v>0</v>
      </c>
      <c r="I940" s="48" t="n">
        <f aca="false">IF($A940="",0,SUMIFS($G$8:$G$1007,$C$8:$C$1007,$C940,$A$8:$A$1007,"&gt;="&amp;$A940-27,$A$8:$A$1007,"&lt;="&amp;$A940)/4)</f>
        <v>0</v>
      </c>
      <c r="J940" s="67" t="n">
        <f aca="false">IF(OR($A940="",$I940=0),0,$H940/$I940)</f>
        <v>0</v>
      </c>
      <c r="K940" s="33" t="n">
        <f aca="false">IF($A940="",0,$A940-SUMPRODUCT(MIN(($C$8:$C$1007=$C940)*$A$8:$A$1007+($C$8:$C$1007&lt;&gt;$C940)*100000))+1)</f>
        <v>0</v>
      </c>
      <c r="L940" s="19" t="str">
        <f aca="false">IF($A940="","",IF($J940=0,"Sem registro anterior",IF($K940&lt;21,"Histórico insuficiente",IF($J940&lt;0.8,"Subcarga",IF($J940&lt;=1.3,"Zona ideal",IF($J940&lt;=1.5,"Atenção","Risco elevado"))))))</f>
        <v/>
      </c>
      <c r="M940" s="20"/>
    </row>
    <row r="941" customFormat="false" ht="15" hidden="false" customHeight="false" outlineLevel="0" collapsed="false">
      <c r="A941" s="21"/>
      <c r="B941" s="33" t="n">
        <f aca="false">IF($A941="",0,INT(($A941-Macrociclo!$C$11)/7)+1)</f>
        <v>0</v>
      </c>
      <c r="C941" s="20"/>
      <c r="D941" s="20"/>
      <c r="E941" s="22"/>
      <c r="F941" s="22"/>
      <c r="G941" s="48" t="n">
        <f aca="false">IF(OR($E941="",$F941=""),0,$E941*$F941)</f>
        <v>0</v>
      </c>
      <c r="H941" s="48" t="n">
        <f aca="false">IF($A941="",0,SUMIFS($G$8:$G$1007,$C$8:$C$1007,$C941,$A$8:$A$1007,"&gt;="&amp;$A941-6,$A$8:$A$1007,"&lt;="&amp;$A941))</f>
        <v>0</v>
      </c>
      <c r="I941" s="48" t="n">
        <f aca="false">IF($A941="",0,SUMIFS($G$8:$G$1007,$C$8:$C$1007,$C941,$A$8:$A$1007,"&gt;="&amp;$A941-27,$A$8:$A$1007,"&lt;="&amp;$A941)/4)</f>
        <v>0</v>
      </c>
      <c r="J941" s="67" t="n">
        <f aca="false">IF(OR($A941="",$I941=0),0,$H941/$I941)</f>
        <v>0</v>
      </c>
      <c r="K941" s="33" t="n">
        <f aca="false">IF($A941="",0,$A941-SUMPRODUCT(MIN(($C$8:$C$1007=$C941)*$A$8:$A$1007+($C$8:$C$1007&lt;&gt;$C941)*100000))+1)</f>
        <v>0</v>
      </c>
      <c r="L941" s="19" t="str">
        <f aca="false">IF($A941="","",IF($J941=0,"Sem registro anterior",IF($K941&lt;21,"Histórico insuficiente",IF($J941&lt;0.8,"Subcarga",IF($J941&lt;=1.3,"Zona ideal",IF($J941&lt;=1.5,"Atenção","Risco elevado"))))))</f>
        <v/>
      </c>
      <c r="M941" s="20"/>
    </row>
    <row r="942" customFormat="false" ht="15" hidden="false" customHeight="false" outlineLevel="0" collapsed="false">
      <c r="A942" s="21"/>
      <c r="B942" s="33" t="n">
        <f aca="false">IF($A942="",0,INT(($A942-Macrociclo!$C$11)/7)+1)</f>
        <v>0</v>
      </c>
      <c r="C942" s="20"/>
      <c r="D942" s="20"/>
      <c r="E942" s="22"/>
      <c r="F942" s="22"/>
      <c r="G942" s="48" t="n">
        <f aca="false">IF(OR($E942="",$F942=""),0,$E942*$F942)</f>
        <v>0</v>
      </c>
      <c r="H942" s="48" t="n">
        <f aca="false">IF($A942="",0,SUMIFS($G$8:$G$1007,$C$8:$C$1007,$C942,$A$8:$A$1007,"&gt;="&amp;$A942-6,$A$8:$A$1007,"&lt;="&amp;$A942))</f>
        <v>0</v>
      </c>
      <c r="I942" s="48" t="n">
        <f aca="false">IF($A942="",0,SUMIFS($G$8:$G$1007,$C$8:$C$1007,$C942,$A$8:$A$1007,"&gt;="&amp;$A942-27,$A$8:$A$1007,"&lt;="&amp;$A942)/4)</f>
        <v>0</v>
      </c>
      <c r="J942" s="67" t="n">
        <f aca="false">IF(OR($A942="",$I942=0),0,$H942/$I942)</f>
        <v>0</v>
      </c>
      <c r="K942" s="33" t="n">
        <f aca="false">IF($A942="",0,$A942-SUMPRODUCT(MIN(($C$8:$C$1007=$C942)*$A$8:$A$1007+($C$8:$C$1007&lt;&gt;$C942)*100000))+1)</f>
        <v>0</v>
      </c>
      <c r="L942" s="19" t="str">
        <f aca="false">IF($A942="","",IF($J942=0,"Sem registro anterior",IF($K942&lt;21,"Histórico insuficiente",IF($J942&lt;0.8,"Subcarga",IF($J942&lt;=1.3,"Zona ideal",IF($J942&lt;=1.5,"Atenção","Risco elevado"))))))</f>
        <v/>
      </c>
      <c r="M942" s="20"/>
    </row>
    <row r="943" customFormat="false" ht="15" hidden="false" customHeight="false" outlineLevel="0" collapsed="false">
      <c r="A943" s="21"/>
      <c r="B943" s="33" t="n">
        <f aca="false">IF($A943="",0,INT(($A943-Macrociclo!$C$11)/7)+1)</f>
        <v>0</v>
      </c>
      <c r="C943" s="20"/>
      <c r="D943" s="20"/>
      <c r="E943" s="22"/>
      <c r="F943" s="22"/>
      <c r="G943" s="48" t="n">
        <f aca="false">IF(OR($E943="",$F943=""),0,$E943*$F943)</f>
        <v>0</v>
      </c>
      <c r="H943" s="48" t="n">
        <f aca="false">IF($A943="",0,SUMIFS($G$8:$G$1007,$C$8:$C$1007,$C943,$A$8:$A$1007,"&gt;="&amp;$A943-6,$A$8:$A$1007,"&lt;="&amp;$A943))</f>
        <v>0</v>
      </c>
      <c r="I943" s="48" t="n">
        <f aca="false">IF($A943="",0,SUMIFS($G$8:$G$1007,$C$8:$C$1007,$C943,$A$8:$A$1007,"&gt;="&amp;$A943-27,$A$8:$A$1007,"&lt;="&amp;$A943)/4)</f>
        <v>0</v>
      </c>
      <c r="J943" s="67" t="n">
        <f aca="false">IF(OR($A943="",$I943=0),0,$H943/$I943)</f>
        <v>0</v>
      </c>
      <c r="K943" s="33" t="n">
        <f aca="false">IF($A943="",0,$A943-SUMPRODUCT(MIN(($C$8:$C$1007=$C943)*$A$8:$A$1007+($C$8:$C$1007&lt;&gt;$C943)*100000))+1)</f>
        <v>0</v>
      </c>
      <c r="L943" s="19" t="str">
        <f aca="false">IF($A943="","",IF($J943=0,"Sem registro anterior",IF($K943&lt;21,"Histórico insuficiente",IF($J943&lt;0.8,"Subcarga",IF($J943&lt;=1.3,"Zona ideal",IF($J943&lt;=1.5,"Atenção","Risco elevado"))))))</f>
        <v/>
      </c>
      <c r="M943" s="20"/>
    </row>
    <row r="944" customFormat="false" ht="15" hidden="false" customHeight="false" outlineLevel="0" collapsed="false">
      <c r="A944" s="21"/>
      <c r="B944" s="33" t="n">
        <f aca="false">IF($A944="",0,INT(($A944-Macrociclo!$C$11)/7)+1)</f>
        <v>0</v>
      </c>
      <c r="C944" s="20"/>
      <c r="D944" s="20"/>
      <c r="E944" s="22"/>
      <c r="F944" s="22"/>
      <c r="G944" s="48" t="n">
        <f aca="false">IF(OR($E944="",$F944=""),0,$E944*$F944)</f>
        <v>0</v>
      </c>
      <c r="H944" s="48" t="n">
        <f aca="false">IF($A944="",0,SUMIFS($G$8:$G$1007,$C$8:$C$1007,$C944,$A$8:$A$1007,"&gt;="&amp;$A944-6,$A$8:$A$1007,"&lt;="&amp;$A944))</f>
        <v>0</v>
      </c>
      <c r="I944" s="48" t="n">
        <f aca="false">IF($A944="",0,SUMIFS($G$8:$G$1007,$C$8:$C$1007,$C944,$A$8:$A$1007,"&gt;="&amp;$A944-27,$A$8:$A$1007,"&lt;="&amp;$A944)/4)</f>
        <v>0</v>
      </c>
      <c r="J944" s="67" t="n">
        <f aca="false">IF(OR($A944="",$I944=0),0,$H944/$I944)</f>
        <v>0</v>
      </c>
      <c r="K944" s="33" t="n">
        <f aca="false">IF($A944="",0,$A944-SUMPRODUCT(MIN(($C$8:$C$1007=$C944)*$A$8:$A$1007+($C$8:$C$1007&lt;&gt;$C944)*100000))+1)</f>
        <v>0</v>
      </c>
      <c r="L944" s="19" t="str">
        <f aca="false">IF($A944="","",IF($J944=0,"Sem registro anterior",IF($K944&lt;21,"Histórico insuficiente",IF($J944&lt;0.8,"Subcarga",IF($J944&lt;=1.3,"Zona ideal",IF($J944&lt;=1.5,"Atenção","Risco elevado"))))))</f>
        <v/>
      </c>
      <c r="M944" s="20"/>
    </row>
    <row r="945" customFormat="false" ht="15" hidden="false" customHeight="false" outlineLevel="0" collapsed="false">
      <c r="A945" s="21"/>
      <c r="B945" s="33" t="n">
        <f aca="false">IF($A945="",0,INT(($A945-Macrociclo!$C$11)/7)+1)</f>
        <v>0</v>
      </c>
      <c r="C945" s="20"/>
      <c r="D945" s="20"/>
      <c r="E945" s="22"/>
      <c r="F945" s="22"/>
      <c r="G945" s="48" t="n">
        <f aca="false">IF(OR($E945="",$F945=""),0,$E945*$F945)</f>
        <v>0</v>
      </c>
      <c r="H945" s="48" t="n">
        <f aca="false">IF($A945="",0,SUMIFS($G$8:$G$1007,$C$8:$C$1007,$C945,$A$8:$A$1007,"&gt;="&amp;$A945-6,$A$8:$A$1007,"&lt;="&amp;$A945))</f>
        <v>0</v>
      </c>
      <c r="I945" s="48" t="n">
        <f aca="false">IF($A945="",0,SUMIFS($G$8:$G$1007,$C$8:$C$1007,$C945,$A$8:$A$1007,"&gt;="&amp;$A945-27,$A$8:$A$1007,"&lt;="&amp;$A945)/4)</f>
        <v>0</v>
      </c>
      <c r="J945" s="67" t="n">
        <f aca="false">IF(OR($A945="",$I945=0),0,$H945/$I945)</f>
        <v>0</v>
      </c>
      <c r="K945" s="33" t="n">
        <f aca="false">IF($A945="",0,$A945-SUMPRODUCT(MIN(($C$8:$C$1007=$C945)*$A$8:$A$1007+($C$8:$C$1007&lt;&gt;$C945)*100000))+1)</f>
        <v>0</v>
      </c>
      <c r="L945" s="19" t="str">
        <f aca="false">IF($A945="","",IF($J945=0,"Sem registro anterior",IF($K945&lt;21,"Histórico insuficiente",IF($J945&lt;0.8,"Subcarga",IF($J945&lt;=1.3,"Zona ideal",IF($J945&lt;=1.5,"Atenção","Risco elevado"))))))</f>
        <v/>
      </c>
      <c r="M945" s="20"/>
    </row>
    <row r="946" customFormat="false" ht="15" hidden="false" customHeight="false" outlineLevel="0" collapsed="false">
      <c r="A946" s="21"/>
      <c r="B946" s="33" t="n">
        <f aca="false">IF($A946="",0,INT(($A946-Macrociclo!$C$11)/7)+1)</f>
        <v>0</v>
      </c>
      <c r="C946" s="20"/>
      <c r="D946" s="20"/>
      <c r="E946" s="22"/>
      <c r="F946" s="22"/>
      <c r="G946" s="48" t="n">
        <f aca="false">IF(OR($E946="",$F946=""),0,$E946*$F946)</f>
        <v>0</v>
      </c>
      <c r="H946" s="48" t="n">
        <f aca="false">IF($A946="",0,SUMIFS($G$8:$G$1007,$C$8:$C$1007,$C946,$A$8:$A$1007,"&gt;="&amp;$A946-6,$A$8:$A$1007,"&lt;="&amp;$A946))</f>
        <v>0</v>
      </c>
      <c r="I946" s="48" t="n">
        <f aca="false">IF($A946="",0,SUMIFS($G$8:$G$1007,$C$8:$C$1007,$C946,$A$8:$A$1007,"&gt;="&amp;$A946-27,$A$8:$A$1007,"&lt;="&amp;$A946)/4)</f>
        <v>0</v>
      </c>
      <c r="J946" s="67" t="n">
        <f aca="false">IF(OR($A946="",$I946=0),0,$H946/$I946)</f>
        <v>0</v>
      </c>
      <c r="K946" s="33" t="n">
        <f aca="false">IF($A946="",0,$A946-SUMPRODUCT(MIN(($C$8:$C$1007=$C946)*$A$8:$A$1007+($C$8:$C$1007&lt;&gt;$C946)*100000))+1)</f>
        <v>0</v>
      </c>
      <c r="L946" s="19" t="str">
        <f aca="false">IF($A946="","",IF($J946=0,"Sem registro anterior",IF($K946&lt;21,"Histórico insuficiente",IF($J946&lt;0.8,"Subcarga",IF($J946&lt;=1.3,"Zona ideal",IF($J946&lt;=1.5,"Atenção","Risco elevado"))))))</f>
        <v/>
      </c>
      <c r="M946" s="20"/>
    </row>
    <row r="947" customFormat="false" ht="15" hidden="false" customHeight="false" outlineLevel="0" collapsed="false">
      <c r="A947" s="21"/>
      <c r="B947" s="33" t="n">
        <f aca="false">IF($A947="",0,INT(($A947-Macrociclo!$C$11)/7)+1)</f>
        <v>0</v>
      </c>
      <c r="C947" s="20"/>
      <c r="D947" s="20"/>
      <c r="E947" s="22"/>
      <c r="F947" s="22"/>
      <c r="G947" s="48" t="n">
        <f aca="false">IF(OR($E947="",$F947=""),0,$E947*$F947)</f>
        <v>0</v>
      </c>
      <c r="H947" s="48" t="n">
        <f aca="false">IF($A947="",0,SUMIFS($G$8:$G$1007,$C$8:$C$1007,$C947,$A$8:$A$1007,"&gt;="&amp;$A947-6,$A$8:$A$1007,"&lt;="&amp;$A947))</f>
        <v>0</v>
      </c>
      <c r="I947" s="48" t="n">
        <f aca="false">IF($A947="",0,SUMIFS($G$8:$G$1007,$C$8:$C$1007,$C947,$A$8:$A$1007,"&gt;="&amp;$A947-27,$A$8:$A$1007,"&lt;="&amp;$A947)/4)</f>
        <v>0</v>
      </c>
      <c r="J947" s="67" t="n">
        <f aca="false">IF(OR($A947="",$I947=0),0,$H947/$I947)</f>
        <v>0</v>
      </c>
      <c r="K947" s="33" t="n">
        <f aca="false">IF($A947="",0,$A947-SUMPRODUCT(MIN(($C$8:$C$1007=$C947)*$A$8:$A$1007+($C$8:$C$1007&lt;&gt;$C947)*100000))+1)</f>
        <v>0</v>
      </c>
      <c r="L947" s="19" t="str">
        <f aca="false">IF($A947="","",IF($J947=0,"Sem registro anterior",IF($K947&lt;21,"Histórico insuficiente",IF($J947&lt;0.8,"Subcarga",IF($J947&lt;=1.3,"Zona ideal",IF($J947&lt;=1.5,"Atenção","Risco elevado"))))))</f>
        <v/>
      </c>
      <c r="M947" s="20"/>
    </row>
    <row r="948" customFormat="false" ht="15" hidden="false" customHeight="false" outlineLevel="0" collapsed="false">
      <c r="A948" s="21"/>
      <c r="B948" s="33" t="n">
        <f aca="false">IF($A948="",0,INT(($A948-Macrociclo!$C$11)/7)+1)</f>
        <v>0</v>
      </c>
      <c r="C948" s="20"/>
      <c r="D948" s="20"/>
      <c r="E948" s="22"/>
      <c r="F948" s="22"/>
      <c r="G948" s="48" t="n">
        <f aca="false">IF(OR($E948="",$F948=""),0,$E948*$F948)</f>
        <v>0</v>
      </c>
      <c r="H948" s="48" t="n">
        <f aca="false">IF($A948="",0,SUMIFS($G$8:$G$1007,$C$8:$C$1007,$C948,$A$8:$A$1007,"&gt;="&amp;$A948-6,$A$8:$A$1007,"&lt;="&amp;$A948))</f>
        <v>0</v>
      </c>
      <c r="I948" s="48" t="n">
        <f aca="false">IF($A948="",0,SUMIFS($G$8:$G$1007,$C$8:$C$1007,$C948,$A$8:$A$1007,"&gt;="&amp;$A948-27,$A$8:$A$1007,"&lt;="&amp;$A948)/4)</f>
        <v>0</v>
      </c>
      <c r="J948" s="67" t="n">
        <f aca="false">IF(OR($A948="",$I948=0),0,$H948/$I948)</f>
        <v>0</v>
      </c>
      <c r="K948" s="33" t="n">
        <f aca="false">IF($A948="",0,$A948-SUMPRODUCT(MIN(($C$8:$C$1007=$C948)*$A$8:$A$1007+($C$8:$C$1007&lt;&gt;$C948)*100000))+1)</f>
        <v>0</v>
      </c>
      <c r="L948" s="19" t="str">
        <f aca="false">IF($A948="","",IF($J948=0,"Sem registro anterior",IF($K948&lt;21,"Histórico insuficiente",IF($J948&lt;0.8,"Subcarga",IF($J948&lt;=1.3,"Zona ideal",IF($J948&lt;=1.5,"Atenção","Risco elevado"))))))</f>
        <v/>
      </c>
      <c r="M948" s="20"/>
    </row>
    <row r="949" customFormat="false" ht="15" hidden="false" customHeight="false" outlineLevel="0" collapsed="false">
      <c r="A949" s="21"/>
      <c r="B949" s="33" t="n">
        <f aca="false">IF($A949="",0,INT(($A949-Macrociclo!$C$11)/7)+1)</f>
        <v>0</v>
      </c>
      <c r="C949" s="20"/>
      <c r="D949" s="20"/>
      <c r="E949" s="22"/>
      <c r="F949" s="22"/>
      <c r="G949" s="48" t="n">
        <f aca="false">IF(OR($E949="",$F949=""),0,$E949*$F949)</f>
        <v>0</v>
      </c>
      <c r="H949" s="48" t="n">
        <f aca="false">IF($A949="",0,SUMIFS($G$8:$G$1007,$C$8:$C$1007,$C949,$A$8:$A$1007,"&gt;="&amp;$A949-6,$A$8:$A$1007,"&lt;="&amp;$A949))</f>
        <v>0</v>
      </c>
      <c r="I949" s="48" t="n">
        <f aca="false">IF($A949="",0,SUMIFS($G$8:$G$1007,$C$8:$C$1007,$C949,$A$8:$A$1007,"&gt;="&amp;$A949-27,$A$8:$A$1007,"&lt;="&amp;$A949)/4)</f>
        <v>0</v>
      </c>
      <c r="J949" s="67" t="n">
        <f aca="false">IF(OR($A949="",$I949=0),0,$H949/$I949)</f>
        <v>0</v>
      </c>
      <c r="K949" s="33" t="n">
        <f aca="false">IF($A949="",0,$A949-SUMPRODUCT(MIN(($C$8:$C$1007=$C949)*$A$8:$A$1007+($C$8:$C$1007&lt;&gt;$C949)*100000))+1)</f>
        <v>0</v>
      </c>
      <c r="L949" s="19" t="str">
        <f aca="false">IF($A949="","",IF($J949=0,"Sem registro anterior",IF($K949&lt;21,"Histórico insuficiente",IF($J949&lt;0.8,"Subcarga",IF($J949&lt;=1.3,"Zona ideal",IF($J949&lt;=1.5,"Atenção","Risco elevado"))))))</f>
        <v/>
      </c>
      <c r="M949" s="20"/>
    </row>
    <row r="950" customFormat="false" ht="15" hidden="false" customHeight="false" outlineLevel="0" collapsed="false">
      <c r="A950" s="21"/>
      <c r="B950" s="33" t="n">
        <f aca="false">IF($A950="",0,INT(($A950-Macrociclo!$C$11)/7)+1)</f>
        <v>0</v>
      </c>
      <c r="C950" s="20"/>
      <c r="D950" s="20"/>
      <c r="E950" s="22"/>
      <c r="F950" s="22"/>
      <c r="G950" s="48" t="n">
        <f aca="false">IF(OR($E950="",$F950=""),0,$E950*$F950)</f>
        <v>0</v>
      </c>
      <c r="H950" s="48" t="n">
        <f aca="false">IF($A950="",0,SUMIFS($G$8:$G$1007,$C$8:$C$1007,$C950,$A$8:$A$1007,"&gt;="&amp;$A950-6,$A$8:$A$1007,"&lt;="&amp;$A950))</f>
        <v>0</v>
      </c>
      <c r="I950" s="48" t="n">
        <f aca="false">IF($A950="",0,SUMIFS($G$8:$G$1007,$C$8:$C$1007,$C950,$A$8:$A$1007,"&gt;="&amp;$A950-27,$A$8:$A$1007,"&lt;="&amp;$A950)/4)</f>
        <v>0</v>
      </c>
      <c r="J950" s="67" t="n">
        <f aca="false">IF(OR($A950="",$I950=0),0,$H950/$I950)</f>
        <v>0</v>
      </c>
      <c r="K950" s="33" t="n">
        <f aca="false">IF($A950="",0,$A950-SUMPRODUCT(MIN(($C$8:$C$1007=$C950)*$A$8:$A$1007+($C$8:$C$1007&lt;&gt;$C950)*100000))+1)</f>
        <v>0</v>
      </c>
      <c r="L950" s="19" t="str">
        <f aca="false">IF($A950="","",IF($J950=0,"Sem registro anterior",IF($K950&lt;21,"Histórico insuficiente",IF($J950&lt;0.8,"Subcarga",IF($J950&lt;=1.3,"Zona ideal",IF($J950&lt;=1.5,"Atenção","Risco elevado"))))))</f>
        <v/>
      </c>
      <c r="M950" s="20"/>
    </row>
    <row r="951" customFormat="false" ht="15" hidden="false" customHeight="false" outlineLevel="0" collapsed="false">
      <c r="A951" s="21"/>
      <c r="B951" s="33" t="n">
        <f aca="false">IF($A951="",0,INT(($A951-Macrociclo!$C$11)/7)+1)</f>
        <v>0</v>
      </c>
      <c r="C951" s="20"/>
      <c r="D951" s="20"/>
      <c r="E951" s="22"/>
      <c r="F951" s="22"/>
      <c r="G951" s="48" t="n">
        <f aca="false">IF(OR($E951="",$F951=""),0,$E951*$F951)</f>
        <v>0</v>
      </c>
      <c r="H951" s="48" t="n">
        <f aca="false">IF($A951="",0,SUMIFS($G$8:$G$1007,$C$8:$C$1007,$C951,$A$8:$A$1007,"&gt;="&amp;$A951-6,$A$8:$A$1007,"&lt;="&amp;$A951))</f>
        <v>0</v>
      </c>
      <c r="I951" s="48" t="n">
        <f aca="false">IF($A951="",0,SUMIFS($G$8:$G$1007,$C$8:$C$1007,$C951,$A$8:$A$1007,"&gt;="&amp;$A951-27,$A$8:$A$1007,"&lt;="&amp;$A951)/4)</f>
        <v>0</v>
      </c>
      <c r="J951" s="67" t="n">
        <f aca="false">IF(OR($A951="",$I951=0),0,$H951/$I951)</f>
        <v>0</v>
      </c>
      <c r="K951" s="33" t="n">
        <f aca="false">IF($A951="",0,$A951-SUMPRODUCT(MIN(($C$8:$C$1007=$C951)*$A$8:$A$1007+($C$8:$C$1007&lt;&gt;$C951)*100000))+1)</f>
        <v>0</v>
      </c>
      <c r="L951" s="19" t="str">
        <f aca="false">IF($A951="","",IF($J951=0,"Sem registro anterior",IF($K951&lt;21,"Histórico insuficiente",IF($J951&lt;0.8,"Subcarga",IF($J951&lt;=1.3,"Zona ideal",IF($J951&lt;=1.5,"Atenção","Risco elevado"))))))</f>
        <v/>
      </c>
      <c r="M951" s="20"/>
    </row>
    <row r="952" customFormat="false" ht="15" hidden="false" customHeight="false" outlineLevel="0" collapsed="false">
      <c r="A952" s="21"/>
      <c r="B952" s="33" t="n">
        <f aca="false">IF($A952="",0,INT(($A952-Macrociclo!$C$11)/7)+1)</f>
        <v>0</v>
      </c>
      <c r="C952" s="20"/>
      <c r="D952" s="20"/>
      <c r="E952" s="22"/>
      <c r="F952" s="22"/>
      <c r="G952" s="48" t="n">
        <f aca="false">IF(OR($E952="",$F952=""),0,$E952*$F952)</f>
        <v>0</v>
      </c>
      <c r="H952" s="48" t="n">
        <f aca="false">IF($A952="",0,SUMIFS($G$8:$G$1007,$C$8:$C$1007,$C952,$A$8:$A$1007,"&gt;="&amp;$A952-6,$A$8:$A$1007,"&lt;="&amp;$A952))</f>
        <v>0</v>
      </c>
      <c r="I952" s="48" t="n">
        <f aca="false">IF($A952="",0,SUMIFS($G$8:$G$1007,$C$8:$C$1007,$C952,$A$8:$A$1007,"&gt;="&amp;$A952-27,$A$8:$A$1007,"&lt;="&amp;$A952)/4)</f>
        <v>0</v>
      </c>
      <c r="J952" s="67" t="n">
        <f aca="false">IF(OR($A952="",$I952=0),0,$H952/$I952)</f>
        <v>0</v>
      </c>
      <c r="K952" s="33" t="n">
        <f aca="false">IF($A952="",0,$A952-SUMPRODUCT(MIN(($C$8:$C$1007=$C952)*$A$8:$A$1007+($C$8:$C$1007&lt;&gt;$C952)*100000))+1)</f>
        <v>0</v>
      </c>
      <c r="L952" s="19" t="str">
        <f aca="false">IF($A952="","",IF($J952=0,"Sem registro anterior",IF($K952&lt;21,"Histórico insuficiente",IF($J952&lt;0.8,"Subcarga",IF($J952&lt;=1.3,"Zona ideal",IF($J952&lt;=1.5,"Atenção","Risco elevado"))))))</f>
        <v/>
      </c>
      <c r="M952" s="20"/>
    </row>
    <row r="953" customFormat="false" ht="15" hidden="false" customHeight="false" outlineLevel="0" collapsed="false">
      <c r="A953" s="21"/>
      <c r="B953" s="33" t="n">
        <f aca="false">IF($A953="",0,INT(($A953-Macrociclo!$C$11)/7)+1)</f>
        <v>0</v>
      </c>
      <c r="C953" s="20"/>
      <c r="D953" s="20"/>
      <c r="E953" s="22"/>
      <c r="F953" s="22"/>
      <c r="G953" s="48" t="n">
        <f aca="false">IF(OR($E953="",$F953=""),0,$E953*$F953)</f>
        <v>0</v>
      </c>
      <c r="H953" s="48" t="n">
        <f aca="false">IF($A953="",0,SUMIFS($G$8:$G$1007,$C$8:$C$1007,$C953,$A$8:$A$1007,"&gt;="&amp;$A953-6,$A$8:$A$1007,"&lt;="&amp;$A953))</f>
        <v>0</v>
      </c>
      <c r="I953" s="48" t="n">
        <f aca="false">IF($A953="",0,SUMIFS($G$8:$G$1007,$C$8:$C$1007,$C953,$A$8:$A$1007,"&gt;="&amp;$A953-27,$A$8:$A$1007,"&lt;="&amp;$A953)/4)</f>
        <v>0</v>
      </c>
      <c r="J953" s="67" t="n">
        <f aca="false">IF(OR($A953="",$I953=0),0,$H953/$I953)</f>
        <v>0</v>
      </c>
      <c r="K953" s="33" t="n">
        <f aca="false">IF($A953="",0,$A953-SUMPRODUCT(MIN(($C$8:$C$1007=$C953)*$A$8:$A$1007+($C$8:$C$1007&lt;&gt;$C953)*100000))+1)</f>
        <v>0</v>
      </c>
      <c r="L953" s="19" t="str">
        <f aca="false">IF($A953="","",IF($J953=0,"Sem registro anterior",IF($K953&lt;21,"Histórico insuficiente",IF($J953&lt;0.8,"Subcarga",IF($J953&lt;=1.3,"Zona ideal",IF($J953&lt;=1.5,"Atenção","Risco elevado"))))))</f>
        <v/>
      </c>
      <c r="M953" s="20"/>
    </row>
    <row r="954" customFormat="false" ht="15" hidden="false" customHeight="false" outlineLevel="0" collapsed="false">
      <c r="A954" s="21"/>
      <c r="B954" s="33" t="n">
        <f aca="false">IF($A954="",0,INT(($A954-Macrociclo!$C$11)/7)+1)</f>
        <v>0</v>
      </c>
      <c r="C954" s="20"/>
      <c r="D954" s="20"/>
      <c r="E954" s="22"/>
      <c r="F954" s="22"/>
      <c r="G954" s="48" t="n">
        <f aca="false">IF(OR($E954="",$F954=""),0,$E954*$F954)</f>
        <v>0</v>
      </c>
      <c r="H954" s="48" t="n">
        <f aca="false">IF($A954="",0,SUMIFS($G$8:$G$1007,$C$8:$C$1007,$C954,$A$8:$A$1007,"&gt;="&amp;$A954-6,$A$8:$A$1007,"&lt;="&amp;$A954))</f>
        <v>0</v>
      </c>
      <c r="I954" s="48" t="n">
        <f aca="false">IF($A954="",0,SUMIFS($G$8:$G$1007,$C$8:$C$1007,$C954,$A$8:$A$1007,"&gt;="&amp;$A954-27,$A$8:$A$1007,"&lt;="&amp;$A954)/4)</f>
        <v>0</v>
      </c>
      <c r="J954" s="67" t="n">
        <f aca="false">IF(OR($A954="",$I954=0),0,$H954/$I954)</f>
        <v>0</v>
      </c>
      <c r="K954" s="33" t="n">
        <f aca="false">IF($A954="",0,$A954-SUMPRODUCT(MIN(($C$8:$C$1007=$C954)*$A$8:$A$1007+($C$8:$C$1007&lt;&gt;$C954)*100000))+1)</f>
        <v>0</v>
      </c>
      <c r="L954" s="19" t="str">
        <f aca="false">IF($A954="","",IF($J954=0,"Sem registro anterior",IF($K954&lt;21,"Histórico insuficiente",IF($J954&lt;0.8,"Subcarga",IF($J954&lt;=1.3,"Zona ideal",IF($J954&lt;=1.5,"Atenção","Risco elevado"))))))</f>
        <v/>
      </c>
      <c r="M954" s="20"/>
    </row>
    <row r="955" customFormat="false" ht="15" hidden="false" customHeight="false" outlineLevel="0" collapsed="false">
      <c r="A955" s="21"/>
      <c r="B955" s="33" t="n">
        <f aca="false">IF($A955="",0,INT(($A955-Macrociclo!$C$11)/7)+1)</f>
        <v>0</v>
      </c>
      <c r="C955" s="20"/>
      <c r="D955" s="20"/>
      <c r="E955" s="22"/>
      <c r="F955" s="22"/>
      <c r="G955" s="48" t="n">
        <f aca="false">IF(OR($E955="",$F955=""),0,$E955*$F955)</f>
        <v>0</v>
      </c>
      <c r="H955" s="48" t="n">
        <f aca="false">IF($A955="",0,SUMIFS($G$8:$G$1007,$C$8:$C$1007,$C955,$A$8:$A$1007,"&gt;="&amp;$A955-6,$A$8:$A$1007,"&lt;="&amp;$A955))</f>
        <v>0</v>
      </c>
      <c r="I955" s="48" t="n">
        <f aca="false">IF($A955="",0,SUMIFS($G$8:$G$1007,$C$8:$C$1007,$C955,$A$8:$A$1007,"&gt;="&amp;$A955-27,$A$8:$A$1007,"&lt;="&amp;$A955)/4)</f>
        <v>0</v>
      </c>
      <c r="J955" s="67" t="n">
        <f aca="false">IF(OR($A955="",$I955=0),0,$H955/$I955)</f>
        <v>0</v>
      </c>
      <c r="K955" s="33" t="n">
        <f aca="false">IF($A955="",0,$A955-SUMPRODUCT(MIN(($C$8:$C$1007=$C955)*$A$8:$A$1007+($C$8:$C$1007&lt;&gt;$C955)*100000))+1)</f>
        <v>0</v>
      </c>
      <c r="L955" s="19" t="str">
        <f aca="false">IF($A955="","",IF($J955=0,"Sem registro anterior",IF($K955&lt;21,"Histórico insuficiente",IF($J955&lt;0.8,"Subcarga",IF($J955&lt;=1.3,"Zona ideal",IF($J955&lt;=1.5,"Atenção","Risco elevado"))))))</f>
        <v/>
      </c>
      <c r="M955" s="20"/>
    </row>
    <row r="956" customFormat="false" ht="15" hidden="false" customHeight="false" outlineLevel="0" collapsed="false">
      <c r="A956" s="21"/>
      <c r="B956" s="33" t="n">
        <f aca="false">IF($A956="",0,INT(($A956-Macrociclo!$C$11)/7)+1)</f>
        <v>0</v>
      </c>
      <c r="C956" s="20"/>
      <c r="D956" s="20"/>
      <c r="E956" s="22"/>
      <c r="F956" s="22"/>
      <c r="G956" s="48" t="n">
        <f aca="false">IF(OR($E956="",$F956=""),0,$E956*$F956)</f>
        <v>0</v>
      </c>
      <c r="H956" s="48" t="n">
        <f aca="false">IF($A956="",0,SUMIFS($G$8:$G$1007,$C$8:$C$1007,$C956,$A$8:$A$1007,"&gt;="&amp;$A956-6,$A$8:$A$1007,"&lt;="&amp;$A956))</f>
        <v>0</v>
      </c>
      <c r="I956" s="48" t="n">
        <f aca="false">IF($A956="",0,SUMIFS($G$8:$G$1007,$C$8:$C$1007,$C956,$A$8:$A$1007,"&gt;="&amp;$A956-27,$A$8:$A$1007,"&lt;="&amp;$A956)/4)</f>
        <v>0</v>
      </c>
      <c r="J956" s="67" t="n">
        <f aca="false">IF(OR($A956="",$I956=0),0,$H956/$I956)</f>
        <v>0</v>
      </c>
      <c r="K956" s="33" t="n">
        <f aca="false">IF($A956="",0,$A956-SUMPRODUCT(MIN(($C$8:$C$1007=$C956)*$A$8:$A$1007+($C$8:$C$1007&lt;&gt;$C956)*100000))+1)</f>
        <v>0</v>
      </c>
      <c r="L956" s="19" t="str">
        <f aca="false">IF($A956="","",IF($J956=0,"Sem registro anterior",IF($K956&lt;21,"Histórico insuficiente",IF($J956&lt;0.8,"Subcarga",IF($J956&lt;=1.3,"Zona ideal",IF($J956&lt;=1.5,"Atenção","Risco elevado"))))))</f>
        <v/>
      </c>
      <c r="M956" s="20"/>
    </row>
    <row r="957" customFormat="false" ht="15" hidden="false" customHeight="false" outlineLevel="0" collapsed="false">
      <c r="A957" s="21"/>
      <c r="B957" s="33" t="n">
        <f aca="false">IF($A957="",0,INT(($A957-Macrociclo!$C$11)/7)+1)</f>
        <v>0</v>
      </c>
      <c r="C957" s="20"/>
      <c r="D957" s="20"/>
      <c r="E957" s="22"/>
      <c r="F957" s="22"/>
      <c r="G957" s="48" t="n">
        <f aca="false">IF(OR($E957="",$F957=""),0,$E957*$F957)</f>
        <v>0</v>
      </c>
      <c r="H957" s="48" t="n">
        <f aca="false">IF($A957="",0,SUMIFS($G$8:$G$1007,$C$8:$C$1007,$C957,$A$8:$A$1007,"&gt;="&amp;$A957-6,$A$8:$A$1007,"&lt;="&amp;$A957))</f>
        <v>0</v>
      </c>
      <c r="I957" s="48" t="n">
        <f aca="false">IF($A957="",0,SUMIFS($G$8:$G$1007,$C$8:$C$1007,$C957,$A$8:$A$1007,"&gt;="&amp;$A957-27,$A$8:$A$1007,"&lt;="&amp;$A957)/4)</f>
        <v>0</v>
      </c>
      <c r="J957" s="67" t="n">
        <f aca="false">IF(OR($A957="",$I957=0),0,$H957/$I957)</f>
        <v>0</v>
      </c>
      <c r="K957" s="33" t="n">
        <f aca="false">IF($A957="",0,$A957-SUMPRODUCT(MIN(($C$8:$C$1007=$C957)*$A$8:$A$1007+($C$8:$C$1007&lt;&gt;$C957)*100000))+1)</f>
        <v>0</v>
      </c>
      <c r="L957" s="19" t="str">
        <f aca="false">IF($A957="","",IF($J957=0,"Sem registro anterior",IF($K957&lt;21,"Histórico insuficiente",IF($J957&lt;0.8,"Subcarga",IF($J957&lt;=1.3,"Zona ideal",IF($J957&lt;=1.5,"Atenção","Risco elevado"))))))</f>
        <v/>
      </c>
      <c r="M957" s="20"/>
    </row>
    <row r="958" customFormat="false" ht="15" hidden="false" customHeight="false" outlineLevel="0" collapsed="false">
      <c r="A958" s="21"/>
      <c r="B958" s="33" t="n">
        <f aca="false">IF($A958="",0,INT(($A958-Macrociclo!$C$11)/7)+1)</f>
        <v>0</v>
      </c>
      <c r="C958" s="20"/>
      <c r="D958" s="20"/>
      <c r="E958" s="22"/>
      <c r="F958" s="22"/>
      <c r="G958" s="48" t="n">
        <f aca="false">IF(OR($E958="",$F958=""),0,$E958*$F958)</f>
        <v>0</v>
      </c>
      <c r="H958" s="48" t="n">
        <f aca="false">IF($A958="",0,SUMIFS($G$8:$G$1007,$C$8:$C$1007,$C958,$A$8:$A$1007,"&gt;="&amp;$A958-6,$A$8:$A$1007,"&lt;="&amp;$A958))</f>
        <v>0</v>
      </c>
      <c r="I958" s="48" t="n">
        <f aca="false">IF($A958="",0,SUMIFS($G$8:$G$1007,$C$8:$C$1007,$C958,$A$8:$A$1007,"&gt;="&amp;$A958-27,$A$8:$A$1007,"&lt;="&amp;$A958)/4)</f>
        <v>0</v>
      </c>
      <c r="J958" s="67" t="n">
        <f aca="false">IF(OR($A958="",$I958=0),0,$H958/$I958)</f>
        <v>0</v>
      </c>
      <c r="K958" s="33" t="n">
        <f aca="false">IF($A958="",0,$A958-SUMPRODUCT(MIN(($C$8:$C$1007=$C958)*$A$8:$A$1007+($C$8:$C$1007&lt;&gt;$C958)*100000))+1)</f>
        <v>0</v>
      </c>
      <c r="L958" s="19" t="str">
        <f aca="false">IF($A958="","",IF($J958=0,"Sem registro anterior",IF($K958&lt;21,"Histórico insuficiente",IF($J958&lt;0.8,"Subcarga",IF($J958&lt;=1.3,"Zona ideal",IF($J958&lt;=1.5,"Atenção","Risco elevado"))))))</f>
        <v/>
      </c>
      <c r="M958" s="20"/>
    </row>
    <row r="959" customFormat="false" ht="15" hidden="false" customHeight="false" outlineLevel="0" collapsed="false">
      <c r="A959" s="21"/>
      <c r="B959" s="33" t="n">
        <f aca="false">IF($A959="",0,INT(($A959-Macrociclo!$C$11)/7)+1)</f>
        <v>0</v>
      </c>
      <c r="C959" s="20"/>
      <c r="D959" s="20"/>
      <c r="E959" s="22"/>
      <c r="F959" s="22"/>
      <c r="G959" s="48" t="n">
        <f aca="false">IF(OR($E959="",$F959=""),0,$E959*$F959)</f>
        <v>0</v>
      </c>
      <c r="H959" s="48" t="n">
        <f aca="false">IF($A959="",0,SUMIFS($G$8:$G$1007,$C$8:$C$1007,$C959,$A$8:$A$1007,"&gt;="&amp;$A959-6,$A$8:$A$1007,"&lt;="&amp;$A959))</f>
        <v>0</v>
      </c>
      <c r="I959" s="48" t="n">
        <f aca="false">IF($A959="",0,SUMIFS($G$8:$G$1007,$C$8:$C$1007,$C959,$A$8:$A$1007,"&gt;="&amp;$A959-27,$A$8:$A$1007,"&lt;="&amp;$A959)/4)</f>
        <v>0</v>
      </c>
      <c r="J959" s="67" t="n">
        <f aca="false">IF(OR($A959="",$I959=0),0,$H959/$I959)</f>
        <v>0</v>
      </c>
      <c r="K959" s="33" t="n">
        <f aca="false">IF($A959="",0,$A959-SUMPRODUCT(MIN(($C$8:$C$1007=$C959)*$A$8:$A$1007+($C$8:$C$1007&lt;&gt;$C959)*100000))+1)</f>
        <v>0</v>
      </c>
      <c r="L959" s="19" t="str">
        <f aca="false">IF($A959="","",IF($J959=0,"Sem registro anterior",IF($K959&lt;21,"Histórico insuficiente",IF($J959&lt;0.8,"Subcarga",IF($J959&lt;=1.3,"Zona ideal",IF($J959&lt;=1.5,"Atenção","Risco elevado"))))))</f>
        <v/>
      </c>
      <c r="M959" s="20"/>
    </row>
    <row r="960" customFormat="false" ht="15" hidden="false" customHeight="false" outlineLevel="0" collapsed="false">
      <c r="A960" s="21"/>
      <c r="B960" s="33" t="n">
        <f aca="false">IF($A960="",0,INT(($A960-Macrociclo!$C$11)/7)+1)</f>
        <v>0</v>
      </c>
      <c r="C960" s="20"/>
      <c r="D960" s="20"/>
      <c r="E960" s="22"/>
      <c r="F960" s="22"/>
      <c r="G960" s="48" t="n">
        <f aca="false">IF(OR($E960="",$F960=""),0,$E960*$F960)</f>
        <v>0</v>
      </c>
      <c r="H960" s="48" t="n">
        <f aca="false">IF($A960="",0,SUMIFS($G$8:$G$1007,$C$8:$C$1007,$C960,$A$8:$A$1007,"&gt;="&amp;$A960-6,$A$8:$A$1007,"&lt;="&amp;$A960))</f>
        <v>0</v>
      </c>
      <c r="I960" s="48" t="n">
        <f aca="false">IF($A960="",0,SUMIFS($G$8:$G$1007,$C$8:$C$1007,$C960,$A$8:$A$1007,"&gt;="&amp;$A960-27,$A$8:$A$1007,"&lt;="&amp;$A960)/4)</f>
        <v>0</v>
      </c>
      <c r="J960" s="67" t="n">
        <f aca="false">IF(OR($A960="",$I960=0),0,$H960/$I960)</f>
        <v>0</v>
      </c>
      <c r="K960" s="33" t="n">
        <f aca="false">IF($A960="",0,$A960-SUMPRODUCT(MIN(($C$8:$C$1007=$C960)*$A$8:$A$1007+($C$8:$C$1007&lt;&gt;$C960)*100000))+1)</f>
        <v>0</v>
      </c>
      <c r="L960" s="19" t="str">
        <f aca="false">IF($A960="","",IF($J960=0,"Sem registro anterior",IF($K960&lt;21,"Histórico insuficiente",IF($J960&lt;0.8,"Subcarga",IF($J960&lt;=1.3,"Zona ideal",IF($J960&lt;=1.5,"Atenção","Risco elevado"))))))</f>
        <v/>
      </c>
      <c r="M960" s="20"/>
    </row>
    <row r="961" customFormat="false" ht="15" hidden="false" customHeight="false" outlineLevel="0" collapsed="false">
      <c r="A961" s="21"/>
      <c r="B961" s="33" t="n">
        <f aca="false">IF($A961="",0,INT(($A961-Macrociclo!$C$11)/7)+1)</f>
        <v>0</v>
      </c>
      <c r="C961" s="20"/>
      <c r="D961" s="20"/>
      <c r="E961" s="22"/>
      <c r="F961" s="22"/>
      <c r="G961" s="48" t="n">
        <f aca="false">IF(OR($E961="",$F961=""),0,$E961*$F961)</f>
        <v>0</v>
      </c>
      <c r="H961" s="48" t="n">
        <f aca="false">IF($A961="",0,SUMIFS($G$8:$G$1007,$C$8:$C$1007,$C961,$A$8:$A$1007,"&gt;="&amp;$A961-6,$A$8:$A$1007,"&lt;="&amp;$A961))</f>
        <v>0</v>
      </c>
      <c r="I961" s="48" t="n">
        <f aca="false">IF($A961="",0,SUMIFS($G$8:$G$1007,$C$8:$C$1007,$C961,$A$8:$A$1007,"&gt;="&amp;$A961-27,$A$8:$A$1007,"&lt;="&amp;$A961)/4)</f>
        <v>0</v>
      </c>
      <c r="J961" s="67" t="n">
        <f aca="false">IF(OR($A961="",$I961=0),0,$H961/$I961)</f>
        <v>0</v>
      </c>
      <c r="K961" s="33" t="n">
        <f aca="false">IF($A961="",0,$A961-SUMPRODUCT(MIN(($C$8:$C$1007=$C961)*$A$8:$A$1007+($C$8:$C$1007&lt;&gt;$C961)*100000))+1)</f>
        <v>0</v>
      </c>
      <c r="L961" s="19" t="str">
        <f aca="false">IF($A961="","",IF($J961=0,"Sem registro anterior",IF($K961&lt;21,"Histórico insuficiente",IF($J961&lt;0.8,"Subcarga",IF($J961&lt;=1.3,"Zona ideal",IF($J961&lt;=1.5,"Atenção","Risco elevado"))))))</f>
        <v/>
      </c>
      <c r="M961" s="20"/>
    </row>
    <row r="962" customFormat="false" ht="15" hidden="false" customHeight="false" outlineLevel="0" collapsed="false">
      <c r="A962" s="21"/>
      <c r="B962" s="33" t="n">
        <f aca="false">IF($A962="",0,INT(($A962-Macrociclo!$C$11)/7)+1)</f>
        <v>0</v>
      </c>
      <c r="C962" s="20"/>
      <c r="D962" s="20"/>
      <c r="E962" s="22"/>
      <c r="F962" s="22"/>
      <c r="G962" s="48" t="n">
        <f aca="false">IF(OR($E962="",$F962=""),0,$E962*$F962)</f>
        <v>0</v>
      </c>
      <c r="H962" s="48" t="n">
        <f aca="false">IF($A962="",0,SUMIFS($G$8:$G$1007,$C$8:$C$1007,$C962,$A$8:$A$1007,"&gt;="&amp;$A962-6,$A$8:$A$1007,"&lt;="&amp;$A962))</f>
        <v>0</v>
      </c>
      <c r="I962" s="48" t="n">
        <f aca="false">IF($A962="",0,SUMIFS($G$8:$G$1007,$C$8:$C$1007,$C962,$A$8:$A$1007,"&gt;="&amp;$A962-27,$A$8:$A$1007,"&lt;="&amp;$A962)/4)</f>
        <v>0</v>
      </c>
      <c r="J962" s="67" t="n">
        <f aca="false">IF(OR($A962="",$I962=0),0,$H962/$I962)</f>
        <v>0</v>
      </c>
      <c r="K962" s="33" t="n">
        <f aca="false">IF($A962="",0,$A962-SUMPRODUCT(MIN(($C$8:$C$1007=$C962)*$A$8:$A$1007+($C$8:$C$1007&lt;&gt;$C962)*100000))+1)</f>
        <v>0</v>
      </c>
      <c r="L962" s="19" t="str">
        <f aca="false">IF($A962="","",IF($J962=0,"Sem registro anterior",IF($K962&lt;21,"Histórico insuficiente",IF($J962&lt;0.8,"Subcarga",IF($J962&lt;=1.3,"Zona ideal",IF($J962&lt;=1.5,"Atenção","Risco elevado"))))))</f>
        <v/>
      </c>
      <c r="M962" s="20"/>
    </row>
    <row r="963" customFormat="false" ht="15" hidden="false" customHeight="false" outlineLevel="0" collapsed="false">
      <c r="A963" s="21"/>
      <c r="B963" s="33" t="n">
        <f aca="false">IF($A963="",0,INT(($A963-Macrociclo!$C$11)/7)+1)</f>
        <v>0</v>
      </c>
      <c r="C963" s="20"/>
      <c r="D963" s="20"/>
      <c r="E963" s="22"/>
      <c r="F963" s="22"/>
      <c r="G963" s="48" t="n">
        <f aca="false">IF(OR($E963="",$F963=""),0,$E963*$F963)</f>
        <v>0</v>
      </c>
      <c r="H963" s="48" t="n">
        <f aca="false">IF($A963="",0,SUMIFS($G$8:$G$1007,$C$8:$C$1007,$C963,$A$8:$A$1007,"&gt;="&amp;$A963-6,$A$8:$A$1007,"&lt;="&amp;$A963))</f>
        <v>0</v>
      </c>
      <c r="I963" s="48" t="n">
        <f aca="false">IF($A963="",0,SUMIFS($G$8:$G$1007,$C$8:$C$1007,$C963,$A$8:$A$1007,"&gt;="&amp;$A963-27,$A$8:$A$1007,"&lt;="&amp;$A963)/4)</f>
        <v>0</v>
      </c>
      <c r="J963" s="67" t="n">
        <f aca="false">IF(OR($A963="",$I963=0),0,$H963/$I963)</f>
        <v>0</v>
      </c>
      <c r="K963" s="33" t="n">
        <f aca="false">IF($A963="",0,$A963-SUMPRODUCT(MIN(($C$8:$C$1007=$C963)*$A$8:$A$1007+($C$8:$C$1007&lt;&gt;$C963)*100000))+1)</f>
        <v>0</v>
      </c>
      <c r="L963" s="19" t="str">
        <f aca="false">IF($A963="","",IF($J963=0,"Sem registro anterior",IF($K963&lt;21,"Histórico insuficiente",IF($J963&lt;0.8,"Subcarga",IF($J963&lt;=1.3,"Zona ideal",IF($J963&lt;=1.5,"Atenção","Risco elevado"))))))</f>
        <v/>
      </c>
      <c r="M963" s="20"/>
    </row>
    <row r="964" customFormat="false" ht="15" hidden="false" customHeight="false" outlineLevel="0" collapsed="false">
      <c r="A964" s="21"/>
      <c r="B964" s="33" t="n">
        <f aca="false">IF($A964="",0,INT(($A964-Macrociclo!$C$11)/7)+1)</f>
        <v>0</v>
      </c>
      <c r="C964" s="20"/>
      <c r="D964" s="20"/>
      <c r="E964" s="22"/>
      <c r="F964" s="22"/>
      <c r="G964" s="48" t="n">
        <f aca="false">IF(OR($E964="",$F964=""),0,$E964*$F964)</f>
        <v>0</v>
      </c>
      <c r="H964" s="48" t="n">
        <f aca="false">IF($A964="",0,SUMIFS($G$8:$G$1007,$C$8:$C$1007,$C964,$A$8:$A$1007,"&gt;="&amp;$A964-6,$A$8:$A$1007,"&lt;="&amp;$A964))</f>
        <v>0</v>
      </c>
      <c r="I964" s="48" t="n">
        <f aca="false">IF($A964="",0,SUMIFS($G$8:$G$1007,$C$8:$C$1007,$C964,$A$8:$A$1007,"&gt;="&amp;$A964-27,$A$8:$A$1007,"&lt;="&amp;$A964)/4)</f>
        <v>0</v>
      </c>
      <c r="J964" s="67" t="n">
        <f aca="false">IF(OR($A964="",$I964=0),0,$H964/$I964)</f>
        <v>0</v>
      </c>
      <c r="K964" s="33" t="n">
        <f aca="false">IF($A964="",0,$A964-SUMPRODUCT(MIN(($C$8:$C$1007=$C964)*$A$8:$A$1007+($C$8:$C$1007&lt;&gt;$C964)*100000))+1)</f>
        <v>0</v>
      </c>
      <c r="L964" s="19" t="str">
        <f aca="false">IF($A964="","",IF($J964=0,"Sem registro anterior",IF($K964&lt;21,"Histórico insuficiente",IF($J964&lt;0.8,"Subcarga",IF($J964&lt;=1.3,"Zona ideal",IF($J964&lt;=1.5,"Atenção","Risco elevado"))))))</f>
        <v/>
      </c>
      <c r="M964" s="20"/>
    </row>
    <row r="965" customFormat="false" ht="15" hidden="false" customHeight="false" outlineLevel="0" collapsed="false">
      <c r="A965" s="21"/>
      <c r="B965" s="33" t="n">
        <f aca="false">IF($A965="",0,INT(($A965-Macrociclo!$C$11)/7)+1)</f>
        <v>0</v>
      </c>
      <c r="C965" s="20"/>
      <c r="D965" s="20"/>
      <c r="E965" s="22"/>
      <c r="F965" s="22"/>
      <c r="G965" s="48" t="n">
        <f aca="false">IF(OR($E965="",$F965=""),0,$E965*$F965)</f>
        <v>0</v>
      </c>
      <c r="H965" s="48" t="n">
        <f aca="false">IF($A965="",0,SUMIFS($G$8:$G$1007,$C$8:$C$1007,$C965,$A$8:$A$1007,"&gt;="&amp;$A965-6,$A$8:$A$1007,"&lt;="&amp;$A965))</f>
        <v>0</v>
      </c>
      <c r="I965" s="48" t="n">
        <f aca="false">IF($A965="",0,SUMIFS($G$8:$G$1007,$C$8:$C$1007,$C965,$A$8:$A$1007,"&gt;="&amp;$A965-27,$A$8:$A$1007,"&lt;="&amp;$A965)/4)</f>
        <v>0</v>
      </c>
      <c r="J965" s="67" t="n">
        <f aca="false">IF(OR($A965="",$I965=0),0,$H965/$I965)</f>
        <v>0</v>
      </c>
      <c r="K965" s="33" t="n">
        <f aca="false">IF($A965="",0,$A965-SUMPRODUCT(MIN(($C$8:$C$1007=$C965)*$A$8:$A$1007+($C$8:$C$1007&lt;&gt;$C965)*100000))+1)</f>
        <v>0</v>
      </c>
      <c r="L965" s="19" t="str">
        <f aca="false">IF($A965="","",IF($J965=0,"Sem registro anterior",IF($K965&lt;21,"Histórico insuficiente",IF($J965&lt;0.8,"Subcarga",IF($J965&lt;=1.3,"Zona ideal",IF($J965&lt;=1.5,"Atenção","Risco elevado"))))))</f>
        <v/>
      </c>
      <c r="M965" s="20"/>
    </row>
    <row r="966" customFormat="false" ht="15" hidden="false" customHeight="false" outlineLevel="0" collapsed="false">
      <c r="A966" s="21"/>
      <c r="B966" s="33" t="n">
        <f aca="false">IF($A966="",0,INT(($A966-Macrociclo!$C$11)/7)+1)</f>
        <v>0</v>
      </c>
      <c r="C966" s="20"/>
      <c r="D966" s="20"/>
      <c r="E966" s="22"/>
      <c r="F966" s="22"/>
      <c r="G966" s="48" t="n">
        <f aca="false">IF(OR($E966="",$F966=""),0,$E966*$F966)</f>
        <v>0</v>
      </c>
      <c r="H966" s="48" t="n">
        <f aca="false">IF($A966="",0,SUMIFS($G$8:$G$1007,$C$8:$C$1007,$C966,$A$8:$A$1007,"&gt;="&amp;$A966-6,$A$8:$A$1007,"&lt;="&amp;$A966))</f>
        <v>0</v>
      </c>
      <c r="I966" s="48" t="n">
        <f aca="false">IF($A966="",0,SUMIFS($G$8:$G$1007,$C$8:$C$1007,$C966,$A$8:$A$1007,"&gt;="&amp;$A966-27,$A$8:$A$1007,"&lt;="&amp;$A966)/4)</f>
        <v>0</v>
      </c>
      <c r="J966" s="67" t="n">
        <f aca="false">IF(OR($A966="",$I966=0),0,$H966/$I966)</f>
        <v>0</v>
      </c>
      <c r="K966" s="33" t="n">
        <f aca="false">IF($A966="",0,$A966-SUMPRODUCT(MIN(($C$8:$C$1007=$C966)*$A$8:$A$1007+($C$8:$C$1007&lt;&gt;$C966)*100000))+1)</f>
        <v>0</v>
      </c>
      <c r="L966" s="19" t="str">
        <f aca="false">IF($A966="","",IF($J966=0,"Sem registro anterior",IF($K966&lt;21,"Histórico insuficiente",IF($J966&lt;0.8,"Subcarga",IF($J966&lt;=1.3,"Zona ideal",IF($J966&lt;=1.5,"Atenção","Risco elevado"))))))</f>
        <v/>
      </c>
      <c r="M966" s="20"/>
    </row>
    <row r="967" customFormat="false" ht="15" hidden="false" customHeight="false" outlineLevel="0" collapsed="false">
      <c r="A967" s="21"/>
      <c r="B967" s="33" t="n">
        <f aca="false">IF($A967="",0,INT(($A967-Macrociclo!$C$11)/7)+1)</f>
        <v>0</v>
      </c>
      <c r="C967" s="20"/>
      <c r="D967" s="20"/>
      <c r="E967" s="22"/>
      <c r="F967" s="22"/>
      <c r="G967" s="48" t="n">
        <f aca="false">IF(OR($E967="",$F967=""),0,$E967*$F967)</f>
        <v>0</v>
      </c>
      <c r="H967" s="48" t="n">
        <f aca="false">IF($A967="",0,SUMIFS($G$8:$G$1007,$C$8:$C$1007,$C967,$A$8:$A$1007,"&gt;="&amp;$A967-6,$A$8:$A$1007,"&lt;="&amp;$A967))</f>
        <v>0</v>
      </c>
      <c r="I967" s="48" t="n">
        <f aca="false">IF($A967="",0,SUMIFS($G$8:$G$1007,$C$8:$C$1007,$C967,$A$8:$A$1007,"&gt;="&amp;$A967-27,$A$8:$A$1007,"&lt;="&amp;$A967)/4)</f>
        <v>0</v>
      </c>
      <c r="J967" s="67" t="n">
        <f aca="false">IF(OR($A967="",$I967=0),0,$H967/$I967)</f>
        <v>0</v>
      </c>
      <c r="K967" s="33" t="n">
        <f aca="false">IF($A967="",0,$A967-SUMPRODUCT(MIN(($C$8:$C$1007=$C967)*$A$8:$A$1007+($C$8:$C$1007&lt;&gt;$C967)*100000))+1)</f>
        <v>0</v>
      </c>
      <c r="L967" s="19" t="str">
        <f aca="false">IF($A967="","",IF($J967=0,"Sem registro anterior",IF($K967&lt;21,"Histórico insuficiente",IF($J967&lt;0.8,"Subcarga",IF($J967&lt;=1.3,"Zona ideal",IF($J967&lt;=1.5,"Atenção","Risco elevado"))))))</f>
        <v/>
      </c>
      <c r="M967" s="20"/>
    </row>
    <row r="968" customFormat="false" ht="15" hidden="false" customHeight="false" outlineLevel="0" collapsed="false">
      <c r="A968" s="21"/>
      <c r="B968" s="33" t="n">
        <f aca="false">IF($A968="",0,INT(($A968-Macrociclo!$C$11)/7)+1)</f>
        <v>0</v>
      </c>
      <c r="C968" s="20"/>
      <c r="D968" s="20"/>
      <c r="E968" s="22"/>
      <c r="F968" s="22"/>
      <c r="G968" s="48" t="n">
        <f aca="false">IF(OR($E968="",$F968=""),0,$E968*$F968)</f>
        <v>0</v>
      </c>
      <c r="H968" s="48" t="n">
        <f aca="false">IF($A968="",0,SUMIFS($G$8:$G$1007,$C$8:$C$1007,$C968,$A$8:$A$1007,"&gt;="&amp;$A968-6,$A$8:$A$1007,"&lt;="&amp;$A968))</f>
        <v>0</v>
      </c>
      <c r="I968" s="48" t="n">
        <f aca="false">IF($A968="",0,SUMIFS($G$8:$G$1007,$C$8:$C$1007,$C968,$A$8:$A$1007,"&gt;="&amp;$A968-27,$A$8:$A$1007,"&lt;="&amp;$A968)/4)</f>
        <v>0</v>
      </c>
      <c r="J968" s="67" t="n">
        <f aca="false">IF(OR($A968="",$I968=0),0,$H968/$I968)</f>
        <v>0</v>
      </c>
      <c r="K968" s="33" t="n">
        <f aca="false">IF($A968="",0,$A968-SUMPRODUCT(MIN(($C$8:$C$1007=$C968)*$A$8:$A$1007+($C$8:$C$1007&lt;&gt;$C968)*100000))+1)</f>
        <v>0</v>
      </c>
      <c r="L968" s="19" t="str">
        <f aca="false">IF($A968="","",IF($J968=0,"Sem registro anterior",IF($K968&lt;21,"Histórico insuficiente",IF($J968&lt;0.8,"Subcarga",IF($J968&lt;=1.3,"Zona ideal",IF($J968&lt;=1.5,"Atenção","Risco elevado"))))))</f>
        <v/>
      </c>
      <c r="M968" s="20"/>
    </row>
    <row r="969" customFormat="false" ht="15" hidden="false" customHeight="false" outlineLevel="0" collapsed="false">
      <c r="A969" s="21"/>
      <c r="B969" s="33" t="n">
        <f aca="false">IF($A969="",0,INT(($A969-Macrociclo!$C$11)/7)+1)</f>
        <v>0</v>
      </c>
      <c r="C969" s="20"/>
      <c r="D969" s="20"/>
      <c r="E969" s="22"/>
      <c r="F969" s="22"/>
      <c r="G969" s="48" t="n">
        <f aca="false">IF(OR($E969="",$F969=""),0,$E969*$F969)</f>
        <v>0</v>
      </c>
      <c r="H969" s="48" t="n">
        <f aca="false">IF($A969="",0,SUMIFS($G$8:$G$1007,$C$8:$C$1007,$C969,$A$8:$A$1007,"&gt;="&amp;$A969-6,$A$8:$A$1007,"&lt;="&amp;$A969))</f>
        <v>0</v>
      </c>
      <c r="I969" s="48" t="n">
        <f aca="false">IF($A969="",0,SUMIFS($G$8:$G$1007,$C$8:$C$1007,$C969,$A$8:$A$1007,"&gt;="&amp;$A969-27,$A$8:$A$1007,"&lt;="&amp;$A969)/4)</f>
        <v>0</v>
      </c>
      <c r="J969" s="67" t="n">
        <f aca="false">IF(OR($A969="",$I969=0),0,$H969/$I969)</f>
        <v>0</v>
      </c>
      <c r="K969" s="33" t="n">
        <f aca="false">IF($A969="",0,$A969-SUMPRODUCT(MIN(($C$8:$C$1007=$C969)*$A$8:$A$1007+($C$8:$C$1007&lt;&gt;$C969)*100000))+1)</f>
        <v>0</v>
      </c>
      <c r="L969" s="19" t="str">
        <f aca="false">IF($A969="","",IF($J969=0,"Sem registro anterior",IF($K969&lt;21,"Histórico insuficiente",IF($J969&lt;0.8,"Subcarga",IF($J969&lt;=1.3,"Zona ideal",IF($J969&lt;=1.5,"Atenção","Risco elevado"))))))</f>
        <v/>
      </c>
      <c r="M969" s="20"/>
    </row>
    <row r="970" customFormat="false" ht="15" hidden="false" customHeight="false" outlineLevel="0" collapsed="false">
      <c r="A970" s="21"/>
      <c r="B970" s="33" t="n">
        <f aca="false">IF($A970="",0,INT(($A970-Macrociclo!$C$11)/7)+1)</f>
        <v>0</v>
      </c>
      <c r="C970" s="20"/>
      <c r="D970" s="20"/>
      <c r="E970" s="22"/>
      <c r="F970" s="22"/>
      <c r="G970" s="48" t="n">
        <f aca="false">IF(OR($E970="",$F970=""),0,$E970*$F970)</f>
        <v>0</v>
      </c>
      <c r="H970" s="48" t="n">
        <f aca="false">IF($A970="",0,SUMIFS($G$8:$G$1007,$C$8:$C$1007,$C970,$A$8:$A$1007,"&gt;="&amp;$A970-6,$A$8:$A$1007,"&lt;="&amp;$A970))</f>
        <v>0</v>
      </c>
      <c r="I970" s="48" t="n">
        <f aca="false">IF($A970="",0,SUMIFS($G$8:$G$1007,$C$8:$C$1007,$C970,$A$8:$A$1007,"&gt;="&amp;$A970-27,$A$8:$A$1007,"&lt;="&amp;$A970)/4)</f>
        <v>0</v>
      </c>
      <c r="J970" s="67" t="n">
        <f aca="false">IF(OR($A970="",$I970=0),0,$H970/$I970)</f>
        <v>0</v>
      </c>
      <c r="K970" s="33" t="n">
        <f aca="false">IF($A970="",0,$A970-SUMPRODUCT(MIN(($C$8:$C$1007=$C970)*$A$8:$A$1007+($C$8:$C$1007&lt;&gt;$C970)*100000))+1)</f>
        <v>0</v>
      </c>
      <c r="L970" s="19" t="str">
        <f aca="false">IF($A970="","",IF($J970=0,"Sem registro anterior",IF($K970&lt;21,"Histórico insuficiente",IF($J970&lt;0.8,"Subcarga",IF($J970&lt;=1.3,"Zona ideal",IF($J970&lt;=1.5,"Atenção","Risco elevado"))))))</f>
        <v/>
      </c>
      <c r="M970" s="20"/>
    </row>
    <row r="971" customFormat="false" ht="15" hidden="false" customHeight="false" outlineLevel="0" collapsed="false">
      <c r="A971" s="21"/>
      <c r="B971" s="33" t="n">
        <f aca="false">IF($A971="",0,INT(($A971-Macrociclo!$C$11)/7)+1)</f>
        <v>0</v>
      </c>
      <c r="C971" s="20"/>
      <c r="D971" s="20"/>
      <c r="E971" s="22"/>
      <c r="F971" s="22"/>
      <c r="G971" s="48" t="n">
        <f aca="false">IF(OR($E971="",$F971=""),0,$E971*$F971)</f>
        <v>0</v>
      </c>
      <c r="H971" s="48" t="n">
        <f aca="false">IF($A971="",0,SUMIFS($G$8:$G$1007,$C$8:$C$1007,$C971,$A$8:$A$1007,"&gt;="&amp;$A971-6,$A$8:$A$1007,"&lt;="&amp;$A971))</f>
        <v>0</v>
      </c>
      <c r="I971" s="48" t="n">
        <f aca="false">IF($A971="",0,SUMIFS($G$8:$G$1007,$C$8:$C$1007,$C971,$A$8:$A$1007,"&gt;="&amp;$A971-27,$A$8:$A$1007,"&lt;="&amp;$A971)/4)</f>
        <v>0</v>
      </c>
      <c r="J971" s="67" t="n">
        <f aca="false">IF(OR($A971="",$I971=0),0,$H971/$I971)</f>
        <v>0</v>
      </c>
      <c r="K971" s="33" t="n">
        <f aca="false">IF($A971="",0,$A971-SUMPRODUCT(MIN(($C$8:$C$1007=$C971)*$A$8:$A$1007+($C$8:$C$1007&lt;&gt;$C971)*100000))+1)</f>
        <v>0</v>
      </c>
      <c r="L971" s="19" t="str">
        <f aca="false">IF($A971="","",IF($J971=0,"Sem registro anterior",IF($K971&lt;21,"Histórico insuficiente",IF($J971&lt;0.8,"Subcarga",IF($J971&lt;=1.3,"Zona ideal",IF($J971&lt;=1.5,"Atenção","Risco elevado"))))))</f>
        <v/>
      </c>
      <c r="M971" s="20"/>
    </row>
    <row r="972" customFormat="false" ht="15" hidden="false" customHeight="false" outlineLevel="0" collapsed="false">
      <c r="A972" s="21"/>
      <c r="B972" s="33" t="n">
        <f aca="false">IF($A972="",0,INT(($A972-Macrociclo!$C$11)/7)+1)</f>
        <v>0</v>
      </c>
      <c r="C972" s="20"/>
      <c r="D972" s="20"/>
      <c r="E972" s="22"/>
      <c r="F972" s="22"/>
      <c r="G972" s="48" t="n">
        <f aca="false">IF(OR($E972="",$F972=""),0,$E972*$F972)</f>
        <v>0</v>
      </c>
      <c r="H972" s="48" t="n">
        <f aca="false">IF($A972="",0,SUMIFS($G$8:$G$1007,$C$8:$C$1007,$C972,$A$8:$A$1007,"&gt;="&amp;$A972-6,$A$8:$A$1007,"&lt;="&amp;$A972))</f>
        <v>0</v>
      </c>
      <c r="I972" s="48" t="n">
        <f aca="false">IF($A972="",0,SUMIFS($G$8:$G$1007,$C$8:$C$1007,$C972,$A$8:$A$1007,"&gt;="&amp;$A972-27,$A$8:$A$1007,"&lt;="&amp;$A972)/4)</f>
        <v>0</v>
      </c>
      <c r="J972" s="67" t="n">
        <f aca="false">IF(OR($A972="",$I972=0),0,$H972/$I972)</f>
        <v>0</v>
      </c>
      <c r="K972" s="33" t="n">
        <f aca="false">IF($A972="",0,$A972-SUMPRODUCT(MIN(($C$8:$C$1007=$C972)*$A$8:$A$1007+($C$8:$C$1007&lt;&gt;$C972)*100000))+1)</f>
        <v>0</v>
      </c>
      <c r="L972" s="19" t="str">
        <f aca="false">IF($A972="","",IF($J972=0,"Sem registro anterior",IF($K972&lt;21,"Histórico insuficiente",IF($J972&lt;0.8,"Subcarga",IF($J972&lt;=1.3,"Zona ideal",IF($J972&lt;=1.5,"Atenção","Risco elevado"))))))</f>
        <v/>
      </c>
      <c r="M972" s="20"/>
    </row>
    <row r="973" customFormat="false" ht="15" hidden="false" customHeight="false" outlineLevel="0" collapsed="false">
      <c r="A973" s="21"/>
      <c r="B973" s="33" t="n">
        <f aca="false">IF($A973="",0,INT(($A973-Macrociclo!$C$11)/7)+1)</f>
        <v>0</v>
      </c>
      <c r="C973" s="20"/>
      <c r="D973" s="20"/>
      <c r="E973" s="22"/>
      <c r="F973" s="22"/>
      <c r="G973" s="48" t="n">
        <f aca="false">IF(OR($E973="",$F973=""),0,$E973*$F973)</f>
        <v>0</v>
      </c>
      <c r="H973" s="48" t="n">
        <f aca="false">IF($A973="",0,SUMIFS($G$8:$G$1007,$C$8:$C$1007,$C973,$A$8:$A$1007,"&gt;="&amp;$A973-6,$A$8:$A$1007,"&lt;="&amp;$A973))</f>
        <v>0</v>
      </c>
      <c r="I973" s="48" t="n">
        <f aca="false">IF($A973="",0,SUMIFS($G$8:$G$1007,$C$8:$C$1007,$C973,$A$8:$A$1007,"&gt;="&amp;$A973-27,$A$8:$A$1007,"&lt;="&amp;$A973)/4)</f>
        <v>0</v>
      </c>
      <c r="J973" s="67" t="n">
        <f aca="false">IF(OR($A973="",$I973=0),0,$H973/$I973)</f>
        <v>0</v>
      </c>
      <c r="K973" s="33" t="n">
        <f aca="false">IF($A973="",0,$A973-SUMPRODUCT(MIN(($C$8:$C$1007=$C973)*$A$8:$A$1007+($C$8:$C$1007&lt;&gt;$C973)*100000))+1)</f>
        <v>0</v>
      </c>
      <c r="L973" s="19" t="str">
        <f aca="false">IF($A973="","",IF($J973=0,"Sem registro anterior",IF($K973&lt;21,"Histórico insuficiente",IF($J973&lt;0.8,"Subcarga",IF($J973&lt;=1.3,"Zona ideal",IF($J973&lt;=1.5,"Atenção","Risco elevado"))))))</f>
        <v/>
      </c>
      <c r="M973" s="20"/>
    </row>
    <row r="974" customFormat="false" ht="15" hidden="false" customHeight="false" outlineLevel="0" collapsed="false">
      <c r="A974" s="21"/>
      <c r="B974" s="33" t="n">
        <f aca="false">IF($A974="",0,INT(($A974-Macrociclo!$C$11)/7)+1)</f>
        <v>0</v>
      </c>
      <c r="C974" s="20"/>
      <c r="D974" s="20"/>
      <c r="E974" s="22"/>
      <c r="F974" s="22"/>
      <c r="G974" s="48" t="n">
        <f aca="false">IF(OR($E974="",$F974=""),0,$E974*$F974)</f>
        <v>0</v>
      </c>
      <c r="H974" s="48" t="n">
        <f aca="false">IF($A974="",0,SUMIFS($G$8:$G$1007,$C$8:$C$1007,$C974,$A$8:$A$1007,"&gt;="&amp;$A974-6,$A$8:$A$1007,"&lt;="&amp;$A974))</f>
        <v>0</v>
      </c>
      <c r="I974" s="48" t="n">
        <f aca="false">IF($A974="",0,SUMIFS($G$8:$G$1007,$C$8:$C$1007,$C974,$A$8:$A$1007,"&gt;="&amp;$A974-27,$A$8:$A$1007,"&lt;="&amp;$A974)/4)</f>
        <v>0</v>
      </c>
      <c r="J974" s="67" t="n">
        <f aca="false">IF(OR($A974="",$I974=0),0,$H974/$I974)</f>
        <v>0</v>
      </c>
      <c r="K974" s="33" t="n">
        <f aca="false">IF($A974="",0,$A974-SUMPRODUCT(MIN(($C$8:$C$1007=$C974)*$A$8:$A$1007+($C$8:$C$1007&lt;&gt;$C974)*100000))+1)</f>
        <v>0</v>
      </c>
      <c r="L974" s="19" t="str">
        <f aca="false">IF($A974="","",IF($J974=0,"Sem registro anterior",IF($K974&lt;21,"Histórico insuficiente",IF($J974&lt;0.8,"Subcarga",IF($J974&lt;=1.3,"Zona ideal",IF($J974&lt;=1.5,"Atenção","Risco elevado"))))))</f>
        <v/>
      </c>
      <c r="M974" s="20"/>
    </row>
    <row r="975" customFormat="false" ht="15" hidden="false" customHeight="false" outlineLevel="0" collapsed="false">
      <c r="A975" s="21"/>
      <c r="B975" s="33" t="n">
        <f aca="false">IF($A975="",0,INT(($A975-Macrociclo!$C$11)/7)+1)</f>
        <v>0</v>
      </c>
      <c r="C975" s="20"/>
      <c r="D975" s="20"/>
      <c r="E975" s="22"/>
      <c r="F975" s="22"/>
      <c r="G975" s="48" t="n">
        <f aca="false">IF(OR($E975="",$F975=""),0,$E975*$F975)</f>
        <v>0</v>
      </c>
      <c r="H975" s="48" t="n">
        <f aca="false">IF($A975="",0,SUMIFS($G$8:$G$1007,$C$8:$C$1007,$C975,$A$8:$A$1007,"&gt;="&amp;$A975-6,$A$8:$A$1007,"&lt;="&amp;$A975))</f>
        <v>0</v>
      </c>
      <c r="I975" s="48" t="n">
        <f aca="false">IF($A975="",0,SUMIFS($G$8:$G$1007,$C$8:$C$1007,$C975,$A$8:$A$1007,"&gt;="&amp;$A975-27,$A$8:$A$1007,"&lt;="&amp;$A975)/4)</f>
        <v>0</v>
      </c>
      <c r="J975" s="67" t="n">
        <f aca="false">IF(OR($A975="",$I975=0),0,$H975/$I975)</f>
        <v>0</v>
      </c>
      <c r="K975" s="33" t="n">
        <f aca="false">IF($A975="",0,$A975-SUMPRODUCT(MIN(($C$8:$C$1007=$C975)*$A$8:$A$1007+($C$8:$C$1007&lt;&gt;$C975)*100000))+1)</f>
        <v>0</v>
      </c>
      <c r="L975" s="19" t="str">
        <f aca="false">IF($A975="","",IF($J975=0,"Sem registro anterior",IF($K975&lt;21,"Histórico insuficiente",IF($J975&lt;0.8,"Subcarga",IF($J975&lt;=1.3,"Zona ideal",IF($J975&lt;=1.5,"Atenção","Risco elevado"))))))</f>
        <v/>
      </c>
      <c r="M975" s="20"/>
    </row>
    <row r="976" customFormat="false" ht="15" hidden="false" customHeight="false" outlineLevel="0" collapsed="false">
      <c r="A976" s="21"/>
      <c r="B976" s="33" t="n">
        <f aca="false">IF($A976="",0,INT(($A976-Macrociclo!$C$11)/7)+1)</f>
        <v>0</v>
      </c>
      <c r="C976" s="20"/>
      <c r="D976" s="20"/>
      <c r="E976" s="22"/>
      <c r="F976" s="22"/>
      <c r="G976" s="48" t="n">
        <f aca="false">IF(OR($E976="",$F976=""),0,$E976*$F976)</f>
        <v>0</v>
      </c>
      <c r="H976" s="48" t="n">
        <f aca="false">IF($A976="",0,SUMIFS($G$8:$G$1007,$C$8:$C$1007,$C976,$A$8:$A$1007,"&gt;="&amp;$A976-6,$A$8:$A$1007,"&lt;="&amp;$A976))</f>
        <v>0</v>
      </c>
      <c r="I976" s="48" t="n">
        <f aca="false">IF($A976="",0,SUMIFS($G$8:$G$1007,$C$8:$C$1007,$C976,$A$8:$A$1007,"&gt;="&amp;$A976-27,$A$8:$A$1007,"&lt;="&amp;$A976)/4)</f>
        <v>0</v>
      </c>
      <c r="J976" s="67" t="n">
        <f aca="false">IF(OR($A976="",$I976=0),0,$H976/$I976)</f>
        <v>0</v>
      </c>
      <c r="K976" s="33" t="n">
        <f aca="false">IF($A976="",0,$A976-SUMPRODUCT(MIN(($C$8:$C$1007=$C976)*$A$8:$A$1007+($C$8:$C$1007&lt;&gt;$C976)*100000))+1)</f>
        <v>0</v>
      </c>
      <c r="L976" s="19" t="str">
        <f aca="false">IF($A976="","",IF($J976=0,"Sem registro anterior",IF($K976&lt;21,"Histórico insuficiente",IF($J976&lt;0.8,"Subcarga",IF($J976&lt;=1.3,"Zona ideal",IF($J976&lt;=1.5,"Atenção","Risco elevado"))))))</f>
        <v/>
      </c>
      <c r="M976" s="20"/>
    </row>
    <row r="977" customFormat="false" ht="15" hidden="false" customHeight="false" outlineLevel="0" collapsed="false">
      <c r="A977" s="21"/>
      <c r="B977" s="33" t="n">
        <f aca="false">IF($A977="",0,INT(($A977-Macrociclo!$C$11)/7)+1)</f>
        <v>0</v>
      </c>
      <c r="C977" s="20"/>
      <c r="D977" s="20"/>
      <c r="E977" s="22"/>
      <c r="F977" s="22"/>
      <c r="G977" s="48" t="n">
        <f aca="false">IF(OR($E977="",$F977=""),0,$E977*$F977)</f>
        <v>0</v>
      </c>
      <c r="H977" s="48" t="n">
        <f aca="false">IF($A977="",0,SUMIFS($G$8:$G$1007,$C$8:$C$1007,$C977,$A$8:$A$1007,"&gt;="&amp;$A977-6,$A$8:$A$1007,"&lt;="&amp;$A977))</f>
        <v>0</v>
      </c>
      <c r="I977" s="48" t="n">
        <f aca="false">IF($A977="",0,SUMIFS($G$8:$G$1007,$C$8:$C$1007,$C977,$A$8:$A$1007,"&gt;="&amp;$A977-27,$A$8:$A$1007,"&lt;="&amp;$A977)/4)</f>
        <v>0</v>
      </c>
      <c r="J977" s="67" t="n">
        <f aca="false">IF(OR($A977="",$I977=0),0,$H977/$I977)</f>
        <v>0</v>
      </c>
      <c r="K977" s="33" t="n">
        <f aca="false">IF($A977="",0,$A977-SUMPRODUCT(MIN(($C$8:$C$1007=$C977)*$A$8:$A$1007+($C$8:$C$1007&lt;&gt;$C977)*100000))+1)</f>
        <v>0</v>
      </c>
      <c r="L977" s="19" t="str">
        <f aca="false">IF($A977="","",IF($J977=0,"Sem registro anterior",IF($K977&lt;21,"Histórico insuficiente",IF($J977&lt;0.8,"Subcarga",IF($J977&lt;=1.3,"Zona ideal",IF($J977&lt;=1.5,"Atenção","Risco elevado"))))))</f>
        <v/>
      </c>
      <c r="M977" s="20"/>
    </row>
    <row r="978" customFormat="false" ht="15" hidden="false" customHeight="false" outlineLevel="0" collapsed="false">
      <c r="A978" s="21"/>
      <c r="B978" s="33" t="n">
        <f aca="false">IF($A978="",0,INT(($A978-Macrociclo!$C$11)/7)+1)</f>
        <v>0</v>
      </c>
      <c r="C978" s="20"/>
      <c r="D978" s="20"/>
      <c r="E978" s="22"/>
      <c r="F978" s="22"/>
      <c r="G978" s="48" t="n">
        <f aca="false">IF(OR($E978="",$F978=""),0,$E978*$F978)</f>
        <v>0</v>
      </c>
      <c r="H978" s="48" t="n">
        <f aca="false">IF($A978="",0,SUMIFS($G$8:$G$1007,$C$8:$C$1007,$C978,$A$8:$A$1007,"&gt;="&amp;$A978-6,$A$8:$A$1007,"&lt;="&amp;$A978))</f>
        <v>0</v>
      </c>
      <c r="I978" s="48" t="n">
        <f aca="false">IF($A978="",0,SUMIFS($G$8:$G$1007,$C$8:$C$1007,$C978,$A$8:$A$1007,"&gt;="&amp;$A978-27,$A$8:$A$1007,"&lt;="&amp;$A978)/4)</f>
        <v>0</v>
      </c>
      <c r="J978" s="67" t="n">
        <f aca="false">IF(OR($A978="",$I978=0),0,$H978/$I978)</f>
        <v>0</v>
      </c>
      <c r="K978" s="33" t="n">
        <f aca="false">IF($A978="",0,$A978-SUMPRODUCT(MIN(($C$8:$C$1007=$C978)*$A$8:$A$1007+($C$8:$C$1007&lt;&gt;$C978)*100000))+1)</f>
        <v>0</v>
      </c>
      <c r="L978" s="19" t="str">
        <f aca="false">IF($A978="","",IF($J978=0,"Sem registro anterior",IF($K978&lt;21,"Histórico insuficiente",IF($J978&lt;0.8,"Subcarga",IF($J978&lt;=1.3,"Zona ideal",IF($J978&lt;=1.5,"Atenção","Risco elevado"))))))</f>
        <v/>
      </c>
      <c r="M978" s="20"/>
    </row>
    <row r="979" customFormat="false" ht="15" hidden="false" customHeight="false" outlineLevel="0" collapsed="false">
      <c r="A979" s="21"/>
      <c r="B979" s="33" t="n">
        <f aca="false">IF($A979="",0,INT(($A979-Macrociclo!$C$11)/7)+1)</f>
        <v>0</v>
      </c>
      <c r="C979" s="20"/>
      <c r="D979" s="20"/>
      <c r="E979" s="22"/>
      <c r="F979" s="22"/>
      <c r="G979" s="48" t="n">
        <f aca="false">IF(OR($E979="",$F979=""),0,$E979*$F979)</f>
        <v>0</v>
      </c>
      <c r="H979" s="48" t="n">
        <f aca="false">IF($A979="",0,SUMIFS($G$8:$G$1007,$C$8:$C$1007,$C979,$A$8:$A$1007,"&gt;="&amp;$A979-6,$A$8:$A$1007,"&lt;="&amp;$A979))</f>
        <v>0</v>
      </c>
      <c r="I979" s="48" t="n">
        <f aca="false">IF($A979="",0,SUMIFS($G$8:$G$1007,$C$8:$C$1007,$C979,$A$8:$A$1007,"&gt;="&amp;$A979-27,$A$8:$A$1007,"&lt;="&amp;$A979)/4)</f>
        <v>0</v>
      </c>
      <c r="J979" s="67" t="n">
        <f aca="false">IF(OR($A979="",$I979=0),0,$H979/$I979)</f>
        <v>0</v>
      </c>
      <c r="K979" s="33" t="n">
        <f aca="false">IF($A979="",0,$A979-SUMPRODUCT(MIN(($C$8:$C$1007=$C979)*$A$8:$A$1007+($C$8:$C$1007&lt;&gt;$C979)*100000))+1)</f>
        <v>0</v>
      </c>
      <c r="L979" s="19" t="str">
        <f aca="false">IF($A979="","",IF($J979=0,"Sem registro anterior",IF($K979&lt;21,"Histórico insuficiente",IF($J979&lt;0.8,"Subcarga",IF($J979&lt;=1.3,"Zona ideal",IF($J979&lt;=1.5,"Atenção","Risco elevado"))))))</f>
        <v/>
      </c>
      <c r="M979" s="20"/>
    </row>
    <row r="980" customFormat="false" ht="15" hidden="false" customHeight="false" outlineLevel="0" collapsed="false">
      <c r="A980" s="21"/>
      <c r="B980" s="33" t="n">
        <f aca="false">IF($A980="",0,INT(($A980-Macrociclo!$C$11)/7)+1)</f>
        <v>0</v>
      </c>
      <c r="C980" s="20"/>
      <c r="D980" s="20"/>
      <c r="E980" s="22"/>
      <c r="F980" s="22"/>
      <c r="G980" s="48" t="n">
        <f aca="false">IF(OR($E980="",$F980=""),0,$E980*$F980)</f>
        <v>0</v>
      </c>
      <c r="H980" s="48" t="n">
        <f aca="false">IF($A980="",0,SUMIFS($G$8:$G$1007,$C$8:$C$1007,$C980,$A$8:$A$1007,"&gt;="&amp;$A980-6,$A$8:$A$1007,"&lt;="&amp;$A980))</f>
        <v>0</v>
      </c>
      <c r="I980" s="48" t="n">
        <f aca="false">IF($A980="",0,SUMIFS($G$8:$G$1007,$C$8:$C$1007,$C980,$A$8:$A$1007,"&gt;="&amp;$A980-27,$A$8:$A$1007,"&lt;="&amp;$A980)/4)</f>
        <v>0</v>
      </c>
      <c r="J980" s="67" t="n">
        <f aca="false">IF(OR($A980="",$I980=0),0,$H980/$I980)</f>
        <v>0</v>
      </c>
      <c r="K980" s="33" t="n">
        <f aca="false">IF($A980="",0,$A980-SUMPRODUCT(MIN(($C$8:$C$1007=$C980)*$A$8:$A$1007+($C$8:$C$1007&lt;&gt;$C980)*100000))+1)</f>
        <v>0</v>
      </c>
      <c r="L980" s="19" t="str">
        <f aca="false">IF($A980="","",IF($J980=0,"Sem registro anterior",IF($K980&lt;21,"Histórico insuficiente",IF($J980&lt;0.8,"Subcarga",IF($J980&lt;=1.3,"Zona ideal",IF($J980&lt;=1.5,"Atenção","Risco elevado"))))))</f>
        <v/>
      </c>
      <c r="M980" s="20"/>
    </row>
    <row r="981" customFormat="false" ht="15" hidden="false" customHeight="false" outlineLevel="0" collapsed="false">
      <c r="A981" s="21"/>
      <c r="B981" s="33" t="n">
        <f aca="false">IF($A981="",0,INT(($A981-Macrociclo!$C$11)/7)+1)</f>
        <v>0</v>
      </c>
      <c r="C981" s="20"/>
      <c r="D981" s="20"/>
      <c r="E981" s="22"/>
      <c r="F981" s="22"/>
      <c r="G981" s="48" t="n">
        <f aca="false">IF(OR($E981="",$F981=""),0,$E981*$F981)</f>
        <v>0</v>
      </c>
      <c r="H981" s="48" t="n">
        <f aca="false">IF($A981="",0,SUMIFS($G$8:$G$1007,$C$8:$C$1007,$C981,$A$8:$A$1007,"&gt;="&amp;$A981-6,$A$8:$A$1007,"&lt;="&amp;$A981))</f>
        <v>0</v>
      </c>
      <c r="I981" s="48" t="n">
        <f aca="false">IF($A981="",0,SUMIFS($G$8:$G$1007,$C$8:$C$1007,$C981,$A$8:$A$1007,"&gt;="&amp;$A981-27,$A$8:$A$1007,"&lt;="&amp;$A981)/4)</f>
        <v>0</v>
      </c>
      <c r="J981" s="67" t="n">
        <f aca="false">IF(OR($A981="",$I981=0),0,$H981/$I981)</f>
        <v>0</v>
      </c>
      <c r="K981" s="33" t="n">
        <f aca="false">IF($A981="",0,$A981-SUMPRODUCT(MIN(($C$8:$C$1007=$C981)*$A$8:$A$1007+($C$8:$C$1007&lt;&gt;$C981)*100000))+1)</f>
        <v>0</v>
      </c>
      <c r="L981" s="19" t="str">
        <f aca="false">IF($A981="","",IF($J981=0,"Sem registro anterior",IF($K981&lt;21,"Histórico insuficiente",IF($J981&lt;0.8,"Subcarga",IF($J981&lt;=1.3,"Zona ideal",IF($J981&lt;=1.5,"Atenção","Risco elevado"))))))</f>
        <v/>
      </c>
      <c r="M981" s="20"/>
    </row>
    <row r="982" customFormat="false" ht="15" hidden="false" customHeight="false" outlineLevel="0" collapsed="false">
      <c r="A982" s="21"/>
      <c r="B982" s="33" t="n">
        <f aca="false">IF($A982="",0,INT(($A982-Macrociclo!$C$11)/7)+1)</f>
        <v>0</v>
      </c>
      <c r="C982" s="20"/>
      <c r="D982" s="20"/>
      <c r="E982" s="22"/>
      <c r="F982" s="22"/>
      <c r="G982" s="48" t="n">
        <f aca="false">IF(OR($E982="",$F982=""),0,$E982*$F982)</f>
        <v>0</v>
      </c>
      <c r="H982" s="48" t="n">
        <f aca="false">IF($A982="",0,SUMIFS($G$8:$G$1007,$C$8:$C$1007,$C982,$A$8:$A$1007,"&gt;="&amp;$A982-6,$A$8:$A$1007,"&lt;="&amp;$A982))</f>
        <v>0</v>
      </c>
      <c r="I982" s="48" t="n">
        <f aca="false">IF($A982="",0,SUMIFS($G$8:$G$1007,$C$8:$C$1007,$C982,$A$8:$A$1007,"&gt;="&amp;$A982-27,$A$8:$A$1007,"&lt;="&amp;$A982)/4)</f>
        <v>0</v>
      </c>
      <c r="J982" s="67" t="n">
        <f aca="false">IF(OR($A982="",$I982=0),0,$H982/$I982)</f>
        <v>0</v>
      </c>
      <c r="K982" s="33" t="n">
        <f aca="false">IF($A982="",0,$A982-SUMPRODUCT(MIN(($C$8:$C$1007=$C982)*$A$8:$A$1007+($C$8:$C$1007&lt;&gt;$C982)*100000))+1)</f>
        <v>0</v>
      </c>
      <c r="L982" s="19" t="str">
        <f aca="false">IF($A982="","",IF($J982=0,"Sem registro anterior",IF($K982&lt;21,"Histórico insuficiente",IF($J982&lt;0.8,"Subcarga",IF($J982&lt;=1.3,"Zona ideal",IF($J982&lt;=1.5,"Atenção","Risco elevado"))))))</f>
        <v/>
      </c>
      <c r="M982" s="20"/>
    </row>
    <row r="983" customFormat="false" ht="15" hidden="false" customHeight="false" outlineLevel="0" collapsed="false">
      <c r="A983" s="21"/>
      <c r="B983" s="33" t="n">
        <f aca="false">IF($A983="",0,INT(($A983-Macrociclo!$C$11)/7)+1)</f>
        <v>0</v>
      </c>
      <c r="C983" s="20"/>
      <c r="D983" s="20"/>
      <c r="E983" s="22"/>
      <c r="F983" s="22"/>
      <c r="G983" s="48" t="n">
        <f aca="false">IF(OR($E983="",$F983=""),0,$E983*$F983)</f>
        <v>0</v>
      </c>
      <c r="H983" s="48" t="n">
        <f aca="false">IF($A983="",0,SUMIFS($G$8:$G$1007,$C$8:$C$1007,$C983,$A$8:$A$1007,"&gt;="&amp;$A983-6,$A$8:$A$1007,"&lt;="&amp;$A983))</f>
        <v>0</v>
      </c>
      <c r="I983" s="48" t="n">
        <f aca="false">IF($A983="",0,SUMIFS($G$8:$G$1007,$C$8:$C$1007,$C983,$A$8:$A$1007,"&gt;="&amp;$A983-27,$A$8:$A$1007,"&lt;="&amp;$A983)/4)</f>
        <v>0</v>
      </c>
      <c r="J983" s="67" t="n">
        <f aca="false">IF(OR($A983="",$I983=0),0,$H983/$I983)</f>
        <v>0</v>
      </c>
      <c r="K983" s="33" t="n">
        <f aca="false">IF($A983="",0,$A983-SUMPRODUCT(MIN(($C$8:$C$1007=$C983)*$A$8:$A$1007+($C$8:$C$1007&lt;&gt;$C983)*100000))+1)</f>
        <v>0</v>
      </c>
      <c r="L983" s="19" t="str">
        <f aca="false">IF($A983="","",IF($J983=0,"Sem registro anterior",IF($K983&lt;21,"Histórico insuficiente",IF($J983&lt;0.8,"Subcarga",IF($J983&lt;=1.3,"Zona ideal",IF($J983&lt;=1.5,"Atenção","Risco elevado"))))))</f>
        <v/>
      </c>
      <c r="M983" s="20"/>
    </row>
    <row r="984" customFormat="false" ht="15" hidden="false" customHeight="false" outlineLevel="0" collapsed="false">
      <c r="A984" s="21"/>
      <c r="B984" s="33" t="n">
        <f aca="false">IF($A984="",0,INT(($A984-Macrociclo!$C$11)/7)+1)</f>
        <v>0</v>
      </c>
      <c r="C984" s="20"/>
      <c r="D984" s="20"/>
      <c r="E984" s="22"/>
      <c r="F984" s="22"/>
      <c r="G984" s="48" t="n">
        <f aca="false">IF(OR($E984="",$F984=""),0,$E984*$F984)</f>
        <v>0</v>
      </c>
      <c r="H984" s="48" t="n">
        <f aca="false">IF($A984="",0,SUMIFS($G$8:$G$1007,$C$8:$C$1007,$C984,$A$8:$A$1007,"&gt;="&amp;$A984-6,$A$8:$A$1007,"&lt;="&amp;$A984))</f>
        <v>0</v>
      </c>
      <c r="I984" s="48" t="n">
        <f aca="false">IF($A984="",0,SUMIFS($G$8:$G$1007,$C$8:$C$1007,$C984,$A$8:$A$1007,"&gt;="&amp;$A984-27,$A$8:$A$1007,"&lt;="&amp;$A984)/4)</f>
        <v>0</v>
      </c>
      <c r="J984" s="67" t="n">
        <f aca="false">IF(OR($A984="",$I984=0),0,$H984/$I984)</f>
        <v>0</v>
      </c>
      <c r="K984" s="33" t="n">
        <f aca="false">IF($A984="",0,$A984-SUMPRODUCT(MIN(($C$8:$C$1007=$C984)*$A$8:$A$1007+($C$8:$C$1007&lt;&gt;$C984)*100000))+1)</f>
        <v>0</v>
      </c>
      <c r="L984" s="19" t="str">
        <f aca="false">IF($A984="","",IF($J984=0,"Sem registro anterior",IF($K984&lt;21,"Histórico insuficiente",IF($J984&lt;0.8,"Subcarga",IF($J984&lt;=1.3,"Zona ideal",IF($J984&lt;=1.5,"Atenção","Risco elevado"))))))</f>
        <v/>
      </c>
      <c r="M984" s="20"/>
    </row>
    <row r="985" customFormat="false" ht="15" hidden="false" customHeight="false" outlineLevel="0" collapsed="false">
      <c r="A985" s="21"/>
      <c r="B985" s="33" t="n">
        <f aca="false">IF($A985="",0,INT(($A985-Macrociclo!$C$11)/7)+1)</f>
        <v>0</v>
      </c>
      <c r="C985" s="20"/>
      <c r="D985" s="20"/>
      <c r="E985" s="22"/>
      <c r="F985" s="22"/>
      <c r="G985" s="48" t="n">
        <f aca="false">IF(OR($E985="",$F985=""),0,$E985*$F985)</f>
        <v>0</v>
      </c>
      <c r="H985" s="48" t="n">
        <f aca="false">IF($A985="",0,SUMIFS($G$8:$G$1007,$C$8:$C$1007,$C985,$A$8:$A$1007,"&gt;="&amp;$A985-6,$A$8:$A$1007,"&lt;="&amp;$A985))</f>
        <v>0</v>
      </c>
      <c r="I985" s="48" t="n">
        <f aca="false">IF($A985="",0,SUMIFS($G$8:$G$1007,$C$8:$C$1007,$C985,$A$8:$A$1007,"&gt;="&amp;$A985-27,$A$8:$A$1007,"&lt;="&amp;$A985)/4)</f>
        <v>0</v>
      </c>
      <c r="J985" s="67" t="n">
        <f aca="false">IF(OR($A985="",$I985=0),0,$H985/$I985)</f>
        <v>0</v>
      </c>
      <c r="K985" s="33" t="n">
        <f aca="false">IF($A985="",0,$A985-SUMPRODUCT(MIN(($C$8:$C$1007=$C985)*$A$8:$A$1007+($C$8:$C$1007&lt;&gt;$C985)*100000))+1)</f>
        <v>0</v>
      </c>
      <c r="L985" s="19" t="str">
        <f aca="false">IF($A985="","",IF($J985=0,"Sem registro anterior",IF($K985&lt;21,"Histórico insuficiente",IF($J985&lt;0.8,"Subcarga",IF($J985&lt;=1.3,"Zona ideal",IF($J985&lt;=1.5,"Atenção","Risco elevado"))))))</f>
        <v/>
      </c>
      <c r="M985" s="20"/>
    </row>
    <row r="986" customFormat="false" ht="15" hidden="false" customHeight="false" outlineLevel="0" collapsed="false">
      <c r="A986" s="21"/>
      <c r="B986" s="33" t="n">
        <f aca="false">IF($A986="",0,INT(($A986-Macrociclo!$C$11)/7)+1)</f>
        <v>0</v>
      </c>
      <c r="C986" s="20"/>
      <c r="D986" s="20"/>
      <c r="E986" s="22"/>
      <c r="F986" s="22"/>
      <c r="G986" s="48" t="n">
        <f aca="false">IF(OR($E986="",$F986=""),0,$E986*$F986)</f>
        <v>0</v>
      </c>
      <c r="H986" s="48" t="n">
        <f aca="false">IF($A986="",0,SUMIFS($G$8:$G$1007,$C$8:$C$1007,$C986,$A$8:$A$1007,"&gt;="&amp;$A986-6,$A$8:$A$1007,"&lt;="&amp;$A986))</f>
        <v>0</v>
      </c>
      <c r="I986" s="48" t="n">
        <f aca="false">IF($A986="",0,SUMIFS($G$8:$G$1007,$C$8:$C$1007,$C986,$A$8:$A$1007,"&gt;="&amp;$A986-27,$A$8:$A$1007,"&lt;="&amp;$A986)/4)</f>
        <v>0</v>
      </c>
      <c r="J986" s="67" t="n">
        <f aca="false">IF(OR($A986="",$I986=0),0,$H986/$I986)</f>
        <v>0</v>
      </c>
      <c r="K986" s="33" t="n">
        <f aca="false">IF($A986="",0,$A986-SUMPRODUCT(MIN(($C$8:$C$1007=$C986)*$A$8:$A$1007+($C$8:$C$1007&lt;&gt;$C986)*100000))+1)</f>
        <v>0</v>
      </c>
      <c r="L986" s="19" t="str">
        <f aca="false">IF($A986="","",IF($J986=0,"Sem registro anterior",IF($K986&lt;21,"Histórico insuficiente",IF($J986&lt;0.8,"Subcarga",IF($J986&lt;=1.3,"Zona ideal",IF($J986&lt;=1.5,"Atenção","Risco elevado"))))))</f>
        <v/>
      </c>
      <c r="M986" s="20"/>
    </row>
    <row r="987" customFormat="false" ht="15" hidden="false" customHeight="false" outlineLevel="0" collapsed="false">
      <c r="A987" s="21"/>
      <c r="B987" s="33" t="n">
        <f aca="false">IF($A987="",0,INT(($A987-Macrociclo!$C$11)/7)+1)</f>
        <v>0</v>
      </c>
      <c r="C987" s="20"/>
      <c r="D987" s="20"/>
      <c r="E987" s="22"/>
      <c r="F987" s="22"/>
      <c r="G987" s="48" t="n">
        <f aca="false">IF(OR($E987="",$F987=""),0,$E987*$F987)</f>
        <v>0</v>
      </c>
      <c r="H987" s="48" t="n">
        <f aca="false">IF($A987="",0,SUMIFS($G$8:$G$1007,$C$8:$C$1007,$C987,$A$8:$A$1007,"&gt;="&amp;$A987-6,$A$8:$A$1007,"&lt;="&amp;$A987))</f>
        <v>0</v>
      </c>
      <c r="I987" s="48" t="n">
        <f aca="false">IF($A987="",0,SUMIFS($G$8:$G$1007,$C$8:$C$1007,$C987,$A$8:$A$1007,"&gt;="&amp;$A987-27,$A$8:$A$1007,"&lt;="&amp;$A987)/4)</f>
        <v>0</v>
      </c>
      <c r="J987" s="67" t="n">
        <f aca="false">IF(OR($A987="",$I987=0),0,$H987/$I987)</f>
        <v>0</v>
      </c>
      <c r="K987" s="33" t="n">
        <f aca="false">IF($A987="",0,$A987-SUMPRODUCT(MIN(($C$8:$C$1007=$C987)*$A$8:$A$1007+($C$8:$C$1007&lt;&gt;$C987)*100000))+1)</f>
        <v>0</v>
      </c>
      <c r="L987" s="19" t="str">
        <f aca="false">IF($A987="","",IF($J987=0,"Sem registro anterior",IF($K987&lt;21,"Histórico insuficiente",IF($J987&lt;0.8,"Subcarga",IF($J987&lt;=1.3,"Zona ideal",IF($J987&lt;=1.5,"Atenção","Risco elevado"))))))</f>
        <v/>
      </c>
      <c r="M987" s="20"/>
    </row>
    <row r="988" customFormat="false" ht="15" hidden="false" customHeight="false" outlineLevel="0" collapsed="false">
      <c r="A988" s="21"/>
      <c r="B988" s="33" t="n">
        <f aca="false">IF($A988="",0,INT(($A988-Macrociclo!$C$11)/7)+1)</f>
        <v>0</v>
      </c>
      <c r="C988" s="20"/>
      <c r="D988" s="20"/>
      <c r="E988" s="22"/>
      <c r="F988" s="22"/>
      <c r="G988" s="48" t="n">
        <f aca="false">IF(OR($E988="",$F988=""),0,$E988*$F988)</f>
        <v>0</v>
      </c>
      <c r="H988" s="48" t="n">
        <f aca="false">IF($A988="",0,SUMIFS($G$8:$G$1007,$C$8:$C$1007,$C988,$A$8:$A$1007,"&gt;="&amp;$A988-6,$A$8:$A$1007,"&lt;="&amp;$A988))</f>
        <v>0</v>
      </c>
      <c r="I988" s="48" t="n">
        <f aca="false">IF($A988="",0,SUMIFS($G$8:$G$1007,$C$8:$C$1007,$C988,$A$8:$A$1007,"&gt;="&amp;$A988-27,$A$8:$A$1007,"&lt;="&amp;$A988)/4)</f>
        <v>0</v>
      </c>
      <c r="J988" s="67" t="n">
        <f aca="false">IF(OR($A988="",$I988=0),0,$H988/$I988)</f>
        <v>0</v>
      </c>
      <c r="K988" s="33" t="n">
        <f aca="false">IF($A988="",0,$A988-SUMPRODUCT(MIN(($C$8:$C$1007=$C988)*$A$8:$A$1007+($C$8:$C$1007&lt;&gt;$C988)*100000))+1)</f>
        <v>0</v>
      </c>
      <c r="L988" s="19" t="str">
        <f aca="false">IF($A988="","",IF($J988=0,"Sem registro anterior",IF($K988&lt;21,"Histórico insuficiente",IF($J988&lt;0.8,"Subcarga",IF($J988&lt;=1.3,"Zona ideal",IF($J988&lt;=1.5,"Atenção","Risco elevado"))))))</f>
        <v/>
      </c>
      <c r="M988" s="20"/>
    </row>
    <row r="989" customFormat="false" ht="15" hidden="false" customHeight="false" outlineLevel="0" collapsed="false">
      <c r="A989" s="21"/>
      <c r="B989" s="33" t="n">
        <f aca="false">IF($A989="",0,INT(($A989-Macrociclo!$C$11)/7)+1)</f>
        <v>0</v>
      </c>
      <c r="C989" s="20"/>
      <c r="D989" s="20"/>
      <c r="E989" s="22"/>
      <c r="F989" s="22"/>
      <c r="G989" s="48" t="n">
        <f aca="false">IF(OR($E989="",$F989=""),0,$E989*$F989)</f>
        <v>0</v>
      </c>
      <c r="H989" s="48" t="n">
        <f aca="false">IF($A989="",0,SUMIFS($G$8:$G$1007,$C$8:$C$1007,$C989,$A$8:$A$1007,"&gt;="&amp;$A989-6,$A$8:$A$1007,"&lt;="&amp;$A989))</f>
        <v>0</v>
      </c>
      <c r="I989" s="48" t="n">
        <f aca="false">IF($A989="",0,SUMIFS($G$8:$G$1007,$C$8:$C$1007,$C989,$A$8:$A$1007,"&gt;="&amp;$A989-27,$A$8:$A$1007,"&lt;="&amp;$A989)/4)</f>
        <v>0</v>
      </c>
      <c r="J989" s="67" t="n">
        <f aca="false">IF(OR($A989="",$I989=0),0,$H989/$I989)</f>
        <v>0</v>
      </c>
      <c r="K989" s="33" t="n">
        <f aca="false">IF($A989="",0,$A989-SUMPRODUCT(MIN(($C$8:$C$1007=$C989)*$A$8:$A$1007+($C$8:$C$1007&lt;&gt;$C989)*100000))+1)</f>
        <v>0</v>
      </c>
      <c r="L989" s="19" t="str">
        <f aca="false">IF($A989="","",IF($J989=0,"Sem registro anterior",IF($K989&lt;21,"Histórico insuficiente",IF($J989&lt;0.8,"Subcarga",IF($J989&lt;=1.3,"Zona ideal",IF($J989&lt;=1.5,"Atenção","Risco elevado"))))))</f>
        <v/>
      </c>
      <c r="M989" s="20"/>
    </row>
    <row r="990" customFormat="false" ht="15" hidden="false" customHeight="false" outlineLevel="0" collapsed="false">
      <c r="A990" s="21"/>
      <c r="B990" s="33" t="n">
        <f aca="false">IF($A990="",0,INT(($A990-Macrociclo!$C$11)/7)+1)</f>
        <v>0</v>
      </c>
      <c r="C990" s="20"/>
      <c r="D990" s="20"/>
      <c r="E990" s="22"/>
      <c r="F990" s="22"/>
      <c r="G990" s="48" t="n">
        <f aca="false">IF(OR($E990="",$F990=""),0,$E990*$F990)</f>
        <v>0</v>
      </c>
      <c r="H990" s="48" t="n">
        <f aca="false">IF($A990="",0,SUMIFS($G$8:$G$1007,$C$8:$C$1007,$C990,$A$8:$A$1007,"&gt;="&amp;$A990-6,$A$8:$A$1007,"&lt;="&amp;$A990))</f>
        <v>0</v>
      </c>
      <c r="I990" s="48" t="n">
        <f aca="false">IF($A990="",0,SUMIFS($G$8:$G$1007,$C$8:$C$1007,$C990,$A$8:$A$1007,"&gt;="&amp;$A990-27,$A$8:$A$1007,"&lt;="&amp;$A990)/4)</f>
        <v>0</v>
      </c>
      <c r="J990" s="67" t="n">
        <f aca="false">IF(OR($A990="",$I990=0),0,$H990/$I990)</f>
        <v>0</v>
      </c>
      <c r="K990" s="33" t="n">
        <f aca="false">IF($A990="",0,$A990-SUMPRODUCT(MIN(($C$8:$C$1007=$C990)*$A$8:$A$1007+($C$8:$C$1007&lt;&gt;$C990)*100000))+1)</f>
        <v>0</v>
      </c>
      <c r="L990" s="19" t="str">
        <f aca="false">IF($A990="","",IF($J990=0,"Sem registro anterior",IF($K990&lt;21,"Histórico insuficiente",IF($J990&lt;0.8,"Subcarga",IF($J990&lt;=1.3,"Zona ideal",IF($J990&lt;=1.5,"Atenção","Risco elevado"))))))</f>
        <v/>
      </c>
      <c r="M990" s="20"/>
    </row>
    <row r="991" customFormat="false" ht="15" hidden="false" customHeight="false" outlineLevel="0" collapsed="false">
      <c r="A991" s="21"/>
      <c r="B991" s="33" t="n">
        <f aca="false">IF($A991="",0,INT(($A991-Macrociclo!$C$11)/7)+1)</f>
        <v>0</v>
      </c>
      <c r="C991" s="20"/>
      <c r="D991" s="20"/>
      <c r="E991" s="22"/>
      <c r="F991" s="22"/>
      <c r="G991" s="48" t="n">
        <f aca="false">IF(OR($E991="",$F991=""),0,$E991*$F991)</f>
        <v>0</v>
      </c>
      <c r="H991" s="48" t="n">
        <f aca="false">IF($A991="",0,SUMIFS($G$8:$G$1007,$C$8:$C$1007,$C991,$A$8:$A$1007,"&gt;="&amp;$A991-6,$A$8:$A$1007,"&lt;="&amp;$A991))</f>
        <v>0</v>
      </c>
      <c r="I991" s="48" t="n">
        <f aca="false">IF($A991="",0,SUMIFS($G$8:$G$1007,$C$8:$C$1007,$C991,$A$8:$A$1007,"&gt;="&amp;$A991-27,$A$8:$A$1007,"&lt;="&amp;$A991)/4)</f>
        <v>0</v>
      </c>
      <c r="J991" s="67" t="n">
        <f aca="false">IF(OR($A991="",$I991=0),0,$H991/$I991)</f>
        <v>0</v>
      </c>
      <c r="K991" s="33" t="n">
        <f aca="false">IF($A991="",0,$A991-SUMPRODUCT(MIN(($C$8:$C$1007=$C991)*$A$8:$A$1007+($C$8:$C$1007&lt;&gt;$C991)*100000))+1)</f>
        <v>0</v>
      </c>
      <c r="L991" s="19" t="str">
        <f aca="false">IF($A991="","",IF($J991=0,"Sem registro anterior",IF($K991&lt;21,"Histórico insuficiente",IF($J991&lt;0.8,"Subcarga",IF($J991&lt;=1.3,"Zona ideal",IF($J991&lt;=1.5,"Atenção","Risco elevado"))))))</f>
        <v/>
      </c>
      <c r="M991" s="20"/>
    </row>
    <row r="992" customFormat="false" ht="15" hidden="false" customHeight="false" outlineLevel="0" collapsed="false">
      <c r="A992" s="21"/>
      <c r="B992" s="33" t="n">
        <f aca="false">IF($A992="",0,INT(($A992-Macrociclo!$C$11)/7)+1)</f>
        <v>0</v>
      </c>
      <c r="C992" s="20"/>
      <c r="D992" s="20"/>
      <c r="E992" s="22"/>
      <c r="F992" s="22"/>
      <c r="G992" s="48" t="n">
        <f aca="false">IF(OR($E992="",$F992=""),0,$E992*$F992)</f>
        <v>0</v>
      </c>
      <c r="H992" s="48" t="n">
        <f aca="false">IF($A992="",0,SUMIFS($G$8:$G$1007,$C$8:$C$1007,$C992,$A$8:$A$1007,"&gt;="&amp;$A992-6,$A$8:$A$1007,"&lt;="&amp;$A992))</f>
        <v>0</v>
      </c>
      <c r="I992" s="48" t="n">
        <f aca="false">IF($A992="",0,SUMIFS($G$8:$G$1007,$C$8:$C$1007,$C992,$A$8:$A$1007,"&gt;="&amp;$A992-27,$A$8:$A$1007,"&lt;="&amp;$A992)/4)</f>
        <v>0</v>
      </c>
      <c r="J992" s="67" t="n">
        <f aca="false">IF(OR($A992="",$I992=0),0,$H992/$I992)</f>
        <v>0</v>
      </c>
      <c r="K992" s="33" t="n">
        <f aca="false">IF($A992="",0,$A992-SUMPRODUCT(MIN(($C$8:$C$1007=$C992)*$A$8:$A$1007+($C$8:$C$1007&lt;&gt;$C992)*100000))+1)</f>
        <v>0</v>
      </c>
      <c r="L992" s="19" t="str">
        <f aca="false">IF($A992="","",IF($J992=0,"Sem registro anterior",IF($K992&lt;21,"Histórico insuficiente",IF($J992&lt;0.8,"Subcarga",IF($J992&lt;=1.3,"Zona ideal",IF($J992&lt;=1.5,"Atenção","Risco elevado"))))))</f>
        <v/>
      </c>
      <c r="M992" s="20"/>
    </row>
    <row r="993" customFormat="false" ht="15" hidden="false" customHeight="false" outlineLevel="0" collapsed="false">
      <c r="A993" s="21"/>
      <c r="B993" s="33" t="n">
        <f aca="false">IF($A993="",0,INT(($A993-Macrociclo!$C$11)/7)+1)</f>
        <v>0</v>
      </c>
      <c r="C993" s="20"/>
      <c r="D993" s="20"/>
      <c r="E993" s="22"/>
      <c r="F993" s="22"/>
      <c r="G993" s="48" t="n">
        <f aca="false">IF(OR($E993="",$F993=""),0,$E993*$F993)</f>
        <v>0</v>
      </c>
      <c r="H993" s="48" t="n">
        <f aca="false">IF($A993="",0,SUMIFS($G$8:$G$1007,$C$8:$C$1007,$C993,$A$8:$A$1007,"&gt;="&amp;$A993-6,$A$8:$A$1007,"&lt;="&amp;$A993))</f>
        <v>0</v>
      </c>
      <c r="I993" s="48" t="n">
        <f aca="false">IF($A993="",0,SUMIFS($G$8:$G$1007,$C$8:$C$1007,$C993,$A$8:$A$1007,"&gt;="&amp;$A993-27,$A$8:$A$1007,"&lt;="&amp;$A993)/4)</f>
        <v>0</v>
      </c>
      <c r="J993" s="67" t="n">
        <f aca="false">IF(OR($A993="",$I993=0),0,$H993/$I993)</f>
        <v>0</v>
      </c>
      <c r="K993" s="33" t="n">
        <f aca="false">IF($A993="",0,$A993-SUMPRODUCT(MIN(($C$8:$C$1007=$C993)*$A$8:$A$1007+($C$8:$C$1007&lt;&gt;$C993)*100000))+1)</f>
        <v>0</v>
      </c>
      <c r="L993" s="19" t="str">
        <f aca="false">IF($A993="","",IF($J993=0,"Sem registro anterior",IF($K993&lt;21,"Histórico insuficiente",IF($J993&lt;0.8,"Subcarga",IF($J993&lt;=1.3,"Zona ideal",IF($J993&lt;=1.5,"Atenção","Risco elevado"))))))</f>
        <v/>
      </c>
      <c r="M993" s="20"/>
    </row>
    <row r="994" customFormat="false" ht="15" hidden="false" customHeight="false" outlineLevel="0" collapsed="false">
      <c r="A994" s="21"/>
      <c r="B994" s="33" t="n">
        <f aca="false">IF($A994="",0,INT(($A994-Macrociclo!$C$11)/7)+1)</f>
        <v>0</v>
      </c>
      <c r="C994" s="20"/>
      <c r="D994" s="20"/>
      <c r="E994" s="22"/>
      <c r="F994" s="22"/>
      <c r="G994" s="48" t="n">
        <f aca="false">IF(OR($E994="",$F994=""),0,$E994*$F994)</f>
        <v>0</v>
      </c>
      <c r="H994" s="48" t="n">
        <f aca="false">IF($A994="",0,SUMIFS($G$8:$G$1007,$C$8:$C$1007,$C994,$A$8:$A$1007,"&gt;="&amp;$A994-6,$A$8:$A$1007,"&lt;="&amp;$A994))</f>
        <v>0</v>
      </c>
      <c r="I994" s="48" t="n">
        <f aca="false">IF($A994="",0,SUMIFS($G$8:$G$1007,$C$8:$C$1007,$C994,$A$8:$A$1007,"&gt;="&amp;$A994-27,$A$8:$A$1007,"&lt;="&amp;$A994)/4)</f>
        <v>0</v>
      </c>
      <c r="J994" s="67" t="n">
        <f aca="false">IF(OR($A994="",$I994=0),0,$H994/$I994)</f>
        <v>0</v>
      </c>
      <c r="K994" s="33" t="n">
        <f aca="false">IF($A994="",0,$A994-SUMPRODUCT(MIN(($C$8:$C$1007=$C994)*$A$8:$A$1007+($C$8:$C$1007&lt;&gt;$C994)*100000))+1)</f>
        <v>0</v>
      </c>
      <c r="L994" s="19" t="str">
        <f aca="false">IF($A994="","",IF($J994=0,"Sem registro anterior",IF($K994&lt;21,"Histórico insuficiente",IF($J994&lt;0.8,"Subcarga",IF($J994&lt;=1.3,"Zona ideal",IF($J994&lt;=1.5,"Atenção","Risco elevado"))))))</f>
        <v/>
      </c>
      <c r="M994" s="20"/>
    </row>
    <row r="995" customFormat="false" ht="15" hidden="false" customHeight="false" outlineLevel="0" collapsed="false">
      <c r="A995" s="21"/>
      <c r="B995" s="33" t="n">
        <f aca="false">IF($A995="",0,INT(($A995-Macrociclo!$C$11)/7)+1)</f>
        <v>0</v>
      </c>
      <c r="C995" s="20"/>
      <c r="D995" s="20"/>
      <c r="E995" s="22"/>
      <c r="F995" s="22"/>
      <c r="G995" s="48" t="n">
        <f aca="false">IF(OR($E995="",$F995=""),0,$E995*$F995)</f>
        <v>0</v>
      </c>
      <c r="H995" s="48" t="n">
        <f aca="false">IF($A995="",0,SUMIFS($G$8:$G$1007,$C$8:$C$1007,$C995,$A$8:$A$1007,"&gt;="&amp;$A995-6,$A$8:$A$1007,"&lt;="&amp;$A995))</f>
        <v>0</v>
      </c>
      <c r="I995" s="48" t="n">
        <f aca="false">IF($A995="",0,SUMIFS($G$8:$G$1007,$C$8:$C$1007,$C995,$A$8:$A$1007,"&gt;="&amp;$A995-27,$A$8:$A$1007,"&lt;="&amp;$A995)/4)</f>
        <v>0</v>
      </c>
      <c r="J995" s="67" t="n">
        <f aca="false">IF(OR($A995="",$I995=0),0,$H995/$I995)</f>
        <v>0</v>
      </c>
      <c r="K995" s="33" t="n">
        <f aca="false">IF($A995="",0,$A995-SUMPRODUCT(MIN(($C$8:$C$1007=$C995)*$A$8:$A$1007+($C$8:$C$1007&lt;&gt;$C995)*100000))+1)</f>
        <v>0</v>
      </c>
      <c r="L995" s="19" t="str">
        <f aca="false">IF($A995="","",IF($J995=0,"Sem registro anterior",IF($K995&lt;21,"Histórico insuficiente",IF($J995&lt;0.8,"Subcarga",IF($J995&lt;=1.3,"Zona ideal",IF($J995&lt;=1.5,"Atenção","Risco elevado"))))))</f>
        <v/>
      </c>
      <c r="M995" s="20"/>
    </row>
    <row r="996" customFormat="false" ht="15" hidden="false" customHeight="false" outlineLevel="0" collapsed="false">
      <c r="A996" s="21"/>
      <c r="B996" s="33" t="n">
        <f aca="false">IF($A996="",0,INT(($A996-Macrociclo!$C$11)/7)+1)</f>
        <v>0</v>
      </c>
      <c r="C996" s="20"/>
      <c r="D996" s="20"/>
      <c r="E996" s="22"/>
      <c r="F996" s="22"/>
      <c r="G996" s="48" t="n">
        <f aca="false">IF(OR($E996="",$F996=""),0,$E996*$F996)</f>
        <v>0</v>
      </c>
      <c r="H996" s="48" t="n">
        <f aca="false">IF($A996="",0,SUMIFS($G$8:$G$1007,$C$8:$C$1007,$C996,$A$8:$A$1007,"&gt;="&amp;$A996-6,$A$8:$A$1007,"&lt;="&amp;$A996))</f>
        <v>0</v>
      </c>
      <c r="I996" s="48" t="n">
        <f aca="false">IF($A996="",0,SUMIFS($G$8:$G$1007,$C$8:$C$1007,$C996,$A$8:$A$1007,"&gt;="&amp;$A996-27,$A$8:$A$1007,"&lt;="&amp;$A996)/4)</f>
        <v>0</v>
      </c>
      <c r="J996" s="67" t="n">
        <f aca="false">IF(OR($A996="",$I996=0),0,$H996/$I996)</f>
        <v>0</v>
      </c>
      <c r="K996" s="33" t="n">
        <f aca="false">IF($A996="",0,$A996-SUMPRODUCT(MIN(($C$8:$C$1007=$C996)*$A$8:$A$1007+($C$8:$C$1007&lt;&gt;$C996)*100000))+1)</f>
        <v>0</v>
      </c>
      <c r="L996" s="19" t="str">
        <f aca="false">IF($A996="","",IF($J996=0,"Sem registro anterior",IF($K996&lt;21,"Histórico insuficiente",IF($J996&lt;0.8,"Subcarga",IF($J996&lt;=1.3,"Zona ideal",IF($J996&lt;=1.5,"Atenção","Risco elevado"))))))</f>
        <v/>
      </c>
      <c r="M996" s="20"/>
    </row>
    <row r="997" customFormat="false" ht="15" hidden="false" customHeight="false" outlineLevel="0" collapsed="false">
      <c r="A997" s="21"/>
      <c r="B997" s="33" t="n">
        <f aca="false">IF($A997="",0,INT(($A997-Macrociclo!$C$11)/7)+1)</f>
        <v>0</v>
      </c>
      <c r="C997" s="20"/>
      <c r="D997" s="20"/>
      <c r="E997" s="22"/>
      <c r="F997" s="22"/>
      <c r="G997" s="48" t="n">
        <f aca="false">IF(OR($E997="",$F997=""),0,$E997*$F997)</f>
        <v>0</v>
      </c>
      <c r="H997" s="48" t="n">
        <f aca="false">IF($A997="",0,SUMIFS($G$8:$G$1007,$C$8:$C$1007,$C997,$A$8:$A$1007,"&gt;="&amp;$A997-6,$A$8:$A$1007,"&lt;="&amp;$A997))</f>
        <v>0</v>
      </c>
      <c r="I997" s="48" t="n">
        <f aca="false">IF($A997="",0,SUMIFS($G$8:$G$1007,$C$8:$C$1007,$C997,$A$8:$A$1007,"&gt;="&amp;$A997-27,$A$8:$A$1007,"&lt;="&amp;$A997)/4)</f>
        <v>0</v>
      </c>
      <c r="J997" s="67" t="n">
        <f aca="false">IF(OR($A997="",$I997=0),0,$H997/$I997)</f>
        <v>0</v>
      </c>
      <c r="K997" s="33" t="n">
        <f aca="false">IF($A997="",0,$A997-SUMPRODUCT(MIN(($C$8:$C$1007=$C997)*$A$8:$A$1007+($C$8:$C$1007&lt;&gt;$C997)*100000))+1)</f>
        <v>0</v>
      </c>
      <c r="L997" s="19" t="str">
        <f aca="false">IF($A997="","",IF($J997=0,"Sem registro anterior",IF($K997&lt;21,"Histórico insuficiente",IF($J997&lt;0.8,"Subcarga",IF($J997&lt;=1.3,"Zona ideal",IF($J997&lt;=1.5,"Atenção","Risco elevado"))))))</f>
        <v/>
      </c>
      <c r="M997" s="20"/>
    </row>
    <row r="998" customFormat="false" ht="15" hidden="false" customHeight="false" outlineLevel="0" collapsed="false">
      <c r="A998" s="21"/>
      <c r="B998" s="33" t="n">
        <f aca="false">IF($A998="",0,INT(($A998-Macrociclo!$C$11)/7)+1)</f>
        <v>0</v>
      </c>
      <c r="C998" s="20"/>
      <c r="D998" s="20"/>
      <c r="E998" s="22"/>
      <c r="F998" s="22"/>
      <c r="G998" s="48" t="n">
        <f aca="false">IF(OR($E998="",$F998=""),0,$E998*$F998)</f>
        <v>0</v>
      </c>
      <c r="H998" s="48" t="n">
        <f aca="false">IF($A998="",0,SUMIFS($G$8:$G$1007,$C$8:$C$1007,$C998,$A$8:$A$1007,"&gt;="&amp;$A998-6,$A$8:$A$1007,"&lt;="&amp;$A998))</f>
        <v>0</v>
      </c>
      <c r="I998" s="48" t="n">
        <f aca="false">IF($A998="",0,SUMIFS($G$8:$G$1007,$C$8:$C$1007,$C998,$A$8:$A$1007,"&gt;="&amp;$A998-27,$A$8:$A$1007,"&lt;="&amp;$A998)/4)</f>
        <v>0</v>
      </c>
      <c r="J998" s="67" t="n">
        <f aca="false">IF(OR($A998="",$I998=0),0,$H998/$I998)</f>
        <v>0</v>
      </c>
      <c r="K998" s="33" t="n">
        <f aca="false">IF($A998="",0,$A998-SUMPRODUCT(MIN(($C$8:$C$1007=$C998)*$A$8:$A$1007+($C$8:$C$1007&lt;&gt;$C998)*100000))+1)</f>
        <v>0</v>
      </c>
      <c r="L998" s="19" t="str">
        <f aca="false">IF($A998="","",IF($J998=0,"Sem registro anterior",IF($K998&lt;21,"Histórico insuficiente",IF($J998&lt;0.8,"Subcarga",IF($J998&lt;=1.3,"Zona ideal",IF($J998&lt;=1.5,"Atenção","Risco elevado"))))))</f>
        <v/>
      </c>
      <c r="M998" s="20"/>
    </row>
    <row r="999" customFormat="false" ht="15" hidden="false" customHeight="false" outlineLevel="0" collapsed="false">
      <c r="A999" s="21"/>
      <c r="B999" s="33" t="n">
        <f aca="false">IF($A999="",0,INT(($A999-Macrociclo!$C$11)/7)+1)</f>
        <v>0</v>
      </c>
      <c r="C999" s="20"/>
      <c r="D999" s="20"/>
      <c r="E999" s="22"/>
      <c r="F999" s="22"/>
      <c r="G999" s="48" t="n">
        <f aca="false">IF(OR($E999="",$F999=""),0,$E999*$F999)</f>
        <v>0</v>
      </c>
      <c r="H999" s="48" t="n">
        <f aca="false">IF($A999="",0,SUMIFS($G$8:$G$1007,$C$8:$C$1007,$C999,$A$8:$A$1007,"&gt;="&amp;$A999-6,$A$8:$A$1007,"&lt;="&amp;$A999))</f>
        <v>0</v>
      </c>
      <c r="I999" s="48" t="n">
        <f aca="false">IF($A999="",0,SUMIFS($G$8:$G$1007,$C$8:$C$1007,$C999,$A$8:$A$1007,"&gt;="&amp;$A999-27,$A$8:$A$1007,"&lt;="&amp;$A999)/4)</f>
        <v>0</v>
      </c>
      <c r="J999" s="67" t="n">
        <f aca="false">IF(OR($A999="",$I999=0),0,$H999/$I999)</f>
        <v>0</v>
      </c>
      <c r="K999" s="33" t="n">
        <f aca="false">IF($A999="",0,$A999-SUMPRODUCT(MIN(($C$8:$C$1007=$C999)*$A$8:$A$1007+($C$8:$C$1007&lt;&gt;$C999)*100000))+1)</f>
        <v>0</v>
      </c>
      <c r="L999" s="19" t="str">
        <f aca="false">IF($A999="","",IF($J999=0,"Sem registro anterior",IF($K999&lt;21,"Histórico insuficiente",IF($J999&lt;0.8,"Subcarga",IF($J999&lt;=1.3,"Zona ideal",IF($J999&lt;=1.5,"Atenção","Risco elevado"))))))</f>
        <v/>
      </c>
      <c r="M999" s="20"/>
    </row>
    <row r="1000" customFormat="false" ht="15" hidden="false" customHeight="false" outlineLevel="0" collapsed="false">
      <c r="A1000" s="21"/>
      <c r="B1000" s="33" t="n">
        <f aca="false">IF($A1000="",0,INT(($A1000-Macrociclo!$C$11)/7)+1)</f>
        <v>0</v>
      </c>
      <c r="C1000" s="20"/>
      <c r="D1000" s="20"/>
      <c r="E1000" s="22"/>
      <c r="F1000" s="22"/>
      <c r="G1000" s="48" t="n">
        <f aca="false">IF(OR($E1000="",$F1000=""),0,$E1000*$F1000)</f>
        <v>0</v>
      </c>
      <c r="H1000" s="48" t="n">
        <f aca="false">IF($A1000="",0,SUMIFS($G$8:$G$1007,$C$8:$C$1007,$C1000,$A$8:$A$1007,"&gt;="&amp;$A1000-6,$A$8:$A$1007,"&lt;="&amp;$A1000))</f>
        <v>0</v>
      </c>
      <c r="I1000" s="48" t="n">
        <f aca="false">IF($A1000="",0,SUMIFS($G$8:$G$1007,$C$8:$C$1007,$C1000,$A$8:$A$1007,"&gt;="&amp;$A1000-27,$A$8:$A$1007,"&lt;="&amp;$A1000)/4)</f>
        <v>0</v>
      </c>
      <c r="J1000" s="67" t="n">
        <f aca="false">IF(OR($A1000="",$I1000=0),0,$H1000/$I1000)</f>
        <v>0</v>
      </c>
      <c r="K1000" s="33" t="n">
        <f aca="false">IF($A1000="",0,$A1000-SUMPRODUCT(MIN(($C$8:$C$1007=$C1000)*$A$8:$A$1007+($C$8:$C$1007&lt;&gt;$C1000)*100000))+1)</f>
        <v>0</v>
      </c>
      <c r="L1000" s="19" t="str">
        <f aca="false">IF($A1000="","",IF($J1000=0,"Sem registro anterior",IF($K1000&lt;21,"Histórico insuficiente",IF($J1000&lt;0.8,"Subcarga",IF($J1000&lt;=1.3,"Zona ideal",IF($J1000&lt;=1.5,"Atenção","Risco elevado"))))))</f>
        <v/>
      </c>
      <c r="M1000" s="20"/>
    </row>
    <row r="1001" customFormat="false" ht="15" hidden="false" customHeight="false" outlineLevel="0" collapsed="false">
      <c r="A1001" s="21"/>
      <c r="B1001" s="33" t="n">
        <f aca="false">IF($A1001="",0,INT(($A1001-Macrociclo!$C$11)/7)+1)</f>
        <v>0</v>
      </c>
      <c r="C1001" s="20"/>
      <c r="D1001" s="20"/>
      <c r="E1001" s="22"/>
      <c r="F1001" s="22"/>
      <c r="G1001" s="48" t="n">
        <f aca="false">IF(OR($E1001="",$F1001=""),0,$E1001*$F1001)</f>
        <v>0</v>
      </c>
      <c r="H1001" s="48" t="n">
        <f aca="false">IF($A1001="",0,SUMIFS($G$8:$G$1007,$C$8:$C$1007,$C1001,$A$8:$A$1007,"&gt;="&amp;$A1001-6,$A$8:$A$1007,"&lt;="&amp;$A1001))</f>
        <v>0</v>
      </c>
      <c r="I1001" s="48" t="n">
        <f aca="false">IF($A1001="",0,SUMIFS($G$8:$G$1007,$C$8:$C$1007,$C1001,$A$8:$A$1007,"&gt;="&amp;$A1001-27,$A$8:$A$1007,"&lt;="&amp;$A1001)/4)</f>
        <v>0</v>
      </c>
      <c r="J1001" s="67" t="n">
        <f aca="false">IF(OR($A1001="",$I1001=0),0,$H1001/$I1001)</f>
        <v>0</v>
      </c>
      <c r="K1001" s="33" t="n">
        <f aca="false">IF($A1001="",0,$A1001-SUMPRODUCT(MIN(($C$8:$C$1007=$C1001)*$A$8:$A$1007+($C$8:$C$1007&lt;&gt;$C1001)*100000))+1)</f>
        <v>0</v>
      </c>
      <c r="L1001" s="19" t="str">
        <f aca="false">IF($A1001="","",IF($J1001=0,"Sem registro anterior",IF($K1001&lt;21,"Histórico insuficiente",IF($J1001&lt;0.8,"Subcarga",IF($J1001&lt;=1.3,"Zona ideal",IF($J1001&lt;=1.5,"Atenção","Risco elevado"))))))</f>
        <v/>
      </c>
      <c r="M1001" s="20"/>
    </row>
    <row r="1002" customFormat="false" ht="15" hidden="false" customHeight="false" outlineLevel="0" collapsed="false">
      <c r="A1002" s="21"/>
      <c r="B1002" s="33" t="n">
        <f aca="false">IF($A1002="",0,INT(($A1002-Macrociclo!$C$11)/7)+1)</f>
        <v>0</v>
      </c>
      <c r="C1002" s="20"/>
      <c r="D1002" s="20"/>
      <c r="E1002" s="22"/>
      <c r="F1002" s="22"/>
      <c r="G1002" s="48" t="n">
        <f aca="false">IF(OR($E1002="",$F1002=""),0,$E1002*$F1002)</f>
        <v>0</v>
      </c>
      <c r="H1002" s="48" t="n">
        <f aca="false">IF($A1002="",0,SUMIFS($G$8:$G$1007,$C$8:$C$1007,$C1002,$A$8:$A$1007,"&gt;="&amp;$A1002-6,$A$8:$A$1007,"&lt;="&amp;$A1002))</f>
        <v>0</v>
      </c>
      <c r="I1002" s="48" t="n">
        <f aca="false">IF($A1002="",0,SUMIFS($G$8:$G$1007,$C$8:$C$1007,$C1002,$A$8:$A$1007,"&gt;="&amp;$A1002-27,$A$8:$A$1007,"&lt;="&amp;$A1002)/4)</f>
        <v>0</v>
      </c>
      <c r="J1002" s="67" t="n">
        <f aca="false">IF(OR($A1002="",$I1002=0),0,$H1002/$I1002)</f>
        <v>0</v>
      </c>
      <c r="K1002" s="33" t="n">
        <f aca="false">IF($A1002="",0,$A1002-SUMPRODUCT(MIN(($C$8:$C$1007=$C1002)*$A$8:$A$1007+($C$8:$C$1007&lt;&gt;$C1002)*100000))+1)</f>
        <v>0</v>
      </c>
      <c r="L1002" s="19" t="str">
        <f aca="false">IF($A1002="","",IF($J1002=0,"Sem registro anterior",IF($K1002&lt;21,"Histórico insuficiente",IF($J1002&lt;0.8,"Subcarga",IF($J1002&lt;=1.3,"Zona ideal",IF($J1002&lt;=1.5,"Atenção","Risco elevado"))))))</f>
        <v/>
      </c>
      <c r="M1002" s="20"/>
    </row>
    <row r="1003" customFormat="false" ht="15" hidden="false" customHeight="false" outlineLevel="0" collapsed="false">
      <c r="A1003" s="21"/>
      <c r="B1003" s="33" t="n">
        <f aca="false">IF($A1003="",0,INT(($A1003-Macrociclo!$C$11)/7)+1)</f>
        <v>0</v>
      </c>
      <c r="C1003" s="20"/>
      <c r="D1003" s="20"/>
      <c r="E1003" s="22"/>
      <c r="F1003" s="22"/>
      <c r="G1003" s="48" t="n">
        <f aca="false">IF(OR($E1003="",$F1003=""),0,$E1003*$F1003)</f>
        <v>0</v>
      </c>
      <c r="H1003" s="48" t="n">
        <f aca="false">IF($A1003="",0,SUMIFS($G$8:$G$1007,$C$8:$C$1007,$C1003,$A$8:$A$1007,"&gt;="&amp;$A1003-6,$A$8:$A$1007,"&lt;="&amp;$A1003))</f>
        <v>0</v>
      </c>
      <c r="I1003" s="48" t="n">
        <f aca="false">IF($A1003="",0,SUMIFS($G$8:$G$1007,$C$8:$C$1007,$C1003,$A$8:$A$1007,"&gt;="&amp;$A1003-27,$A$8:$A$1007,"&lt;="&amp;$A1003)/4)</f>
        <v>0</v>
      </c>
      <c r="J1003" s="67" t="n">
        <f aca="false">IF(OR($A1003="",$I1003=0),0,$H1003/$I1003)</f>
        <v>0</v>
      </c>
      <c r="K1003" s="33" t="n">
        <f aca="false">IF($A1003="",0,$A1003-SUMPRODUCT(MIN(($C$8:$C$1007=$C1003)*$A$8:$A$1007+($C$8:$C$1007&lt;&gt;$C1003)*100000))+1)</f>
        <v>0</v>
      </c>
      <c r="L1003" s="19" t="str">
        <f aca="false">IF($A1003="","",IF($J1003=0,"Sem registro anterior",IF($K1003&lt;21,"Histórico insuficiente",IF($J1003&lt;0.8,"Subcarga",IF($J1003&lt;=1.3,"Zona ideal",IF($J1003&lt;=1.5,"Atenção","Risco elevado"))))))</f>
        <v/>
      </c>
      <c r="M1003" s="20"/>
    </row>
    <row r="1004" customFormat="false" ht="15" hidden="false" customHeight="false" outlineLevel="0" collapsed="false">
      <c r="A1004" s="21"/>
      <c r="B1004" s="33" t="n">
        <f aca="false">IF($A1004="",0,INT(($A1004-Macrociclo!$C$11)/7)+1)</f>
        <v>0</v>
      </c>
      <c r="C1004" s="20"/>
      <c r="D1004" s="20"/>
      <c r="E1004" s="22"/>
      <c r="F1004" s="22"/>
      <c r="G1004" s="48" t="n">
        <f aca="false">IF(OR($E1004="",$F1004=""),0,$E1004*$F1004)</f>
        <v>0</v>
      </c>
      <c r="H1004" s="48" t="n">
        <f aca="false">IF($A1004="",0,SUMIFS($G$8:$G$1007,$C$8:$C$1007,$C1004,$A$8:$A$1007,"&gt;="&amp;$A1004-6,$A$8:$A$1007,"&lt;="&amp;$A1004))</f>
        <v>0</v>
      </c>
      <c r="I1004" s="48" t="n">
        <f aca="false">IF($A1004="",0,SUMIFS($G$8:$G$1007,$C$8:$C$1007,$C1004,$A$8:$A$1007,"&gt;="&amp;$A1004-27,$A$8:$A$1007,"&lt;="&amp;$A1004)/4)</f>
        <v>0</v>
      </c>
      <c r="J1004" s="67" t="n">
        <f aca="false">IF(OR($A1004="",$I1004=0),0,$H1004/$I1004)</f>
        <v>0</v>
      </c>
      <c r="K1004" s="33" t="n">
        <f aca="false">IF($A1004="",0,$A1004-SUMPRODUCT(MIN(($C$8:$C$1007=$C1004)*$A$8:$A$1007+($C$8:$C$1007&lt;&gt;$C1004)*100000))+1)</f>
        <v>0</v>
      </c>
      <c r="L1004" s="19" t="str">
        <f aca="false">IF($A1004="","",IF($J1004=0,"Sem registro anterior",IF($K1004&lt;21,"Histórico insuficiente",IF($J1004&lt;0.8,"Subcarga",IF($J1004&lt;=1.3,"Zona ideal",IF($J1004&lt;=1.5,"Atenção","Risco elevado"))))))</f>
        <v/>
      </c>
      <c r="M1004" s="20"/>
    </row>
    <row r="1005" customFormat="false" ht="15" hidden="false" customHeight="false" outlineLevel="0" collapsed="false">
      <c r="A1005" s="21"/>
      <c r="B1005" s="33" t="n">
        <f aca="false">IF($A1005="",0,INT(($A1005-Macrociclo!$C$11)/7)+1)</f>
        <v>0</v>
      </c>
      <c r="C1005" s="20"/>
      <c r="D1005" s="20"/>
      <c r="E1005" s="22"/>
      <c r="F1005" s="22"/>
      <c r="G1005" s="48" t="n">
        <f aca="false">IF(OR($E1005="",$F1005=""),0,$E1005*$F1005)</f>
        <v>0</v>
      </c>
      <c r="H1005" s="48" t="n">
        <f aca="false">IF($A1005="",0,SUMIFS($G$8:$G$1007,$C$8:$C$1007,$C1005,$A$8:$A$1007,"&gt;="&amp;$A1005-6,$A$8:$A$1007,"&lt;="&amp;$A1005))</f>
        <v>0</v>
      </c>
      <c r="I1005" s="48" t="n">
        <f aca="false">IF($A1005="",0,SUMIFS($G$8:$G$1007,$C$8:$C$1007,$C1005,$A$8:$A$1007,"&gt;="&amp;$A1005-27,$A$8:$A$1007,"&lt;="&amp;$A1005)/4)</f>
        <v>0</v>
      </c>
      <c r="J1005" s="67" t="n">
        <f aca="false">IF(OR($A1005="",$I1005=0),0,$H1005/$I1005)</f>
        <v>0</v>
      </c>
      <c r="K1005" s="33" t="n">
        <f aca="false">IF($A1005="",0,$A1005-SUMPRODUCT(MIN(($C$8:$C$1007=$C1005)*$A$8:$A$1007+($C$8:$C$1007&lt;&gt;$C1005)*100000))+1)</f>
        <v>0</v>
      </c>
      <c r="L1005" s="19" t="str">
        <f aca="false">IF($A1005="","",IF($J1005=0,"Sem registro anterior",IF($K1005&lt;21,"Histórico insuficiente",IF($J1005&lt;0.8,"Subcarga",IF($J1005&lt;=1.3,"Zona ideal",IF($J1005&lt;=1.5,"Atenção","Risco elevado"))))))</f>
        <v/>
      </c>
      <c r="M1005" s="20"/>
    </row>
    <row r="1006" customFormat="false" ht="15" hidden="false" customHeight="false" outlineLevel="0" collapsed="false">
      <c r="A1006" s="21"/>
      <c r="B1006" s="33" t="n">
        <f aca="false">IF($A1006="",0,INT(($A1006-Macrociclo!$C$11)/7)+1)</f>
        <v>0</v>
      </c>
      <c r="C1006" s="20"/>
      <c r="D1006" s="20"/>
      <c r="E1006" s="22"/>
      <c r="F1006" s="22"/>
      <c r="G1006" s="48" t="n">
        <f aca="false">IF(OR($E1006="",$F1006=""),0,$E1006*$F1006)</f>
        <v>0</v>
      </c>
      <c r="H1006" s="48" t="n">
        <f aca="false">IF($A1006="",0,SUMIFS($G$8:$G$1007,$C$8:$C$1007,$C1006,$A$8:$A$1007,"&gt;="&amp;$A1006-6,$A$8:$A$1007,"&lt;="&amp;$A1006))</f>
        <v>0</v>
      </c>
      <c r="I1006" s="48" t="n">
        <f aca="false">IF($A1006="",0,SUMIFS($G$8:$G$1007,$C$8:$C$1007,$C1006,$A$8:$A$1007,"&gt;="&amp;$A1006-27,$A$8:$A$1007,"&lt;="&amp;$A1006)/4)</f>
        <v>0</v>
      </c>
      <c r="J1006" s="67" t="n">
        <f aca="false">IF(OR($A1006="",$I1006=0),0,$H1006/$I1006)</f>
        <v>0</v>
      </c>
      <c r="K1006" s="33" t="n">
        <f aca="false">IF($A1006="",0,$A1006-SUMPRODUCT(MIN(($C$8:$C$1007=$C1006)*$A$8:$A$1007+($C$8:$C$1007&lt;&gt;$C1006)*100000))+1)</f>
        <v>0</v>
      </c>
      <c r="L1006" s="19" t="str">
        <f aca="false">IF($A1006="","",IF($J1006=0,"Sem registro anterior",IF($K1006&lt;21,"Histórico insuficiente",IF($J1006&lt;0.8,"Subcarga",IF($J1006&lt;=1.3,"Zona ideal",IF($J1006&lt;=1.5,"Atenção","Risco elevado"))))))</f>
        <v/>
      </c>
      <c r="M1006" s="20"/>
    </row>
    <row r="1007" customFormat="false" ht="15" hidden="false" customHeight="false" outlineLevel="0" collapsed="false">
      <c r="A1007" s="21"/>
      <c r="B1007" s="33" t="n">
        <f aca="false">IF($A1007="",0,INT(($A1007-Macrociclo!$C$11)/7)+1)</f>
        <v>0</v>
      </c>
      <c r="C1007" s="20"/>
      <c r="D1007" s="20"/>
      <c r="E1007" s="22"/>
      <c r="F1007" s="22"/>
      <c r="G1007" s="48" t="n">
        <f aca="false">IF(OR($E1007="",$F1007=""),0,$E1007*$F1007)</f>
        <v>0</v>
      </c>
      <c r="H1007" s="48" t="n">
        <f aca="false">IF($A1007="",0,SUMIFS($G$8:$G$1007,$C$8:$C$1007,$C1007,$A$8:$A$1007,"&gt;="&amp;$A1007-6,$A$8:$A$1007,"&lt;="&amp;$A1007))</f>
        <v>0</v>
      </c>
      <c r="I1007" s="48" t="n">
        <f aca="false">IF($A1007="",0,SUMIFS($G$8:$G$1007,$C$8:$C$1007,$C1007,$A$8:$A$1007,"&gt;="&amp;$A1007-27,$A$8:$A$1007,"&lt;="&amp;$A1007)/4)</f>
        <v>0</v>
      </c>
      <c r="J1007" s="67" t="n">
        <f aca="false">IF(OR($A1007="",$I1007=0),0,$H1007/$I1007)</f>
        <v>0</v>
      </c>
      <c r="K1007" s="33" t="n">
        <f aca="false">IF($A1007="",0,$A1007-SUMPRODUCT(MIN(($C$8:$C$1007=$C1007)*$A$8:$A$1007+($C$8:$C$1007&lt;&gt;$C1007)*100000))+1)</f>
        <v>0</v>
      </c>
      <c r="L1007" s="19" t="str">
        <f aca="false">IF($A1007="","",IF($J1007=0,"Sem registro anterior",IF($K1007&lt;21,"Histórico insuficiente",IF($J1007&lt;0.8,"Subcarga",IF($J1007&lt;=1.3,"Zona ideal",IF($J1007&lt;=1.5,"Atenção","Risco elevado"))))))</f>
        <v/>
      </c>
      <c r="M1007" s="20"/>
    </row>
  </sheetData>
  <autoFilter ref="A7:M1007"/>
  <mergeCells count="3">
    <mergeCell ref="A1:M1"/>
    <mergeCell ref="A2:M2"/>
    <mergeCell ref="A4:M4"/>
  </mergeCells>
  <conditionalFormatting sqref="L8:L1007">
    <cfRule type="cellIs" priority="2" operator="equal" aboveAverage="0" equalAverage="0" bottom="0" percent="0" rank="0" text="" dxfId="6">
      <formula>"Zona ideal"</formula>
    </cfRule>
    <cfRule type="cellIs" priority="3" operator="equal" aboveAverage="0" equalAverage="0" bottom="0" percent="0" rank="0" text="" dxfId="8">
      <formula>"Atenção"</formula>
    </cfRule>
    <cfRule type="cellIs" priority="4" operator="equal" aboveAverage="0" equalAverage="0" bottom="0" percent="0" rank="0" text="" dxfId="7">
      <formula>"Risco elevado"</formula>
    </cfRule>
    <cfRule type="cellIs" priority="5" operator="equal" aboveAverage="0" equalAverage="0" bottom="0" percent="0" rank="0" text="" dxfId="9">
      <formula>"Subcarga"</formula>
    </cfRule>
    <cfRule type="cellIs" priority="6" operator="equal" aboveAverage="0" equalAverage="0" bottom="0" percent="0" rank="0" text="" dxfId="10">
      <formula>"Histórico insuficiente"</formula>
    </cfRule>
  </conditionalFormatting>
  <conditionalFormatting sqref="J8:J1007">
    <cfRule type="cellIs" priority="7" operator="greaterThan" aboveAverage="0" equalAverage="0" bottom="0" percent="0" rank="0" text="" dxfId="11">
      <formula>1.5</formula>
    </cfRule>
  </conditionalFormatting>
  <dataValidations count="3">
    <dataValidation allowBlank="true" errorStyle="stop" operator="between" showDropDown="false" showErrorMessage="false" showInputMessage="false" sqref="C8:C1007" type="list">
      <formula1>Cadastro!$B$7:$B$66</formula1>
      <formula2>0</formula2>
    </dataValidation>
    <dataValidation allowBlank="true" errorStyle="stop" operator="between" showDropDown="false" showErrorMessage="false" showInputMessage="false" sqref="D8:D1007" type="list">
      <formula1>Listas!$Q$5:$Q$15</formula1>
      <formula2>0</formula2>
    </dataValidation>
    <dataValidation allowBlank="true" errorStyle="stop" operator="between" showDropDown="false" showErrorMessage="false" showInputMessage="false" sqref="F8:F1007" type="list">
      <formula1>Listas!$N$5:$N$15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K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394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17" t="s">
        <v>395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7" customFormat="false" ht="31.5" hidden="false" customHeight="true" outlineLevel="0" collapsed="false">
      <c r="A7" s="18" t="s">
        <v>339</v>
      </c>
      <c r="B7" s="18" t="s">
        <v>370</v>
      </c>
      <c r="C7" s="18" t="s">
        <v>386</v>
      </c>
      <c r="D7" s="18" t="s">
        <v>396</v>
      </c>
      <c r="E7" s="18" t="s">
        <v>397</v>
      </c>
      <c r="F7" s="18" t="s">
        <v>398</v>
      </c>
      <c r="G7" s="18" t="s">
        <v>399</v>
      </c>
      <c r="H7" s="18" t="s">
        <v>49</v>
      </c>
      <c r="I7" s="18" t="s">
        <v>400</v>
      </c>
      <c r="J7" s="18" t="s">
        <v>401</v>
      </c>
      <c r="K7" s="18" t="s">
        <v>78</v>
      </c>
    </row>
    <row r="8" customFormat="false" ht="15" hidden="false" customHeight="false" outlineLevel="0" collapsed="false">
      <c r="A8" s="21"/>
      <c r="B8" s="33" t="n">
        <f aca="false">IF($A8="",0,INT(($A8-Macrociclo!$C$11)/7)+1)</f>
        <v>0</v>
      </c>
      <c r="C8" s="20"/>
      <c r="D8" s="22"/>
      <c r="E8" s="22"/>
      <c r="F8" s="22"/>
      <c r="G8" s="22"/>
      <c r="H8" s="33" t="n">
        <f aca="false">IF(COUNT($D8:$G8)&lt;4,0,SUM($D8:$G8))</f>
        <v>0</v>
      </c>
      <c r="I8" s="19" t="str">
        <f aca="false">IF($H8=0,"",IF($H8&lt;=8,"Ótimo",IF($H8&lt;=12,"Bom",IF($H8&lt;=16,"Regular",IF($H8&lt;=20,"Alerta","Crítico")))))</f>
        <v/>
      </c>
      <c r="J8" s="20"/>
      <c r="K8" s="20"/>
    </row>
    <row r="9" customFormat="false" ht="15" hidden="false" customHeight="false" outlineLevel="0" collapsed="false">
      <c r="A9" s="21"/>
      <c r="B9" s="33" t="n">
        <f aca="false">IF($A9="",0,INT(($A9-Macrociclo!$C$11)/7)+1)</f>
        <v>0</v>
      </c>
      <c r="C9" s="20"/>
      <c r="D9" s="22"/>
      <c r="E9" s="22"/>
      <c r="F9" s="22"/>
      <c r="G9" s="22"/>
      <c r="H9" s="33" t="n">
        <f aca="false">IF(COUNT($D9:$G9)&lt;4,0,SUM($D9:$G9))</f>
        <v>0</v>
      </c>
      <c r="I9" s="19" t="str">
        <f aca="false">IF($H9=0,"",IF($H9&lt;=8,"Ótimo",IF($H9&lt;=12,"Bom",IF($H9&lt;=16,"Regular",IF($H9&lt;=20,"Alerta","Crítico")))))</f>
        <v/>
      </c>
      <c r="J9" s="20"/>
      <c r="K9" s="20"/>
    </row>
    <row r="10" customFormat="false" ht="15" hidden="false" customHeight="false" outlineLevel="0" collapsed="false">
      <c r="A10" s="21"/>
      <c r="B10" s="33" t="n">
        <f aca="false">IF($A10="",0,INT(($A10-Macrociclo!$C$11)/7)+1)</f>
        <v>0</v>
      </c>
      <c r="C10" s="20"/>
      <c r="D10" s="22"/>
      <c r="E10" s="22"/>
      <c r="F10" s="22"/>
      <c r="G10" s="22"/>
      <c r="H10" s="33" t="n">
        <f aca="false">IF(COUNT($D10:$G10)&lt;4,0,SUM($D10:$G10))</f>
        <v>0</v>
      </c>
      <c r="I10" s="19" t="str">
        <f aca="false">IF($H10=0,"",IF($H10&lt;=8,"Ótimo",IF($H10&lt;=12,"Bom",IF($H10&lt;=16,"Regular",IF($H10&lt;=20,"Alerta","Crítico")))))</f>
        <v/>
      </c>
      <c r="J10" s="20"/>
      <c r="K10" s="20"/>
    </row>
    <row r="11" customFormat="false" ht="15" hidden="false" customHeight="false" outlineLevel="0" collapsed="false">
      <c r="A11" s="21"/>
      <c r="B11" s="33" t="n">
        <f aca="false">IF($A11="",0,INT(($A11-Macrociclo!$C$11)/7)+1)</f>
        <v>0</v>
      </c>
      <c r="C11" s="20"/>
      <c r="D11" s="22"/>
      <c r="E11" s="22"/>
      <c r="F11" s="22"/>
      <c r="G11" s="22"/>
      <c r="H11" s="33" t="n">
        <f aca="false">IF(COUNT($D11:$G11)&lt;4,0,SUM($D11:$G11))</f>
        <v>0</v>
      </c>
      <c r="I11" s="19" t="str">
        <f aca="false">IF($H11=0,"",IF($H11&lt;=8,"Ótimo",IF($H11&lt;=12,"Bom",IF($H11&lt;=16,"Regular",IF($H11&lt;=20,"Alerta","Crítico")))))</f>
        <v/>
      </c>
      <c r="J11" s="20"/>
      <c r="K11" s="20"/>
    </row>
    <row r="12" customFormat="false" ht="15" hidden="false" customHeight="false" outlineLevel="0" collapsed="false">
      <c r="A12" s="21"/>
      <c r="B12" s="33" t="n">
        <f aca="false">IF($A12="",0,INT(($A12-Macrociclo!$C$11)/7)+1)</f>
        <v>0</v>
      </c>
      <c r="C12" s="20"/>
      <c r="D12" s="22"/>
      <c r="E12" s="22"/>
      <c r="F12" s="22"/>
      <c r="G12" s="22"/>
      <c r="H12" s="33" t="n">
        <f aca="false">IF(COUNT($D12:$G12)&lt;4,0,SUM($D12:$G12))</f>
        <v>0</v>
      </c>
      <c r="I12" s="19" t="str">
        <f aca="false">IF($H12=0,"",IF($H12&lt;=8,"Ótimo",IF($H12&lt;=12,"Bom",IF($H12&lt;=16,"Regular",IF($H12&lt;=20,"Alerta","Crítico")))))</f>
        <v/>
      </c>
      <c r="J12" s="20"/>
      <c r="K12" s="20"/>
    </row>
    <row r="13" customFormat="false" ht="15" hidden="false" customHeight="false" outlineLevel="0" collapsed="false">
      <c r="A13" s="21"/>
      <c r="B13" s="33" t="n">
        <f aca="false">IF($A13="",0,INT(($A13-Macrociclo!$C$11)/7)+1)</f>
        <v>0</v>
      </c>
      <c r="C13" s="20"/>
      <c r="D13" s="22"/>
      <c r="E13" s="22"/>
      <c r="F13" s="22"/>
      <c r="G13" s="22"/>
      <c r="H13" s="33" t="n">
        <f aca="false">IF(COUNT($D13:$G13)&lt;4,0,SUM($D13:$G13))</f>
        <v>0</v>
      </c>
      <c r="I13" s="19" t="str">
        <f aca="false">IF($H13=0,"",IF($H13&lt;=8,"Ótimo",IF($H13&lt;=12,"Bom",IF($H13&lt;=16,"Regular",IF($H13&lt;=20,"Alerta","Crítico")))))</f>
        <v/>
      </c>
      <c r="J13" s="20"/>
      <c r="K13" s="20"/>
    </row>
    <row r="14" customFormat="false" ht="15" hidden="false" customHeight="false" outlineLevel="0" collapsed="false">
      <c r="A14" s="21"/>
      <c r="B14" s="33" t="n">
        <f aca="false">IF($A14="",0,INT(($A14-Macrociclo!$C$11)/7)+1)</f>
        <v>0</v>
      </c>
      <c r="C14" s="20"/>
      <c r="D14" s="22"/>
      <c r="E14" s="22"/>
      <c r="F14" s="22"/>
      <c r="G14" s="22"/>
      <c r="H14" s="33" t="n">
        <f aca="false">IF(COUNT($D14:$G14)&lt;4,0,SUM($D14:$G14))</f>
        <v>0</v>
      </c>
      <c r="I14" s="19" t="str">
        <f aca="false">IF($H14=0,"",IF($H14&lt;=8,"Ótimo",IF($H14&lt;=12,"Bom",IF($H14&lt;=16,"Regular",IF($H14&lt;=20,"Alerta","Crítico")))))</f>
        <v/>
      </c>
      <c r="J14" s="20"/>
      <c r="K14" s="20"/>
    </row>
    <row r="15" customFormat="false" ht="15" hidden="false" customHeight="false" outlineLevel="0" collapsed="false">
      <c r="A15" s="21"/>
      <c r="B15" s="33" t="n">
        <f aca="false">IF($A15="",0,INT(($A15-Macrociclo!$C$11)/7)+1)</f>
        <v>0</v>
      </c>
      <c r="C15" s="20"/>
      <c r="D15" s="22"/>
      <c r="E15" s="22"/>
      <c r="F15" s="22"/>
      <c r="G15" s="22"/>
      <c r="H15" s="33" t="n">
        <f aca="false">IF(COUNT($D15:$G15)&lt;4,0,SUM($D15:$G15))</f>
        <v>0</v>
      </c>
      <c r="I15" s="19" t="str">
        <f aca="false">IF($H15=0,"",IF($H15&lt;=8,"Ótimo",IF($H15&lt;=12,"Bom",IF($H15&lt;=16,"Regular",IF($H15&lt;=20,"Alerta","Crítico")))))</f>
        <v/>
      </c>
      <c r="J15" s="20"/>
      <c r="K15" s="20"/>
    </row>
    <row r="16" customFormat="false" ht="15" hidden="false" customHeight="false" outlineLevel="0" collapsed="false">
      <c r="A16" s="21"/>
      <c r="B16" s="33" t="n">
        <f aca="false">IF($A16="",0,INT(($A16-Macrociclo!$C$11)/7)+1)</f>
        <v>0</v>
      </c>
      <c r="C16" s="20"/>
      <c r="D16" s="22"/>
      <c r="E16" s="22"/>
      <c r="F16" s="22"/>
      <c r="G16" s="22"/>
      <c r="H16" s="33" t="n">
        <f aca="false">IF(COUNT($D16:$G16)&lt;4,0,SUM($D16:$G16))</f>
        <v>0</v>
      </c>
      <c r="I16" s="19" t="str">
        <f aca="false">IF($H16=0,"",IF($H16&lt;=8,"Ótimo",IF($H16&lt;=12,"Bom",IF($H16&lt;=16,"Regular",IF($H16&lt;=20,"Alerta","Crítico")))))</f>
        <v/>
      </c>
      <c r="J16" s="20"/>
      <c r="K16" s="20"/>
    </row>
    <row r="17" customFormat="false" ht="15" hidden="false" customHeight="false" outlineLevel="0" collapsed="false">
      <c r="A17" s="21"/>
      <c r="B17" s="33" t="n">
        <f aca="false">IF($A17="",0,INT(($A17-Macrociclo!$C$11)/7)+1)</f>
        <v>0</v>
      </c>
      <c r="C17" s="20"/>
      <c r="D17" s="22"/>
      <c r="E17" s="22"/>
      <c r="F17" s="22"/>
      <c r="G17" s="22"/>
      <c r="H17" s="33" t="n">
        <f aca="false">IF(COUNT($D17:$G17)&lt;4,0,SUM($D17:$G17))</f>
        <v>0</v>
      </c>
      <c r="I17" s="19" t="str">
        <f aca="false">IF($H17=0,"",IF($H17&lt;=8,"Ótimo",IF($H17&lt;=12,"Bom",IF($H17&lt;=16,"Regular",IF($H17&lt;=20,"Alerta","Crítico")))))</f>
        <v/>
      </c>
      <c r="J17" s="20"/>
      <c r="K17" s="20"/>
    </row>
    <row r="18" customFormat="false" ht="15" hidden="false" customHeight="false" outlineLevel="0" collapsed="false">
      <c r="A18" s="21"/>
      <c r="B18" s="33" t="n">
        <f aca="false">IF($A18="",0,INT(($A18-Macrociclo!$C$11)/7)+1)</f>
        <v>0</v>
      </c>
      <c r="C18" s="20"/>
      <c r="D18" s="22"/>
      <c r="E18" s="22"/>
      <c r="F18" s="22"/>
      <c r="G18" s="22"/>
      <c r="H18" s="33" t="n">
        <f aca="false">IF(COUNT($D18:$G18)&lt;4,0,SUM($D18:$G18))</f>
        <v>0</v>
      </c>
      <c r="I18" s="19" t="str">
        <f aca="false">IF($H18=0,"",IF($H18&lt;=8,"Ótimo",IF($H18&lt;=12,"Bom",IF($H18&lt;=16,"Regular",IF($H18&lt;=20,"Alerta","Crítico")))))</f>
        <v/>
      </c>
      <c r="J18" s="20"/>
      <c r="K18" s="20"/>
    </row>
    <row r="19" customFormat="false" ht="15" hidden="false" customHeight="false" outlineLevel="0" collapsed="false">
      <c r="A19" s="21"/>
      <c r="B19" s="33" t="n">
        <f aca="false">IF($A19="",0,INT(($A19-Macrociclo!$C$11)/7)+1)</f>
        <v>0</v>
      </c>
      <c r="C19" s="20"/>
      <c r="D19" s="22"/>
      <c r="E19" s="22"/>
      <c r="F19" s="22"/>
      <c r="G19" s="22"/>
      <c r="H19" s="33" t="n">
        <f aca="false">IF(COUNT($D19:$G19)&lt;4,0,SUM($D19:$G19))</f>
        <v>0</v>
      </c>
      <c r="I19" s="19" t="str">
        <f aca="false">IF($H19=0,"",IF($H19&lt;=8,"Ótimo",IF($H19&lt;=12,"Bom",IF($H19&lt;=16,"Regular",IF($H19&lt;=20,"Alerta","Crítico")))))</f>
        <v/>
      </c>
      <c r="J19" s="20"/>
      <c r="K19" s="20"/>
    </row>
    <row r="20" customFormat="false" ht="15" hidden="false" customHeight="false" outlineLevel="0" collapsed="false">
      <c r="A20" s="21"/>
      <c r="B20" s="33" t="n">
        <f aca="false">IF($A20="",0,INT(($A20-Macrociclo!$C$11)/7)+1)</f>
        <v>0</v>
      </c>
      <c r="C20" s="20"/>
      <c r="D20" s="22"/>
      <c r="E20" s="22"/>
      <c r="F20" s="22"/>
      <c r="G20" s="22"/>
      <c r="H20" s="33" t="n">
        <f aca="false">IF(COUNT($D20:$G20)&lt;4,0,SUM($D20:$G20))</f>
        <v>0</v>
      </c>
      <c r="I20" s="19" t="str">
        <f aca="false">IF($H20=0,"",IF($H20&lt;=8,"Ótimo",IF($H20&lt;=12,"Bom",IF($H20&lt;=16,"Regular",IF($H20&lt;=20,"Alerta","Crítico")))))</f>
        <v/>
      </c>
      <c r="J20" s="20"/>
      <c r="K20" s="20"/>
    </row>
    <row r="21" customFormat="false" ht="15" hidden="false" customHeight="false" outlineLevel="0" collapsed="false">
      <c r="A21" s="21"/>
      <c r="B21" s="33" t="n">
        <f aca="false">IF($A21="",0,INT(($A21-Macrociclo!$C$11)/7)+1)</f>
        <v>0</v>
      </c>
      <c r="C21" s="20"/>
      <c r="D21" s="22"/>
      <c r="E21" s="22"/>
      <c r="F21" s="22"/>
      <c r="G21" s="22"/>
      <c r="H21" s="33" t="n">
        <f aca="false">IF(COUNT($D21:$G21)&lt;4,0,SUM($D21:$G21))</f>
        <v>0</v>
      </c>
      <c r="I21" s="19" t="str">
        <f aca="false">IF($H21=0,"",IF($H21&lt;=8,"Ótimo",IF($H21&lt;=12,"Bom",IF($H21&lt;=16,"Regular",IF($H21&lt;=20,"Alerta","Crítico")))))</f>
        <v/>
      </c>
      <c r="J21" s="20"/>
      <c r="K21" s="20"/>
    </row>
    <row r="22" customFormat="false" ht="15" hidden="false" customHeight="false" outlineLevel="0" collapsed="false">
      <c r="A22" s="21"/>
      <c r="B22" s="33" t="n">
        <f aca="false">IF($A22="",0,INT(($A22-Macrociclo!$C$11)/7)+1)</f>
        <v>0</v>
      </c>
      <c r="C22" s="20"/>
      <c r="D22" s="22"/>
      <c r="E22" s="22"/>
      <c r="F22" s="22"/>
      <c r="G22" s="22"/>
      <c r="H22" s="33" t="n">
        <f aca="false">IF(COUNT($D22:$G22)&lt;4,0,SUM($D22:$G22))</f>
        <v>0</v>
      </c>
      <c r="I22" s="19" t="str">
        <f aca="false">IF($H22=0,"",IF($H22&lt;=8,"Ótimo",IF($H22&lt;=12,"Bom",IF($H22&lt;=16,"Regular",IF($H22&lt;=20,"Alerta","Crítico")))))</f>
        <v/>
      </c>
      <c r="J22" s="20"/>
      <c r="K22" s="20"/>
    </row>
    <row r="23" customFormat="false" ht="15" hidden="false" customHeight="false" outlineLevel="0" collapsed="false">
      <c r="A23" s="21"/>
      <c r="B23" s="33" t="n">
        <f aca="false">IF($A23="",0,INT(($A23-Macrociclo!$C$11)/7)+1)</f>
        <v>0</v>
      </c>
      <c r="C23" s="20"/>
      <c r="D23" s="22"/>
      <c r="E23" s="22"/>
      <c r="F23" s="22"/>
      <c r="G23" s="22"/>
      <c r="H23" s="33" t="n">
        <f aca="false">IF(COUNT($D23:$G23)&lt;4,0,SUM($D23:$G23))</f>
        <v>0</v>
      </c>
      <c r="I23" s="19" t="str">
        <f aca="false">IF($H23=0,"",IF($H23&lt;=8,"Ótimo",IF($H23&lt;=12,"Bom",IF($H23&lt;=16,"Regular",IF($H23&lt;=20,"Alerta","Crítico")))))</f>
        <v/>
      </c>
      <c r="J23" s="20"/>
      <c r="K23" s="20"/>
    </row>
    <row r="24" customFormat="false" ht="15" hidden="false" customHeight="false" outlineLevel="0" collapsed="false">
      <c r="A24" s="21"/>
      <c r="B24" s="33" t="n">
        <f aca="false">IF($A24="",0,INT(($A24-Macrociclo!$C$11)/7)+1)</f>
        <v>0</v>
      </c>
      <c r="C24" s="20"/>
      <c r="D24" s="22"/>
      <c r="E24" s="22"/>
      <c r="F24" s="22"/>
      <c r="G24" s="22"/>
      <c r="H24" s="33" t="n">
        <f aca="false">IF(COUNT($D24:$G24)&lt;4,0,SUM($D24:$G24))</f>
        <v>0</v>
      </c>
      <c r="I24" s="19" t="str">
        <f aca="false">IF($H24=0,"",IF($H24&lt;=8,"Ótimo",IF($H24&lt;=12,"Bom",IF($H24&lt;=16,"Regular",IF($H24&lt;=20,"Alerta","Crítico")))))</f>
        <v/>
      </c>
      <c r="J24" s="20"/>
      <c r="K24" s="20"/>
    </row>
    <row r="25" customFormat="false" ht="15" hidden="false" customHeight="false" outlineLevel="0" collapsed="false">
      <c r="A25" s="21"/>
      <c r="B25" s="33" t="n">
        <f aca="false">IF($A25="",0,INT(($A25-Macrociclo!$C$11)/7)+1)</f>
        <v>0</v>
      </c>
      <c r="C25" s="20"/>
      <c r="D25" s="22"/>
      <c r="E25" s="22"/>
      <c r="F25" s="22"/>
      <c r="G25" s="22"/>
      <c r="H25" s="33" t="n">
        <f aca="false">IF(COUNT($D25:$G25)&lt;4,0,SUM($D25:$G25))</f>
        <v>0</v>
      </c>
      <c r="I25" s="19" t="str">
        <f aca="false">IF($H25=0,"",IF($H25&lt;=8,"Ótimo",IF($H25&lt;=12,"Bom",IF($H25&lt;=16,"Regular",IF($H25&lt;=20,"Alerta","Crítico")))))</f>
        <v/>
      </c>
      <c r="J25" s="20"/>
      <c r="K25" s="20"/>
    </row>
    <row r="26" customFormat="false" ht="15" hidden="false" customHeight="false" outlineLevel="0" collapsed="false">
      <c r="A26" s="21"/>
      <c r="B26" s="33" t="n">
        <f aca="false">IF($A26="",0,INT(($A26-Macrociclo!$C$11)/7)+1)</f>
        <v>0</v>
      </c>
      <c r="C26" s="20"/>
      <c r="D26" s="22"/>
      <c r="E26" s="22"/>
      <c r="F26" s="22"/>
      <c r="G26" s="22"/>
      <c r="H26" s="33" t="n">
        <f aca="false">IF(COUNT($D26:$G26)&lt;4,0,SUM($D26:$G26))</f>
        <v>0</v>
      </c>
      <c r="I26" s="19" t="str">
        <f aca="false">IF($H26=0,"",IF($H26&lt;=8,"Ótimo",IF($H26&lt;=12,"Bom",IF($H26&lt;=16,"Regular",IF($H26&lt;=20,"Alerta","Crítico")))))</f>
        <v/>
      </c>
      <c r="J26" s="20"/>
      <c r="K26" s="20"/>
    </row>
    <row r="27" customFormat="false" ht="15" hidden="false" customHeight="false" outlineLevel="0" collapsed="false">
      <c r="A27" s="21"/>
      <c r="B27" s="33" t="n">
        <f aca="false">IF($A27="",0,INT(($A27-Macrociclo!$C$11)/7)+1)</f>
        <v>0</v>
      </c>
      <c r="C27" s="20"/>
      <c r="D27" s="22"/>
      <c r="E27" s="22"/>
      <c r="F27" s="22"/>
      <c r="G27" s="22"/>
      <c r="H27" s="33" t="n">
        <f aca="false">IF(COUNT($D27:$G27)&lt;4,0,SUM($D27:$G27))</f>
        <v>0</v>
      </c>
      <c r="I27" s="19" t="str">
        <f aca="false">IF($H27=0,"",IF($H27&lt;=8,"Ótimo",IF($H27&lt;=12,"Bom",IF($H27&lt;=16,"Regular",IF($H27&lt;=20,"Alerta","Crítico")))))</f>
        <v/>
      </c>
      <c r="J27" s="20"/>
      <c r="K27" s="20"/>
    </row>
    <row r="28" customFormat="false" ht="15" hidden="false" customHeight="false" outlineLevel="0" collapsed="false">
      <c r="A28" s="21"/>
      <c r="B28" s="33" t="n">
        <f aca="false">IF($A28="",0,INT(($A28-Macrociclo!$C$11)/7)+1)</f>
        <v>0</v>
      </c>
      <c r="C28" s="20"/>
      <c r="D28" s="22"/>
      <c r="E28" s="22"/>
      <c r="F28" s="22"/>
      <c r="G28" s="22"/>
      <c r="H28" s="33" t="n">
        <f aca="false">IF(COUNT($D28:$G28)&lt;4,0,SUM($D28:$G28))</f>
        <v>0</v>
      </c>
      <c r="I28" s="19" t="str">
        <f aca="false">IF($H28=0,"",IF($H28&lt;=8,"Ótimo",IF($H28&lt;=12,"Bom",IF($H28&lt;=16,"Regular",IF($H28&lt;=20,"Alerta","Crítico")))))</f>
        <v/>
      </c>
      <c r="J28" s="20"/>
      <c r="K28" s="20"/>
    </row>
    <row r="29" customFormat="false" ht="15" hidden="false" customHeight="false" outlineLevel="0" collapsed="false">
      <c r="A29" s="21"/>
      <c r="B29" s="33" t="n">
        <f aca="false">IF($A29="",0,INT(($A29-Macrociclo!$C$11)/7)+1)</f>
        <v>0</v>
      </c>
      <c r="C29" s="20"/>
      <c r="D29" s="22"/>
      <c r="E29" s="22"/>
      <c r="F29" s="22"/>
      <c r="G29" s="22"/>
      <c r="H29" s="33" t="n">
        <f aca="false">IF(COUNT($D29:$G29)&lt;4,0,SUM($D29:$G29))</f>
        <v>0</v>
      </c>
      <c r="I29" s="19" t="str">
        <f aca="false">IF($H29=0,"",IF($H29&lt;=8,"Ótimo",IF($H29&lt;=12,"Bom",IF($H29&lt;=16,"Regular",IF($H29&lt;=20,"Alerta","Crítico")))))</f>
        <v/>
      </c>
      <c r="J29" s="20"/>
      <c r="K29" s="20"/>
    </row>
    <row r="30" customFormat="false" ht="15" hidden="false" customHeight="false" outlineLevel="0" collapsed="false">
      <c r="A30" s="21"/>
      <c r="B30" s="33" t="n">
        <f aca="false">IF($A30="",0,INT(($A30-Macrociclo!$C$11)/7)+1)</f>
        <v>0</v>
      </c>
      <c r="C30" s="20"/>
      <c r="D30" s="22"/>
      <c r="E30" s="22"/>
      <c r="F30" s="22"/>
      <c r="G30" s="22"/>
      <c r="H30" s="33" t="n">
        <f aca="false">IF(COUNT($D30:$G30)&lt;4,0,SUM($D30:$G30))</f>
        <v>0</v>
      </c>
      <c r="I30" s="19" t="str">
        <f aca="false">IF($H30=0,"",IF($H30&lt;=8,"Ótimo",IF($H30&lt;=12,"Bom",IF($H30&lt;=16,"Regular",IF($H30&lt;=20,"Alerta","Crítico")))))</f>
        <v/>
      </c>
      <c r="J30" s="20"/>
      <c r="K30" s="20"/>
    </row>
    <row r="31" customFormat="false" ht="15" hidden="false" customHeight="false" outlineLevel="0" collapsed="false">
      <c r="A31" s="21"/>
      <c r="B31" s="33" t="n">
        <f aca="false">IF($A31="",0,INT(($A31-Macrociclo!$C$11)/7)+1)</f>
        <v>0</v>
      </c>
      <c r="C31" s="20"/>
      <c r="D31" s="22"/>
      <c r="E31" s="22"/>
      <c r="F31" s="22"/>
      <c r="G31" s="22"/>
      <c r="H31" s="33" t="n">
        <f aca="false">IF(COUNT($D31:$G31)&lt;4,0,SUM($D31:$G31))</f>
        <v>0</v>
      </c>
      <c r="I31" s="19" t="str">
        <f aca="false">IF($H31=0,"",IF($H31&lt;=8,"Ótimo",IF($H31&lt;=12,"Bom",IF($H31&lt;=16,"Regular",IF($H31&lt;=20,"Alerta","Crítico")))))</f>
        <v/>
      </c>
      <c r="J31" s="20"/>
      <c r="K31" s="20"/>
    </row>
    <row r="32" customFormat="false" ht="15" hidden="false" customHeight="false" outlineLevel="0" collapsed="false">
      <c r="A32" s="21"/>
      <c r="B32" s="33" t="n">
        <f aca="false">IF($A32="",0,INT(($A32-Macrociclo!$C$11)/7)+1)</f>
        <v>0</v>
      </c>
      <c r="C32" s="20"/>
      <c r="D32" s="22"/>
      <c r="E32" s="22"/>
      <c r="F32" s="22"/>
      <c r="G32" s="22"/>
      <c r="H32" s="33" t="n">
        <f aca="false">IF(COUNT($D32:$G32)&lt;4,0,SUM($D32:$G32))</f>
        <v>0</v>
      </c>
      <c r="I32" s="19" t="str">
        <f aca="false">IF($H32=0,"",IF($H32&lt;=8,"Ótimo",IF($H32&lt;=12,"Bom",IF($H32&lt;=16,"Regular",IF($H32&lt;=20,"Alerta","Crítico")))))</f>
        <v/>
      </c>
      <c r="J32" s="20"/>
      <c r="K32" s="20"/>
    </row>
    <row r="33" customFormat="false" ht="15" hidden="false" customHeight="false" outlineLevel="0" collapsed="false">
      <c r="A33" s="21"/>
      <c r="B33" s="33" t="n">
        <f aca="false">IF($A33="",0,INT(($A33-Macrociclo!$C$11)/7)+1)</f>
        <v>0</v>
      </c>
      <c r="C33" s="20"/>
      <c r="D33" s="22"/>
      <c r="E33" s="22"/>
      <c r="F33" s="22"/>
      <c r="G33" s="22"/>
      <c r="H33" s="33" t="n">
        <f aca="false">IF(COUNT($D33:$G33)&lt;4,0,SUM($D33:$G33))</f>
        <v>0</v>
      </c>
      <c r="I33" s="19" t="str">
        <f aca="false">IF($H33=0,"",IF($H33&lt;=8,"Ótimo",IF($H33&lt;=12,"Bom",IF($H33&lt;=16,"Regular",IF($H33&lt;=20,"Alerta","Crítico")))))</f>
        <v/>
      </c>
      <c r="J33" s="20"/>
      <c r="K33" s="20"/>
    </row>
    <row r="34" customFormat="false" ht="15" hidden="false" customHeight="false" outlineLevel="0" collapsed="false">
      <c r="A34" s="21"/>
      <c r="B34" s="33" t="n">
        <f aca="false">IF($A34="",0,INT(($A34-Macrociclo!$C$11)/7)+1)</f>
        <v>0</v>
      </c>
      <c r="C34" s="20"/>
      <c r="D34" s="22"/>
      <c r="E34" s="22"/>
      <c r="F34" s="22"/>
      <c r="G34" s="22"/>
      <c r="H34" s="33" t="n">
        <f aca="false">IF(COUNT($D34:$G34)&lt;4,0,SUM($D34:$G34))</f>
        <v>0</v>
      </c>
      <c r="I34" s="19" t="str">
        <f aca="false">IF($H34=0,"",IF($H34&lt;=8,"Ótimo",IF($H34&lt;=12,"Bom",IF($H34&lt;=16,"Regular",IF($H34&lt;=20,"Alerta","Crítico")))))</f>
        <v/>
      </c>
      <c r="J34" s="20"/>
      <c r="K34" s="20"/>
    </row>
    <row r="35" customFormat="false" ht="15" hidden="false" customHeight="false" outlineLevel="0" collapsed="false">
      <c r="A35" s="21"/>
      <c r="B35" s="33" t="n">
        <f aca="false">IF($A35="",0,INT(($A35-Macrociclo!$C$11)/7)+1)</f>
        <v>0</v>
      </c>
      <c r="C35" s="20"/>
      <c r="D35" s="22"/>
      <c r="E35" s="22"/>
      <c r="F35" s="22"/>
      <c r="G35" s="22"/>
      <c r="H35" s="33" t="n">
        <f aca="false">IF(COUNT($D35:$G35)&lt;4,0,SUM($D35:$G35))</f>
        <v>0</v>
      </c>
      <c r="I35" s="19" t="str">
        <f aca="false">IF($H35=0,"",IF($H35&lt;=8,"Ótimo",IF($H35&lt;=12,"Bom",IF($H35&lt;=16,"Regular",IF($H35&lt;=20,"Alerta","Crítico")))))</f>
        <v/>
      </c>
      <c r="J35" s="20"/>
      <c r="K35" s="20"/>
    </row>
    <row r="36" customFormat="false" ht="15" hidden="false" customHeight="false" outlineLevel="0" collapsed="false">
      <c r="A36" s="21"/>
      <c r="B36" s="33" t="n">
        <f aca="false">IF($A36="",0,INT(($A36-Macrociclo!$C$11)/7)+1)</f>
        <v>0</v>
      </c>
      <c r="C36" s="20"/>
      <c r="D36" s="22"/>
      <c r="E36" s="22"/>
      <c r="F36" s="22"/>
      <c r="G36" s="22"/>
      <c r="H36" s="33" t="n">
        <f aca="false">IF(COUNT($D36:$G36)&lt;4,0,SUM($D36:$G36))</f>
        <v>0</v>
      </c>
      <c r="I36" s="19" t="str">
        <f aca="false">IF($H36=0,"",IF($H36&lt;=8,"Ótimo",IF($H36&lt;=12,"Bom",IF($H36&lt;=16,"Regular",IF($H36&lt;=20,"Alerta","Crítico")))))</f>
        <v/>
      </c>
      <c r="J36" s="20"/>
      <c r="K36" s="20"/>
    </row>
    <row r="37" customFormat="false" ht="15" hidden="false" customHeight="false" outlineLevel="0" collapsed="false">
      <c r="A37" s="21"/>
      <c r="B37" s="33" t="n">
        <f aca="false">IF($A37="",0,INT(($A37-Macrociclo!$C$11)/7)+1)</f>
        <v>0</v>
      </c>
      <c r="C37" s="20"/>
      <c r="D37" s="22"/>
      <c r="E37" s="22"/>
      <c r="F37" s="22"/>
      <c r="G37" s="22"/>
      <c r="H37" s="33" t="n">
        <f aca="false">IF(COUNT($D37:$G37)&lt;4,0,SUM($D37:$G37))</f>
        <v>0</v>
      </c>
      <c r="I37" s="19" t="str">
        <f aca="false">IF($H37=0,"",IF($H37&lt;=8,"Ótimo",IF($H37&lt;=12,"Bom",IF($H37&lt;=16,"Regular",IF($H37&lt;=20,"Alerta","Crítico")))))</f>
        <v/>
      </c>
      <c r="J37" s="20"/>
      <c r="K37" s="20"/>
    </row>
    <row r="38" customFormat="false" ht="15" hidden="false" customHeight="false" outlineLevel="0" collapsed="false">
      <c r="A38" s="21"/>
      <c r="B38" s="33" t="n">
        <f aca="false">IF($A38="",0,INT(($A38-Macrociclo!$C$11)/7)+1)</f>
        <v>0</v>
      </c>
      <c r="C38" s="20"/>
      <c r="D38" s="22"/>
      <c r="E38" s="22"/>
      <c r="F38" s="22"/>
      <c r="G38" s="22"/>
      <c r="H38" s="33" t="n">
        <f aca="false">IF(COUNT($D38:$G38)&lt;4,0,SUM($D38:$G38))</f>
        <v>0</v>
      </c>
      <c r="I38" s="19" t="str">
        <f aca="false">IF($H38=0,"",IF($H38&lt;=8,"Ótimo",IF($H38&lt;=12,"Bom",IF($H38&lt;=16,"Regular",IF($H38&lt;=20,"Alerta","Crítico")))))</f>
        <v/>
      </c>
      <c r="J38" s="20"/>
      <c r="K38" s="20"/>
    </row>
    <row r="39" customFormat="false" ht="15" hidden="false" customHeight="false" outlineLevel="0" collapsed="false">
      <c r="A39" s="21"/>
      <c r="B39" s="33" t="n">
        <f aca="false">IF($A39="",0,INT(($A39-Macrociclo!$C$11)/7)+1)</f>
        <v>0</v>
      </c>
      <c r="C39" s="20"/>
      <c r="D39" s="22"/>
      <c r="E39" s="22"/>
      <c r="F39" s="22"/>
      <c r="G39" s="22"/>
      <c r="H39" s="33" t="n">
        <f aca="false">IF(COUNT($D39:$G39)&lt;4,0,SUM($D39:$G39))</f>
        <v>0</v>
      </c>
      <c r="I39" s="19" t="str">
        <f aca="false">IF($H39=0,"",IF($H39&lt;=8,"Ótimo",IF($H39&lt;=12,"Bom",IF($H39&lt;=16,"Regular",IF($H39&lt;=20,"Alerta","Crítico")))))</f>
        <v/>
      </c>
      <c r="J39" s="20"/>
      <c r="K39" s="20"/>
    </row>
    <row r="40" customFormat="false" ht="15" hidden="false" customHeight="false" outlineLevel="0" collapsed="false">
      <c r="A40" s="21"/>
      <c r="B40" s="33" t="n">
        <f aca="false">IF($A40="",0,INT(($A40-Macrociclo!$C$11)/7)+1)</f>
        <v>0</v>
      </c>
      <c r="C40" s="20"/>
      <c r="D40" s="22"/>
      <c r="E40" s="22"/>
      <c r="F40" s="22"/>
      <c r="G40" s="22"/>
      <c r="H40" s="33" t="n">
        <f aca="false">IF(COUNT($D40:$G40)&lt;4,0,SUM($D40:$G40))</f>
        <v>0</v>
      </c>
      <c r="I40" s="19" t="str">
        <f aca="false">IF($H40=0,"",IF($H40&lt;=8,"Ótimo",IF($H40&lt;=12,"Bom",IF($H40&lt;=16,"Regular",IF($H40&lt;=20,"Alerta","Crítico")))))</f>
        <v/>
      </c>
      <c r="J40" s="20"/>
      <c r="K40" s="20"/>
    </row>
    <row r="41" customFormat="false" ht="15" hidden="false" customHeight="false" outlineLevel="0" collapsed="false">
      <c r="A41" s="21"/>
      <c r="B41" s="33" t="n">
        <f aca="false">IF($A41="",0,INT(($A41-Macrociclo!$C$11)/7)+1)</f>
        <v>0</v>
      </c>
      <c r="C41" s="20"/>
      <c r="D41" s="22"/>
      <c r="E41" s="22"/>
      <c r="F41" s="22"/>
      <c r="G41" s="22"/>
      <c r="H41" s="33" t="n">
        <f aca="false">IF(COUNT($D41:$G41)&lt;4,0,SUM($D41:$G41))</f>
        <v>0</v>
      </c>
      <c r="I41" s="19" t="str">
        <f aca="false">IF($H41=0,"",IF($H41&lt;=8,"Ótimo",IF($H41&lt;=12,"Bom",IF($H41&lt;=16,"Regular",IF($H41&lt;=20,"Alerta","Crítico")))))</f>
        <v/>
      </c>
      <c r="J41" s="20"/>
      <c r="K41" s="20"/>
    </row>
    <row r="42" customFormat="false" ht="15" hidden="false" customHeight="false" outlineLevel="0" collapsed="false">
      <c r="A42" s="21"/>
      <c r="B42" s="33" t="n">
        <f aca="false">IF($A42="",0,INT(($A42-Macrociclo!$C$11)/7)+1)</f>
        <v>0</v>
      </c>
      <c r="C42" s="20"/>
      <c r="D42" s="22"/>
      <c r="E42" s="22"/>
      <c r="F42" s="22"/>
      <c r="G42" s="22"/>
      <c r="H42" s="33" t="n">
        <f aca="false">IF(COUNT($D42:$G42)&lt;4,0,SUM($D42:$G42))</f>
        <v>0</v>
      </c>
      <c r="I42" s="19" t="str">
        <f aca="false">IF($H42=0,"",IF($H42&lt;=8,"Ótimo",IF($H42&lt;=12,"Bom",IF($H42&lt;=16,"Regular",IF($H42&lt;=20,"Alerta","Crítico")))))</f>
        <v/>
      </c>
      <c r="J42" s="20"/>
      <c r="K42" s="20"/>
    </row>
    <row r="43" customFormat="false" ht="15" hidden="false" customHeight="false" outlineLevel="0" collapsed="false">
      <c r="A43" s="21"/>
      <c r="B43" s="33" t="n">
        <f aca="false">IF($A43="",0,INT(($A43-Macrociclo!$C$11)/7)+1)</f>
        <v>0</v>
      </c>
      <c r="C43" s="20"/>
      <c r="D43" s="22"/>
      <c r="E43" s="22"/>
      <c r="F43" s="22"/>
      <c r="G43" s="22"/>
      <c r="H43" s="33" t="n">
        <f aca="false">IF(COUNT($D43:$G43)&lt;4,0,SUM($D43:$G43))</f>
        <v>0</v>
      </c>
      <c r="I43" s="19" t="str">
        <f aca="false">IF($H43=0,"",IF($H43&lt;=8,"Ótimo",IF($H43&lt;=12,"Bom",IF($H43&lt;=16,"Regular",IF($H43&lt;=20,"Alerta","Crítico")))))</f>
        <v/>
      </c>
      <c r="J43" s="20"/>
      <c r="K43" s="20"/>
    </row>
    <row r="44" customFormat="false" ht="15" hidden="false" customHeight="false" outlineLevel="0" collapsed="false">
      <c r="A44" s="21"/>
      <c r="B44" s="33" t="n">
        <f aca="false">IF($A44="",0,INT(($A44-Macrociclo!$C$11)/7)+1)</f>
        <v>0</v>
      </c>
      <c r="C44" s="20"/>
      <c r="D44" s="22"/>
      <c r="E44" s="22"/>
      <c r="F44" s="22"/>
      <c r="G44" s="22"/>
      <c r="H44" s="33" t="n">
        <f aca="false">IF(COUNT($D44:$G44)&lt;4,0,SUM($D44:$G44))</f>
        <v>0</v>
      </c>
      <c r="I44" s="19" t="str">
        <f aca="false">IF($H44=0,"",IF($H44&lt;=8,"Ótimo",IF($H44&lt;=12,"Bom",IF($H44&lt;=16,"Regular",IF($H44&lt;=20,"Alerta","Crítico")))))</f>
        <v/>
      </c>
      <c r="J44" s="20"/>
      <c r="K44" s="20"/>
    </row>
    <row r="45" customFormat="false" ht="15" hidden="false" customHeight="false" outlineLevel="0" collapsed="false">
      <c r="A45" s="21"/>
      <c r="B45" s="33" t="n">
        <f aca="false">IF($A45="",0,INT(($A45-Macrociclo!$C$11)/7)+1)</f>
        <v>0</v>
      </c>
      <c r="C45" s="20"/>
      <c r="D45" s="22"/>
      <c r="E45" s="22"/>
      <c r="F45" s="22"/>
      <c r="G45" s="22"/>
      <c r="H45" s="33" t="n">
        <f aca="false">IF(COUNT($D45:$G45)&lt;4,0,SUM($D45:$G45))</f>
        <v>0</v>
      </c>
      <c r="I45" s="19" t="str">
        <f aca="false">IF($H45=0,"",IF($H45&lt;=8,"Ótimo",IF($H45&lt;=12,"Bom",IF($H45&lt;=16,"Regular",IF($H45&lt;=20,"Alerta","Crítico")))))</f>
        <v/>
      </c>
      <c r="J45" s="20"/>
      <c r="K45" s="20"/>
    </row>
    <row r="46" customFormat="false" ht="15" hidden="false" customHeight="false" outlineLevel="0" collapsed="false">
      <c r="A46" s="21"/>
      <c r="B46" s="33" t="n">
        <f aca="false">IF($A46="",0,INT(($A46-Macrociclo!$C$11)/7)+1)</f>
        <v>0</v>
      </c>
      <c r="C46" s="20"/>
      <c r="D46" s="22"/>
      <c r="E46" s="22"/>
      <c r="F46" s="22"/>
      <c r="G46" s="22"/>
      <c r="H46" s="33" t="n">
        <f aca="false">IF(COUNT($D46:$G46)&lt;4,0,SUM($D46:$G46))</f>
        <v>0</v>
      </c>
      <c r="I46" s="19" t="str">
        <f aca="false">IF($H46=0,"",IF($H46&lt;=8,"Ótimo",IF($H46&lt;=12,"Bom",IF($H46&lt;=16,"Regular",IF($H46&lt;=20,"Alerta","Crítico")))))</f>
        <v/>
      </c>
      <c r="J46" s="20"/>
      <c r="K46" s="20"/>
    </row>
    <row r="47" customFormat="false" ht="15" hidden="false" customHeight="false" outlineLevel="0" collapsed="false">
      <c r="A47" s="21"/>
      <c r="B47" s="33" t="n">
        <f aca="false">IF($A47="",0,INT(($A47-Macrociclo!$C$11)/7)+1)</f>
        <v>0</v>
      </c>
      <c r="C47" s="20"/>
      <c r="D47" s="22"/>
      <c r="E47" s="22"/>
      <c r="F47" s="22"/>
      <c r="G47" s="22"/>
      <c r="H47" s="33" t="n">
        <f aca="false">IF(COUNT($D47:$G47)&lt;4,0,SUM($D47:$G47))</f>
        <v>0</v>
      </c>
      <c r="I47" s="19" t="str">
        <f aca="false">IF($H47=0,"",IF($H47&lt;=8,"Ótimo",IF($H47&lt;=12,"Bom",IF($H47&lt;=16,"Regular",IF($H47&lt;=20,"Alerta","Crítico")))))</f>
        <v/>
      </c>
      <c r="J47" s="20"/>
      <c r="K47" s="20"/>
    </row>
    <row r="48" customFormat="false" ht="15" hidden="false" customHeight="false" outlineLevel="0" collapsed="false">
      <c r="A48" s="21"/>
      <c r="B48" s="33" t="n">
        <f aca="false">IF($A48="",0,INT(($A48-Macrociclo!$C$11)/7)+1)</f>
        <v>0</v>
      </c>
      <c r="C48" s="20"/>
      <c r="D48" s="22"/>
      <c r="E48" s="22"/>
      <c r="F48" s="22"/>
      <c r="G48" s="22"/>
      <c r="H48" s="33" t="n">
        <f aca="false">IF(COUNT($D48:$G48)&lt;4,0,SUM($D48:$G48))</f>
        <v>0</v>
      </c>
      <c r="I48" s="19" t="str">
        <f aca="false">IF($H48=0,"",IF($H48&lt;=8,"Ótimo",IF($H48&lt;=12,"Bom",IF($H48&lt;=16,"Regular",IF($H48&lt;=20,"Alerta","Crítico")))))</f>
        <v/>
      </c>
      <c r="J48" s="20"/>
      <c r="K48" s="20"/>
    </row>
    <row r="49" customFormat="false" ht="15" hidden="false" customHeight="false" outlineLevel="0" collapsed="false">
      <c r="A49" s="21"/>
      <c r="B49" s="33" t="n">
        <f aca="false">IF($A49="",0,INT(($A49-Macrociclo!$C$11)/7)+1)</f>
        <v>0</v>
      </c>
      <c r="C49" s="20"/>
      <c r="D49" s="22"/>
      <c r="E49" s="22"/>
      <c r="F49" s="22"/>
      <c r="G49" s="22"/>
      <c r="H49" s="33" t="n">
        <f aca="false">IF(COUNT($D49:$G49)&lt;4,0,SUM($D49:$G49))</f>
        <v>0</v>
      </c>
      <c r="I49" s="19" t="str">
        <f aca="false">IF($H49=0,"",IF($H49&lt;=8,"Ótimo",IF($H49&lt;=12,"Bom",IF($H49&lt;=16,"Regular",IF($H49&lt;=20,"Alerta","Crítico")))))</f>
        <v/>
      </c>
      <c r="J49" s="20"/>
      <c r="K49" s="20"/>
    </row>
    <row r="50" customFormat="false" ht="15" hidden="false" customHeight="false" outlineLevel="0" collapsed="false">
      <c r="A50" s="21"/>
      <c r="B50" s="33" t="n">
        <f aca="false">IF($A50="",0,INT(($A50-Macrociclo!$C$11)/7)+1)</f>
        <v>0</v>
      </c>
      <c r="C50" s="20"/>
      <c r="D50" s="22"/>
      <c r="E50" s="22"/>
      <c r="F50" s="22"/>
      <c r="G50" s="22"/>
      <c r="H50" s="33" t="n">
        <f aca="false">IF(COUNT($D50:$G50)&lt;4,0,SUM($D50:$G50))</f>
        <v>0</v>
      </c>
      <c r="I50" s="19" t="str">
        <f aca="false">IF($H50=0,"",IF($H50&lt;=8,"Ótimo",IF($H50&lt;=12,"Bom",IF($H50&lt;=16,"Regular",IF($H50&lt;=20,"Alerta","Crítico")))))</f>
        <v/>
      </c>
      <c r="J50" s="20"/>
      <c r="K50" s="20"/>
    </row>
    <row r="51" customFormat="false" ht="15" hidden="false" customHeight="false" outlineLevel="0" collapsed="false">
      <c r="A51" s="21"/>
      <c r="B51" s="33" t="n">
        <f aca="false">IF($A51="",0,INT(($A51-Macrociclo!$C$11)/7)+1)</f>
        <v>0</v>
      </c>
      <c r="C51" s="20"/>
      <c r="D51" s="22"/>
      <c r="E51" s="22"/>
      <c r="F51" s="22"/>
      <c r="G51" s="22"/>
      <c r="H51" s="33" t="n">
        <f aca="false">IF(COUNT($D51:$G51)&lt;4,0,SUM($D51:$G51))</f>
        <v>0</v>
      </c>
      <c r="I51" s="19" t="str">
        <f aca="false">IF($H51=0,"",IF($H51&lt;=8,"Ótimo",IF($H51&lt;=12,"Bom",IF($H51&lt;=16,"Regular",IF($H51&lt;=20,"Alerta","Crítico")))))</f>
        <v/>
      </c>
      <c r="J51" s="20"/>
      <c r="K51" s="20"/>
    </row>
    <row r="52" customFormat="false" ht="15" hidden="false" customHeight="false" outlineLevel="0" collapsed="false">
      <c r="A52" s="21"/>
      <c r="B52" s="33" t="n">
        <f aca="false">IF($A52="",0,INT(($A52-Macrociclo!$C$11)/7)+1)</f>
        <v>0</v>
      </c>
      <c r="C52" s="20"/>
      <c r="D52" s="22"/>
      <c r="E52" s="22"/>
      <c r="F52" s="22"/>
      <c r="G52" s="22"/>
      <c r="H52" s="33" t="n">
        <f aca="false">IF(COUNT($D52:$G52)&lt;4,0,SUM($D52:$G52))</f>
        <v>0</v>
      </c>
      <c r="I52" s="19" t="str">
        <f aca="false">IF($H52=0,"",IF($H52&lt;=8,"Ótimo",IF($H52&lt;=12,"Bom",IF($H52&lt;=16,"Regular",IF($H52&lt;=20,"Alerta","Crítico")))))</f>
        <v/>
      </c>
      <c r="J52" s="20"/>
      <c r="K52" s="20"/>
    </row>
    <row r="53" customFormat="false" ht="15" hidden="false" customHeight="false" outlineLevel="0" collapsed="false">
      <c r="A53" s="21"/>
      <c r="B53" s="33" t="n">
        <f aca="false">IF($A53="",0,INT(($A53-Macrociclo!$C$11)/7)+1)</f>
        <v>0</v>
      </c>
      <c r="C53" s="20"/>
      <c r="D53" s="22"/>
      <c r="E53" s="22"/>
      <c r="F53" s="22"/>
      <c r="G53" s="22"/>
      <c r="H53" s="33" t="n">
        <f aca="false">IF(COUNT($D53:$G53)&lt;4,0,SUM($D53:$G53))</f>
        <v>0</v>
      </c>
      <c r="I53" s="19" t="str">
        <f aca="false">IF($H53=0,"",IF($H53&lt;=8,"Ótimo",IF($H53&lt;=12,"Bom",IF($H53&lt;=16,"Regular",IF($H53&lt;=20,"Alerta","Crítico")))))</f>
        <v/>
      </c>
      <c r="J53" s="20"/>
      <c r="K53" s="20"/>
    </row>
    <row r="54" customFormat="false" ht="15" hidden="false" customHeight="false" outlineLevel="0" collapsed="false">
      <c r="A54" s="21"/>
      <c r="B54" s="33" t="n">
        <f aca="false">IF($A54="",0,INT(($A54-Macrociclo!$C$11)/7)+1)</f>
        <v>0</v>
      </c>
      <c r="C54" s="20"/>
      <c r="D54" s="22"/>
      <c r="E54" s="22"/>
      <c r="F54" s="22"/>
      <c r="G54" s="22"/>
      <c r="H54" s="33" t="n">
        <f aca="false">IF(COUNT($D54:$G54)&lt;4,0,SUM($D54:$G54))</f>
        <v>0</v>
      </c>
      <c r="I54" s="19" t="str">
        <f aca="false">IF($H54=0,"",IF($H54&lt;=8,"Ótimo",IF($H54&lt;=12,"Bom",IF($H54&lt;=16,"Regular",IF($H54&lt;=20,"Alerta","Crítico")))))</f>
        <v/>
      </c>
      <c r="J54" s="20"/>
      <c r="K54" s="20"/>
    </row>
    <row r="55" customFormat="false" ht="15" hidden="false" customHeight="false" outlineLevel="0" collapsed="false">
      <c r="A55" s="21"/>
      <c r="B55" s="33" t="n">
        <f aca="false">IF($A55="",0,INT(($A55-Macrociclo!$C$11)/7)+1)</f>
        <v>0</v>
      </c>
      <c r="C55" s="20"/>
      <c r="D55" s="22"/>
      <c r="E55" s="22"/>
      <c r="F55" s="22"/>
      <c r="G55" s="22"/>
      <c r="H55" s="33" t="n">
        <f aca="false">IF(COUNT($D55:$G55)&lt;4,0,SUM($D55:$G55))</f>
        <v>0</v>
      </c>
      <c r="I55" s="19" t="str">
        <f aca="false">IF($H55=0,"",IF($H55&lt;=8,"Ótimo",IF($H55&lt;=12,"Bom",IF($H55&lt;=16,"Regular",IF($H55&lt;=20,"Alerta","Crítico")))))</f>
        <v/>
      </c>
      <c r="J55" s="20"/>
      <c r="K55" s="20"/>
    </row>
    <row r="56" customFormat="false" ht="15" hidden="false" customHeight="false" outlineLevel="0" collapsed="false">
      <c r="A56" s="21"/>
      <c r="B56" s="33" t="n">
        <f aca="false">IF($A56="",0,INT(($A56-Macrociclo!$C$11)/7)+1)</f>
        <v>0</v>
      </c>
      <c r="C56" s="20"/>
      <c r="D56" s="22"/>
      <c r="E56" s="22"/>
      <c r="F56" s="22"/>
      <c r="G56" s="22"/>
      <c r="H56" s="33" t="n">
        <f aca="false">IF(COUNT($D56:$G56)&lt;4,0,SUM($D56:$G56))</f>
        <v>0</v>
      </c>
      <c r="I56" s="19" t="str">
        <f aca="false">IF($H56=0,"",IF($H56&lt;=8,"Ótimo",IF($H56&lt;=12,"Bom",IF($H56&lt;=16,"Regular",IF($H56&lt;=20,"Alerta","Crítico")))))</f>
        <v/>
      </c>
      <c r="J56" s="20"/>
      <c r="K56" s="20"/>
    </row>
    <row r="57" customFormat="false" ht="15" hidden="false" customHeight="false" outlineLevel="0" collapsed="false">
      <c r="A57" s="21"/>
      <c r="B57" s="33" t="n">
        <f aca="false">IF($A57="",0,INT(($A57-Macrociclo!$C$11)/7)+1)</f>
        <v>0</v>
      </c>
      <c r="C57" s="20"/>
      <c r="D57" s="22"/>
      <c r="E57" s="22"/>
      <c r="F57" s="22"/>
      <c r="G57" s="22"/>
      <c r="H57" s="33" t="n">
        <f aca="false">IF(COUNT($D57:$G57)&lt;4,0,SUM($D57:$G57))</f>
        <v>0</v>
      </c>
      <c r="I57" s="19" t="str">
        <f aca="false">IF($H57=0,"",IF($H57&lt;=8,"Ótimo",IF($H57&lt;=12,"Bom",IF($H57&lt;=16,"Regular",IF($H57&lt;=20,"Alerta","Crítico")))))</f>
        <v/>
      </c>
      <c r="J57" s="20"/>
      <c r="K57" s="20"/>
    </row>
    <row r="58" customFormat="false" ht="15" hidden="false" customHeight="false" outlineLevel="0" collapsed="false">
      <c r="A58" s="21"/>
      <c r="B58" s="33" t="n">
        <f aca="false">IF($A58="",0,INT(($A58-Macrociclo!$C$11)/7)+1)</f>
        <v>0</v>
      </c>
      <c r="C58" s="20"/>
      <c r="D58" s="22"/>
      <c r="E58" s="22"/>
      <c r="F58" s="22"/>
      <c r="G58" s="22"/>
      <c r="H58" s="33" t="n">
        <f aca="false">IF(COUNT($D58:$G58)&lt;4,0,SUM($D58:$G58))</f>
        <v>0</v>
      </c>
      <c r="I58" s="19" t="str">
        <f aca="false">IF($H58=0,"",IF($H58&lt;=8,"Ótimo",IF($H58&lt;=12,"Bom",IF($H58&lt;=16,"Regular",IF($H58&lt;=20,"Alerta","Crítico")))))</f>
        <v/>
      </c>
      <c r="J58" s="20"/>
      <c r="K58" s="20"/>
    </row>
    <row r="59" customFormat="false" ht="15" hidden="false" customHeight="false" outlineLevel="0" collapsed="false">
      <c r="A59" s="21"/>
      <c r="B59" s="33" t="n">
        <f aca="false">IF($A59="",0,INT(($A59-Macrociclo!$C$11)/7)+1)</f>
        <v>0</v>
      </c>
      <c r="C59" s="20"/>
      <c r="D59" s="22"/>
      <c r="E59" s="22"/>
      <c r="F59" s="22"/>
      <c r="G59" s="22"/>
      <c r="H59" s="33" t="n">
        <f aca="false">IF(COUNT($D59:$G59)&lt;4,0,SUM($D59:$G59))</f>
        <v>0</v>
      </c>
      <c r="I59" s="19" t="str">
        <f aca="false">IF($H59=0,"",IF($H59&lt;=8,"Ótimo",IF($H59&lt;=12,"Bom",IF($H59&lt;=16,"Regular",IF($H59&lt;=20,"Alerta","Crítico")))))</f>
        <v/>
      </c>
      <c r="J59" s="20"/>
      <c r="K59" s="20"/>
    </row>
    <row r="60" customFormat="false" ht="15" hidden="false" customHeight="false" outlineLevel="0" collapsed="false">
      <c r="A60" s="21"/>
      <c r="B60" s="33" t="n">
        <f aca="false">IF($A60="",0,INT(($A60-Macrociclo!$C$11)/7)+1)</f>
        <v>0</v>
      </c>
      <c r="C60" s="20"/>
      <c r="D60" s="22"/>
      <c r="E60" s="22"/>
      <c r="F60" s="22"/>
      <c r="G60" s="22"/>
      <c r="H60" s="33" t="n">
        <f aca="false">IF(COUNT($D60:$G60)&lt;4,0,SUM($D60:$G60))</f>
        <v>0</v>
      </c>
      <c r="I60" s="19" t="str">
        <f aca="false">IF($H60=0,"",IF($H60&lt;=8,"Ótimo",IF($H60&lt;=12,"Bom",IF($H60&lt;=16,"Regular",IF($H60&lt;=20,"Alerta","Crítico")))))</f>
        <v/>
      </c>
      <c r="J60" s="20"/>
      <c r="K60" s="20"/>
    </row>
    <row r="61" customFormat="false" ht="15" hidden="false" customHeight="false" outlineLevel="0" collapsed="false">
      <c r="A61" s="21"/>
      <c r="B61" s="33" t="n">
        <f aca="false">IF($A61="",0,INT(($A61-Macrociclo!$C$11)/7)+1)</f>
        <v>0</v>
      </c>
      <c r="C61" s="20"/>
      <c r="D61" s="22"/>
      <c r="E61" s="22"/>
      <c r="F61" s="22"/>
      <c r="G61" s="22"/>
      <c r="H61" s="33" t="n">
        <f aca="false">IF(COUNT($D61:$G61)&lt;4,0,SUM($D61:$G61))</f>
        <v>0</v>
      </c>
      <c r="I61" s="19" t="str">
        <f aca="false">IF($H61=0,"",IF($H61&lt;=8,"Ótimo",IF($H61&lt;=12,"Bom",IF($H61&lt;=16,"Regular",IF($H61&lt;=20,"Alerta","Crítico")))))</f>
        <v/>
      </c>
      <c r="J61" s="20"/>
      <c r="K61" s="20"/>
    </row>
    <row r="62" customFormat="false" ht="15" hidden="false" customHeight="false" outlineLevel="0" collapsed="false">
      <c r="A62" s="21"/>
      <c r="B62" s="33" t="n">
        <f aca="false">IF($A62="",0,INT(($A62-Macrociclo!$C$11)/7)+1)</f>
        <v>0</v>
      </c>
      <c r="C62" s="20"/>
      <c r="D62" s="22"/>
      <c r="E62" s="22"/>
      <c r="F62" s="22"/>
      <c r="G62" s="22"/>
      <c r="H62" s="33" t="n">
        <f aca="false">IF(COUNT($D62:$G62)&lt;4,0,SUM($D62:$G62))</f>
        <v>0</v>
      </c>
      <c r="I62" s="19" t="str">
        <f aca="false">IF($H62=0,"",IF($H62&lt;=8,"Ótimo",IF($H62&lt;=12,"Bom",IF($H62&lt;=16,"Regular",IF($H62&lt;=20,"Alerta","Crítico")))))</f>
        <v/>
      </c>
      <c r="J62" s="20"/>
      <c r="K62" s="20"/>
    </row>
    <row r="63" customFormat="false" ht="15" hidden="false" customHeight="false" outlineLevel="0" collapsed="false">
      <c r="A63" s="21"/>
      <c r="B63" s="33" t="n">
        <f aca="false">IF($A63="",0,INT(($A63-Macrociclo!$C$11)/7)+1)</f>
        <v>0</v>
      </c>
      <c r="C63" s="20"/>
      <c r="D63" s="22"/>
      <c r="E63" s="22"/>
      <c r="F63" s="22"/>
      <c r="G63" s="22"/>
      <c r="H63" s="33" t="n">
        <f aca="false">IF(COUNT($D63:$G63)&lt;4,0,SUM($D63:$G63))</f>
        <v>0</v>
      </c>
      <c r="I63" s="19" t="str">
        <f aca="false">IF($H63=0,"",IF($H63&lt;=8,"Ótimo",IF($H63&lt;=12,"Bom",IF($H63&lt;=16,"Regular",IF($H63&lt;=20,"Alerta","Crítico")))))</f>
        <v/>
      </c>
      <c r="J63" s="20"/>
      <c r="K63" s="20"/>
    </row>
    <row r="64" customFormat="false" ht="15" hidden="false" customHeight="false" outlineLevel="0" collapsed="false">
      <c r="A64" s="21"/>
      <c r="B64" s="33" t="n">
        <f aca="false">IF($A64="",0,INT(($A64-Macrociclo!$C$11)/7)+1)</f>
        <v>0</v>
      </c>
      <c r="C64" s="20"/>
      <c r="D64" s="22"/>
      <c r="E64" s="22"/>
      <c r="F64" s="22"/>
      <c r="G64" s="22"/>
      <c r="H64" s="33" t="n">
        <f aca="false">IF(COUNT($D64:$G64)&lt;4,0,SUM($D64:$G64))</f>
        <v>0</v>
      </c>
      <c r="I64" s="19" t="str">
        <f aca="false">IF($H64=0,"",IF($H64&lt;=8,"Ótimo",IF($H64&lt;=12,"Bom",IF($H64&lt;=16,"Regular",IF($H64&lt;=20,"Alerta","Crítico")))))</f>
        <v/>
      </c>
      <c r="J64" s="20"/>
      <c r="K64" s="20"/>
    </row>
    <row r="65" customFormat="false" ht="15" hidden="false" customHeight="false" outlineLevel="0" collapsed="false">
      <c r="A65" s="21"/>
      <c r="B65" s="33" t="n">
        <f aca="false">IF($A65="",0,INT(($A65-Macrociclo!$C$11)/7)+1)</f>
        <v>0</v>
      </c>
      <c r="C65" s="20"/>
      <c r="D65" s="22"/>
      <c r="E65" s="22"/>
      <c r="F65" s="22"/>
      <c r="G65" s="22"/>
      <c r="H65" s="33" t="n">
        <f aca="false">IF(COUNT($D65:$G65)&lt;4,0,SUM($D65:$G65))</f>
        <v>0</v>
      </c>
      <c r="I65" s="19" t="str">
        <f aca="false">IF($H65=0,"",IF($H65&lt;=8,"Ótimo",IF($H65&lt;=12,"Bom",IF($H65&lt;=16,"Regular",IF($H65&lt;=20,"Alerta","Crítico")))))</f>
        <v/>
      </c>
      <c r="J65" s="20"/>
      <c r="K65" s="20"/>
    </row>
    <row r="66" customFormat="false" ht="15" hidden="false" customHeight="false" outlineLevel="0" collapsed="false">
      <c r="A66" s="21"/>
      <c r="B66" s="33" t="n">
        <f aca="false">IF($A66="",0,INT(($A66-Macrociclo!$C$11)/7)+1)</f>
        <v>0</v>
      </c>
      <c r="C66" s="20"/>
      <c r="D66" s="22"/>
      <c r="E66" s="22"/>
      <c r="F66" s="22"/>
      <c r="G66" s="22"/>
      <c r="H66" s="33" t="n">
        <f aca="false">IF(COUNT($D66:$G66)&lt;4,0,SUM($D66:$G66))</f>
        <v>0</v>
      </c>
      <c r="I66" s="19" t="str">
        <f aca="false">IF($H66=0,"",IF($H66&lt;=8,"Ótimo",IF($H66&lt;=12,"Bom",IF($H66&lt;=16,"Regular",IF($H66&lt;=20,"Alerta","Crítico")))))</f>
        <v/>
      </c>
      <c r="J66" s="20"/>
      <c r="K66" s="20"/>
    </row>
    <row r="67" customFormat="false" ht="15" hidden="false" customHeight="false" outlineLevel="0" collapsed="false">
      <c r="A67" s="21"/>
      <c r="B67" s="33" t="n">
        <f aca="false">IF($A67="",0,INT(($A67-Macrociclo!$C$11)/7)+1)</f>
        <v>0</v>
      </c>
      <c r="C67" s="20"/>
      <c r="D67" s="22"/>
      <c r="E67" s="22"/>
      <c r="F67" s="22"/>
      <c r="G67" s="22"/>
      <c r="H67" s="33" t="n">
        <f aca="false">IF(COUNT($D67:$G67)&lt;4,0,SUM($D67:$G67))</f>
        <v>0</v>
      </c>
      <c r="I67" s="19" t="str">
        <f aca="false">IF($H67=0,"",IF($H67&lt;=8,"Ótimo",IF($H67&lt;=12,"Bom",IF($H67&lt;=16,"Regular",IF($H67&lt;=20,"Alerta","Crítico")))))</f>
        <v/>
      </c>
      <c r="J67" s="20"/>
      <c r="K67" s="20"/>
    </row>
    <row r="68" customFormat="false" ht="15" hidden="false" customHeight="false" outlineLevel="0" collapsed="false">
      <c r="A68" s="21"/>
      <c r="B68" s="33" t="n">
        <f aca="false">IF($A68="",0,INT(($A68-Macrociclo!$C$11)/7)+1)</f>
        <v>0</v>
      </c>
      <c r="C68" s="20"/>
      <c r="D68" s="22"/>
      <c r="E68" s="22"/>
      <c r="F68" s="22"/>
      <c r="G68" s="22"/>
      <c r="H68" s="33" t="n">
        <f aca="false">IF(COUNT($D68:$G68)&lt;4,0,SUM($D68:$G68))</f>
        <v>0</v>
      </c>
      <c r="I68" s="19" t="str">
        <f aca="false">IF($H68=0,"",IF($H68&lt;=8,"Ótimo",IF($H68&lt;=12,"Bom",IF($H68&lt;=16,"Regular",IF($H68&lt;=20,"Alerta","Crítico")))))</f>
        <v/>
      </c>
      <c r="J68" s="20"/>
      <c r="K68" s="20"/>
    </row>
    <row r="69" customFormat="false" ht="15" hidden="false" customHeight="false" outlineLevel="0" collapsed="false">
      <c r="A69" s="21"/>
      <c r="B69" s="33" t="n">
        <f aca="false">IF($A69="",0,INT(($A69-Macrociclo!$C$11)/7)+1)</f>
        <v>0</v>
      </c>
      <c r="C69" s="20"/>
      <c r="D69" s="22"/>
      <c r="E69" s="22"/>
      <c r="F69" s="22"/>
      <c r="G69" s="22"/>
      <c r="H69" s="33" t="n">
        <f aca="false">IF(COUNT($D69:$G69)&lt;4,0,SUM($D69:$G69))</f>
        <v>0</v>
      </c>
      <c r="I69" s="19" t="str">
        <f aca="false">IF($H69=0,"",IF($H69&lt;=8,"Ótimo",IF($H69&lt;=12,"Bom",IF($H69&lt;=16,"Regular",IF($H69&lt;=20,"Alerta","Crítico")))))</f>
        <v/>
      </c>
      <c r="J69" s="20"/>
      <c r="K69" s="20"/>
    </row>
    <row r="70" customFormat="false" ht="15" hidden="false" customHeight="false" outlineLevel="0" collapsed="false">
      <c r="A70" s="21"/>
      <c r="B70" s="33" t="n">
        <f aca="false">IF($A70="",0,INT(($A70-Macrociclo!$C$11)/7)+1)</f>
        <v>0</v>
      </c>
      <c r="C70" s="20"/>
      <c r="D70" s="22"/>
      <c r="E70" s="22"/>
      <c r="F70" s="22"/>
      <c r="G70" s="22"/>
      <c r="H70" s="33" t="n">
        <f aca="false">IF(COUNT($D70:$G70)&lt;4,0,SUM($D70:$G70))</f>
        <v>0</v>
      </c>
      <c r="I70" s="19" t="str">
        <f aca="false">IF($H70=0,"",IF($H70&lt;=8,"Ótimo",IF($H70&lt;=12,"Bom",IF($H70&lt;=16,"Regular",IF($H70&lt;=20,"Alerta","Crítico")))))</f>
        <v/>
      </c>
      <c r="J70" s="20"/>
      <c r="K70" s="20"/>
    </row>
    <row r="71" customFormat="false" ht="15" hidden="false" customHeight="false" outlineLevel="0" collapsed="false">
      <c r="A71" s="21"/>
      <c r="B71" s="33" t="n">
        <f aca="false">IF($A71="",0,INT(($A71-Macrociclo!$C$11)/7)+1)</f>
        <v>0</v>
      </c>
      <c r="C71" s="20"/>
      <c r="D71" s="22"/>
      <c r="E71" s="22"/>
      <c r="F71" s="22"/>
      <c r="G71" s="22"/>
      <c r="H71" s="33" t="n">
        <f aca="false">IF(COUNT($D71:$G71)&lt;4,0,SUM($D71:$G71))</f>
        <v>0</v>
      </c>
      <c r="I71" s="19" t="str">
        <f aca="false">IF($H71=0,"",IF($H71&lt;=8,"Ótimo",IF($H71&lt;=12,"Bom",IF($H71&lt;=16,"Regular",IF($H71&lt;=20,"Alerta","Crítico")))))</f>
        <v/>
      </c>
      <c r="J71" s="20"/>
      <c r="K71" s="20"/>
    </row>
    <row r="72" customFormat="false" ht="15" hidden="false" customHeight="false" outlineLevel="0" collapsed="false">
      <c r="A72" s="21"/>
      <c r="B72" s="33" t="n">
        <f aca="false">IF($A72="",0,INT(($A72-Macrociclo!$C$11)/7)+1)</f>
        <v>0</v>
      </c>
      <c r="C72" s="20"/>
      <c r="D72" s="22"/>
      <c r="E72" s="22"/>
      <c r="F72" s="22"/>
      <c r="G72" s="22"/>
      <c r="H72" s="33" t="n">
        <f aca="false">IF(COUNT($D72:$G72)&lt;4,0,SUM($D72:$G72))</f>
        <v>0</v>
      </c>
      <c r="I72" s="19" t="str">
        <f aca="false">IF($H72=0,"",IF($H72&lt;=8,"Ótimo",IF($H72&lt;=12,"Bom",IF($H72&lt;=16,"Regular",IF($H72&lt;=20,"Alerta","Crítico")))))</f>
        <v/>
      </c>
      <c r="J72" s="20"/>
      <c r="K72" s="20"/>
    </row>
    <row r="73" customFormat="false" ht="15" hidden="false" customHeight="false" outlineLevel="0" collapsed="false">
      <c r="A73" s="21"/>
      <c r="B73" s="33" t="n">
        <f aca="false">IF($A73="",0,INT(($A73-Macrociclo!$C$11)/7)+1)</f>
        <v>0</v>
      </c>
      <c r="C73" s="20"/>
      <c r="D73" s="22"/>
      <c r="E73" s="22"/>
      <c r="F73" s="22"/>
      <c r="G73" s="22"/>
      <c r="H73" s="33" t="n">
        <f aca="false">IF(COUNT($D73:$G73)&lt;4,0,SUM($D73:$G73))</f>
        <v>0</v>
      </c>
      <c r="I73" s="19" t="str">
        <f aca="false">IF($H73=0,"",IF($H73&lt;=8,"Ótimo",IF($H73&lt;=12,"Bom",IF($H73&lt;=16,"Regular",IF($H73&lt;=20,"Alerta","Crítico")))))</f>
        <v/>
      </c>
      <c r="J73" s="20"/>
      <c r="K73" s="20"/>
    </row>
    <row r="74" customFormat="false" ht="15" hidden="false" customHeight="false" outlineLevel="0" collapsed="false">
      <c r="A74" s="21"/>
      <c r="B74" s="33" t="n">
        <f aca="false">IF($A74="",0,INT(($A74-Macrociclo!$C$11)/7)+1)</f>
        <v>0</v>
      </c>
      <c r="C74" s="20"/>
      <c r="D74" s="22"/>
      <c r="E74" s="22"/>
      <c r="F74" s="22"/>
      <c r="G74" s="22"/>
      <c r="H74" s="33" t="n">
        <f aca="false">IF(COUNT($D74:$G74)&lt;4,0,SUM($D74:$G74))</f>
        <v>0</v>
      </c>
      <c r="I74" s="19" t="str">
        <f aca="false">IF($H74=0,"",IF($H74&lt;=8,"Ótimo",IF($H74&lt;=12,"Bom",IF($H74&lt;=16,"Regular",IF($H74&lt;=20,"Alerta","Crítico")))))</f>
        <v/>
      </c>
      <c r="J74" s="20"/>
      <c r="K74" s="20"/>
    </row>
    <row r="75" customFormat="false" ht="15" hidden="false" customHeight="false" outlineLevel="0" collapsed="false">
      <c r="A75" s="21"/>
      <c r="B75" s="33" t="n">
        <f aca="false">IF($A75="",0,INT(($A75-Macrociclo!$C$11)/7)+1)</f>
        <v>0</v>
      </c>
      <c r="C75" s="20"/>
      <c r="D75" s="22"/>
      <c r="E75" s="22"/>
      <c r="F75" s="22"/>
      <c r="G75" s="22"/>
      <c r="H75" s="33" t="n">
        <f aca="false">IF(COUNT($D75:$G75)&lt;4,0,SUM($D75:$G75))</f>
        <v>0</v>
      </c>
      <c r="I75" s="19" t="str">
        <f aca="false">IF($H75=0,"",IF($H75&lt;=8,"Ótimo",IF($H75&lt;=12,"Bom",IF($H75&lt;=16,"Regular",IF($H75&lt;=20,"Alerta","Crítico")))))</f>
        <v/>
      </c>
      <c r="J75" s="20"/>
      <c r="K75" s="20"/>
    </row>
    <row r="76" customFormat="false" ht="15" hidden="false" customHeight="false" outlineLevel="0" collapsed="false">
      <c r="A76" s="21"/>
      <c r="B76" s="33" t="n">
        <f aca="false">IF($A76="",0,INT(($A76-Macrociclo!$C$11)/7)+1)</f>
        <v>0</v>
      </c>
      <c r="C76" s="20"/>
      <c r="D76" s="22"/>
      <c r="E76" s="22"/>
      <c r="F76" s="22"/>
      <c r="G76" s="22"/>
      <c r="H76" s="33" t="n">
        <f aca="false">IF(COUNT($D76:$G76)&lt;4,0,SUM($D76:$G76))</f>
        <v>0</v>
      </c>
      <c r="I76" s="19" t="str">
        <f aca="false">IF($H76=0,"",IF($H76&lt;=8,"Ótimo",IF($H76&lt;=12,"Bom",IF($H76&lt;=16,"Regular",IF($H76&lt;=20,"Alerta","Crítico")))))</f>
        <v/>
      </c>
      <c r="J76" s="20"/>
      <c r="K76" s="20"/>
    </row>
    <row r="77" customFormat="false" ht="15" hidden="false" customHeight="false" outlineLevel="0" collapsed="false">
      <c r="A77" s="21"/>
      <c r="B77" s="33" t="n">
        <f aca="false">IF($A77="",0,INT(($A77-Macrociclo!$C$11)/7)+1)</f>
        <v>0</v>
      </c>
      <c r="C77" s="20"/>
      <c r="D77" s="22"/>
      <c r="E77" s="22"/>
      <c r="F77" s="22"/>
      <c r="G77" s="22"/>
      <c r="H77" s="33" t="n">
        <f aca="false">IF(COUNT($D77:$G77)&lt;4,0,SUM($D77:$G77))</f>
        <v>0</v>
      </c>
      <c r="I77" s="19" t="str">
        <f aca="false">IF($H77=0,"",IF($H77&lt;=8,"Ótimo",IF($H77&lt;=12,"Bom",IF($H77&lt;=16,"Regular",IF($H77&lt;=20,"Alerta","Crítico")))))</f>
        <v/>
      </c>
      <c r="J77" s="20"/>
      <c r="K77" s="20"/>
    </row>
    <row r="78" customFormat="false" ht="15" hidden="false" customHeight="false" outlineLevel="0" collapsed="false">
      <c r="A78" s="21"/>
      <c r="B78" s="33" t="n">
        <f aca="false">IF($A78="",0,INT(($A78-Macrociclo!$C$11)/7)+1)</f>
        <v>0</v>
      </c>
      <c r="C78" s="20"/>
      <c r="D78" s="22"/>
      <c r="E78" s="22"/>
      <c r="F78" s="22"/>
      <c r="G78" s="22"/>
      <c r="H78" s="33" t="n">
        <f aca="false">IF(COUNT($D78:$G78)&lt;4,0,SUM($D78:$G78))</f>
        <v>0</v>
      </c>
      <c r="I78" s="19" t="str">
        <f aca="false">IF($H78=0,"",IF($H78&lt;=8,"Ótimo",IF($H78&lt;=12,"Bom",IF($H78&lt;=16,"Regular",IF($H78&lt;=20,"Alerta","Crítico")))))</f>
        <v/>
      </c>
      <c r="J78" s="20"/>
      <c r="K78" s="20"/>
    </row>
    <row r="79" customFormat="false" ht="15" hidden="false" customHeight="false" outlineLevel="0" collapsed="false">
      <c r="A79" s="21"/>
      <c r="B79" s="33" t="n">
        <f aca="false">IF($A79="",0,INT(($A79-Macrociclo!$C$11)/7)+1)</f>
        <v>0</v>
      </c>
      <c r="C79" s="20"/>
      <c r="D79" s="22"/>
      <c r="E79" s="22"/>
      <c r="F79" s="22"/>
      <c r="G79" s="22"/>
      <c r="H79" s="33" t="n">
        <f aca="false">IF(COUNT($D79:$G79)&lt;4,0,SUM($D79:$G79))</f>
        <v>0</v>
      </c>
      <c r="I79" s="19" t="str">
        <f aca="false">IF($H79=0,"",IF($H79&lt;=8,"Ótimo",IF($H79&lt;=12,"Bom",IF($H79&lt;=16,"Regular",IF($H79&lt;=20,"Alerta","Crítico")))))</f>
        <v/>
      </c>
      <c r="J79" s="20"/>
      <c r="K79" s="20"/>
    </row>
    <row r="80" customFormat="false" ht="15" hidden="false" customHeight="false" outlineLevel="0" collapsed="false">
      <c r="A80" s="21"/>
      <c r="B80" s="33" t="n">
        <f aca="false">IF($A80="",0,INT(($A80-Macrociclo!$C$11)/7)+1)</f>
        <v>0</v>
      </c>
      <c r="C80" s="20"/>
      <c r="D80" s="22"/>
      <c r="E80" s="22"/>
      <c r="F80" s="22"/>
      <c r="G80" s="22"/>
      <c r="H80" s="33" t="n">
        <f aca="false">IF(COUNT($D80:$G80)&lt;4,0,SUM($D80:$G80))</f>
        <v>0</v>
      </c>
      <c r="I80" s="19" t="str">
        <f aca="false">IF($H80=0,"",IF($H80&lt;=8,"Ótimo",IF($H80&lt;=12,"Bom",IF($H80&lt;=16,"Regular",IF($H80&lt;=20,"Alerta","Crítico")))))</f>
        <v/>
      </c>
      <c r="J80" s="20"/>
      <c r="K80" s="20"/>
    </row>
    <row r="81" customFormat="false" ht="15" hidden="false" customHeight="false" outlineLevel="0" collapsed="false">
      <c r="A81" s="21"/>
      <c r="B81" s="33" t="n">
        <f aca="false">IF($A81="",0,INT(($A81-Macrociclo!$C$11)/7)+1)</f>
        <v>0</v>
      </c>
      <c r="C81" s="20"/>
      <c r="D81" s="22"/>
      <c r="E81" s="22"/>
      <c r="F81" s="22"/>
      <c r="G81" s="22"/>
      <c r="H81" s="33" t="n">
        <f aca="false">IF(COUNT($D81:$G81)&lt;4,0,SUM($D81:$G81))</f>
        <v>0</v>
      </c>
      <c r="I81" s="19" t="str">
        <f aca="false">IF($H81=0,"",IF($H81&lt;=8,"Ótimo",IF($H81&lt;=12,"Bom",IF($H81&lt;=16,"Regular",IF($H81&lt;=20,"Alerta","Crítico")))))</f>
        <v/>
      </c>
      <c r="J81" s="20"/>
      <c r="K81" s="20"/>
    </row>
    <row r="82" customFormat="false" ht="15" hidden="false" customHeight="false" outlineLevel="0" collapsed="false">
      <c r="A82" s="21"/>
      <c r="B82" s="33" t="n">
        <f aca="false">IF($A82="",0,INT(($A82-Macrociclo!$C$11)/7)+1)</f>
        <v>0</v>
      </c>
      <c r="C82" s="20"/>
      <c r="D82" s="22"/>
      <c r="E82" s="22"/>
      <c r="F82" s="22"/>
      <c r="G82" s="22"/>
      <c r="H82" s="33" t="n">
        <f aca="false">IF(COUNT($D82:$G82)&lt;4,0,SUM($D82:$G82))</f>
        <v>0</v>
      </c>
      <c r="I82" s="19" t="str">
        <f aca="false">IF($H82=0,"",IF($H82&lt;=8,"Ótimo",IF($H82&lt;=12,"Bom",IF($H82&lt;=16,"Regular",IF($H82&lt;=20,"Alerta","Crítico")))))</f>
        <v/>
      </c>
      <c r="J82" s="20"/>
      <c r="K82" s="20"/>
    </row>
    <row r="83" customFormat="false" ht="15" hidden="false" customHeight="false" outlineLevel="0" collapsed="false">
      <c r="A83" s="21"/>
      <c r="B83" s="33" t="n">
        <f aca="false">IF($A83="",0,INT(($A83-Macrociclo!$C$11)/7)+1)</f>
        <v>0</v>
      </c>
      <c r="C83" s="20"/>
      <c r="D83" s="22"/>
      <c r="E83" s="22"/>
      <c r="F83" s="22"/>
      <c r="G83" s="22"/>
      <c r="H83" s="33" t="n">
        <f aca="false">IF(COUNT($D83:$G83)&lt;4,0,SUM($D83:$G83))</f>
        <v>0</v>
      </c>
      <c r="I83" s="19" t="str">
        <f aca="false">IF($H83=0,"",IF($H83&lt;=8,"Ótimo",IF($H83&lt;=12,"Bom",IF($H83&lt;=16,"Regular",IF($H83&lt;=20,"Alerta","Crítico")))))</f>
        <v/>
      </c>
      <c r="J83" s="20"/>
      <c r="K83" s="20"/>
    </row>
    <row r="84" customFormat="false" ht="15" hidden="false" customHeight="false" outlineLevel="0" collapsed="false">
      <c r="A84" s="21"/>
      <c r="B84" s="33" t="n">
        <f aca="false">IF($A84="",0,INT(($A84-Macrociclo!$C$11)/7)+1)</f>
        <v>0</v>
      </c>
      <c r="C84" s="20"/>
      <c r="D84" s="22"/>
      <c r="E84" s="22"/>
      <c r="F84" s="22"/>
      <c r="G84" s="22"/>
      <c r="H84" s="33" t="n">
        <f aca="false">IF(COUNT($D84:$G84)&lt;4,0,SUM($D84:$G84))</f>
        <v>0</v>
      </c>
      <c r="I84" s="19" t="str">
        <f aca="false">IF($H84=0,"",IF($H84&lt;=8,"Ótimo",IF($H84&lt;=12,"Bom",IF($H84&lt;=16,"Regular",IF($H84&lt;=20,"Alerta","Crítico")))))</f>
        <v/>
      </c>
      <c r="J84" s="20"/>
      <c r="K84" s="20"/>
    </row>
    <row r="85" customFormat="false" ht="15" hidden="false" customHeight="false" outlineLevel="0" collapsed="false">
      <c r="A85" s="21"/>
      <c r="B85" s="33" t="n">
        <f aca="false">IF($A85="",0,INT(($A85-Macrociclo!$C$11)/7)+1)</f>
        <v>0</v>
      </c>
      <c r="C85" s="20"/>
      <c r="D85" s="22"/>
      <c r="E85" s="22"/>
      <c r="F85" s="22"/>
      <c r="G85" s="22"/>
      <c r="H85" s="33" t="n">
        <f aca="false">IF(COUNT($D85:$G85)&lt;4,0,SUM($D85:$G85))</f>
        <v>0</v>
      </c>
      <c r="I85" s="19" t="str">
        <f aca="false">IF($H85=0,"",IF($H85&lt;=8,"Ótimo",IF($H85&lt;=12,"Bom",IF($H85&lt;=16,"Regular",IF($H85&lt;=20,"Alerta","Crítico")))))</f>
        <v/>
      </c>
      <c r="J85" s="20"/>
      <c r="K85" s="20"/>
    </row>
    <row r="86" customFormat="false" ht="15" hidden="false" customHeight="false" outlineLevel="0" collapsed="false">
      <c r="A86" s="21"/>
      <c r="B86" s="33" t="n">
        <f aca="false">IF($A86="",0,INT(($A86-Macrociclo!$C$11)/7)+1)</f>
        <v>0</v>
      </c>
      <c r="C86" s="20"/>
      <c r="D86" s="22"/>
      <c r="E86" s="22"/>
      <c r="F86" s="22"/>
      <c r="G86" s="22"/>
      <c r="H86" s="33" t="n">
        <f aca="false">IF(COUNT($D86:$G86)&lt;4,0,SUM($D86:$G86))</f>
        <v>0</v>
      </c>
      <c r="I86" s="19" t="str">
        <f aca="false">IF($H86=0,"",IF($H86&lt;=8,"Ótimo",IF($H86&lt;=12,"Bom",IF($H86&lt;=16,"Regular",IF($H86&lt;=20,"Alerta","Crítico")))))</f>
        <v/>
      </c>
      <c r="J86" s="20"/>
      <c r="K86" s="20"/>
    </row>
    <row r="87" customFormat="false" ht="15" hidden="false" customHeight="false" outlineLevel="0" collapsed="false">
      <c r="A87" s="21"/>
      <c r="B87" s="33" t="n">
        <f aca="false">IF($A87="",0,INT(($A87-Macrociclo!$C$11)/7)+1)</f>
        <v>0</v>
      </c>
      <c r="C87" s="20"/>
      <c r="D87" s="22"/>
      <c r="E87" s="22"/>
      <c r="F87" s="22"/>
      <c r="G87" s="22"/>
      <c r="H87" s="33" t="n">
        <f aca="false">IF(COUNT($D87:$G87)&lt;4,0,SUM($D87:$G87))</f>
        <v>0</v>
      </c>
      <c r="I87" s="19" t="str">
        <f aca="false">IF($H87=0,"",IF($H87&lt;=8,"Ótimo",IF($H87&lt;=12,"Bom",IF($H87&lt;=16,"Regular",IF($H87&lt;=20,"Alerta","Crítico")))))</f>
        <v/>
      </c>
      <c r="J87" s="20"/>
      <c r="K87" s="20"/>
    </row>
    <row r="88" customFormat="false" ht="15" hidden="false" customHeight="false" outlineLevel="0" collapsed="false">
      <c r="A88" s="21"/>
      <c r="B88" s="33" t="n">
        <f aca="false">IF($A88="",0,INT(($A88-Macrociclo!$C$11)/7)+1)</f>
        <v>0</v>
      </c>
      <c r="C88" s="20"/>
      <c r="D88" s="22"/>
      <c r="E88" s="22"/>
      <c r="F88" s="22"/>
      <c r="G88" s="22"/>
      <c r="H88" s="33" t="n">
        <f aca="false">IF(COUNT($D88:$G88)&lt;4,0,SUM($D88:$G88))</f>
        <v>0</v>
      </c>
      <c r="I88" s="19" t="str">
        <f aca="false">IF($H88=0,"",IF($H88&lt;=8,"Ótimo",IF($H88&lt;=12,"Bom",IF($H88&lt;=16,"Regular",IF($H88&lt;=20,"Alerta","Crítico")))))</f>
        <v/>
      </c>
      <c r="J88" s="20"/>
      <c r="K88" s="20"/>
    </row>
    <row r="89" customFormat="false" ht="15" hidden="false" customHeight="false" outlineLevel="0" collapsed="false">
      <c r="A89" s="21"/>
      <c r="B89" s="33" t="n">
        <f aca="false">IF($A89="",0,INT(($A89-Macrociclo!$C$11)/7)+1)</f>
        <v>0</v>
      </c>
      <c r="C89" s="20"/>
      <c r="D89" s="22"/>
      <c r="E89" s="22"/>
      <c r="F89" s="22"/>
      <c r="G89" s="22"/>
      <c r="H89" s="33" t="n">
        <f aca="false">IF(COUNT($D89:$G89)&lt;4,0,SUM($D89:$G89))</f>
        <v>0</v>
      </c>
      <c r="I89" s="19" t="str">
        <f aca="false">IF($H89=0,"",IF($H89&lt;=8,"Ótimo",IF($H89&lt;=12,"Bom",IF($H89&lt;=16,"Regular",IF($H89&lt;=20,"Alerta","Crítico")))))</f>
        <v/>
      </c>
      <c r="J89" s="20"/>
      <c r="K89" s="20"/>
    </row>
    <row r="90" customFormat="false" ht="15" hidden="false" customHeight="false" outlineLevel="0" collapsed="false">
      <c r="A90" s="21"/>
      <c r="B90" s="33" t="n">
        <f aca="false">IF($A90="",0,INT(($A90-Macrociclo!$C$11)/7)+1)</f>
        <v>0</v>
      </c>
      <c r="C90" s="20"/>
      <c r="D90" s="22"/>
      <c r="E90" s="22"/>
      <c r="F90" s="22"/>
      <c r="G90" s="22"/>
      <c r="H90" s="33" t="n">
        <f aca="false">IF(COUNT($D90:$G90)&lt;4,0,SUM($D90:$G90))</f>
        <v>0</v>
      </c>
      <c r="I90" s="19" t="str">
        <f aca="false">IF($H90=0,"",IF($H90&lt;=8,"Ótimo",IF($H90&lt;=12,"Bom",IF($H90&lt;=16,"Regular",IF($H90&lt;=20,"Alerta","Crítico")))))</f>
        <v/>
      </c>
      <c r="J90" s="20"/>
      <c r="K90" s="20"/>
    </row>
    <row r="91" customFormat="false" ht="15" hidden="false" customHeight="false" outlineLevel="0" collapsed="false">
      <c r="A91" s="21"/>
      <c r="B91" s="33" t="n">
        <f aca="false">IF($A91="",0,INT(($A91-Macrociclo!$C$11)/7)+1)</f>
        <v>0</v>
      </c>
      <c r="C91" s="20"/>
      <c r="D91" s="22"/>
      <c r="E91" s="22"/>
      <c r="F91" s="22"/>
      <c r="G91" s="22"/>
      <c r="H91" s="33" t="n">
        <f aca="false">IF(COUNT($D91:$G91)&lt;4,0,SUM($D91:$G91))</f>
        <v>0</v>
      </c>
      <c r="I91" s="19" t="str">
        <f aca="false">IF($H91=0,"",IF($H91&lt;=8,"Ótimo",IF($H91&lt;=12,"Bom",IF($H91&lt;=16,"Regular",IF($H91&lt;=20,"Alerta","Crítico")))))</f>
        <v/>
      </c>
      <c r="J91" s="20"/>
      <c r="K91" s="20"/>
    </row>
    <row r="92" customFormat="false" ht="15" hidden="false" customHeight="false" outlineLevel="0" collapsed="false">
      <c r="A92" s="21"/>
      <c r="B92" s="33" t="n">
        <f aca="false">IF($A92="",0,INT(($A92-Macrociclo!$C$11)/7)+1)</f>
        <v>0</v>
      </c>
      <c r="C92" s="20"/>
      <c r="D92" s="22"/>
      <c r="E92" s="22"/>
      <c r="F92" s="22"/>
      <c r="G92" s="22"/>
      <c r="H92" s="33" t="n">
        <f aca="false">IF(COUNT($D92:$G92)&lt;4,0,SUM($D92:$G92))</f>
        <v>0</v>
      </c>
      <c r="I92" s="19" t="str">
        <f aca="false">IF($H92=0,"",IF($H92&lt;=8,"Ótimo",IF($H92&lt;=12,"Bom",IF($H92&lt;=16,"Regular",IF($H92&lt;=20,"Alerta","Crítico")))))</f>
        <v/>
      </c>
      <c r="J92" s="20"/>
      <c r="K92" s="20"/>
    </row>
    <row r="93" customFormat="false" ht="15" hidden="false" customHeight="false" outlineLevel="0" collapsed="false">
      <c r="A93" s="21"/>
      <c r="B93" s="33" t="n">
        <f aca="false">IF($A93="",0,INT(($A93-Macrociclo!$C$11)/7)+1)</f>
        <v>0</v>
      </c>
      <c r="C93" s="20"/>
      <c r="D93" s="22"/>
      <c r="E93" s="22"/>
      <c r="F93" s="22"/>
      <c r="G93" s="22"/>
      <c r="H93" s="33" t="n">
        <f aca="false">IF(COUNT($D93:$G93)&lt;4,0,SUM($D93:$G93))</f>
        <v>0</v>
      </c>
      <c r="I93" s="19" t="str">
        <f aca="false">IF($H93=0,"",IF($H93&lt;=8,"Ótimo",IF($H93&lt;=12,"Bom",IF($H93&lt;=16,"Regular",IF($H93&lt;=20,"Alerta","Crítico")))))</f>
        <v/>
      </c>
      <c r="J93" s="20"/>
      <c r="K93" s="20"/>
    </row>
    <row r="94" customFormat="false" ht="15" hidden="false" customHeight="false" outlineLevel="0" collapsed="false">
      <c r="A94" s="21"/>
      <c r="B94" s="33" t="n">
        <f aca="false">IF($A94="",0,INT(($A94-Macrociclo!$C$11)/7)+1)</f>
        <v>0</v>
      </c>
      <c r="C94" s="20"/>
      <c r="D94" s="22"/>
      <c r="E94" s="22"/>
      <c r="F94" s="22"/>
      <c r="G94" s="22"/>
      <c r="H94" s="33" t="n">
        <f aca="false">IF(COUNT($D94:$G94)&lt;4,0,SUM($D94:$G94))</f>
        <v>0</v>
      </c>
      <c r="I94" s="19" t="str">
        <f aca="false">IF($H94=0,"",IF($H94&lt;=8,"Ótimo",IF($H94&lt;=12,"Bom",IF($H94&lt;=16,"Regular",IF($H94&lt;=20,"Alerta","Crítico")))))</f>
        <v/>
      </c>
      <c r="J94" s="20"/>
      <c r="K94" s="20"/>
    </row>
    <row r="95" customFormat="false" ht="15" hidden="false" customHeight="false" outlineLevel="0" collapsed="false">
      <c r="A95" s="21"/>
      <c r="B95" s="33" t="n">
        <f aca="false">IF($A95="",0,INT(($A95-Macrociclo!$C$11)/7)+1)</f>
        <v>0</v>
      </c>
      <c r="C95" s="20"/>
      <c r="D95" s="22"/>
      <c r="E95" s="22"/>
      <c r="F95" s="22"/>
      <c r="G95" s="22"/>
      <c r="H95" s="33" t="n">
        <f aca="false">IF(COUNT($D95:$G95)&lt;4,0,SUM($D95:$G95))</f>
        <v>0</v>
      </c>
      <c r="I95" s="19" t="str">
        <f aca="false">IF($H95=0,"",IF($H95&lt;=8,"Ótimo",IF($H95&lt;=12,"Bom",IF($H95&lt;=16,"Regular",IF($H95&lt;=20,"Alerta","Crítico")))))</f>
        <v/>
      </c>
      <c r="J95" s="20"/>
      <c r="K95" s="20"/>
    </row>
    <row r="96" customFormat="false" ht="15" hidden="false" customHeight="false" outlineLevel="0" collapsed="false">
      <c r="A96" s="21"/>
      <c r="B96" s="33" t="n">
        <f aca="false">IF($A96="",0,INT(($A96-Macrociclo!$C$11)/7)+1)</f>
        <v>0</v>
      </c>
      <c r="C96" s="20"/>
      <c r="D96" s="22"/>
      <c r="E96" s="22"/>
      <c r="F96" s="22"/>
      <c r="G96" s="22"/>
      <c r="H96" s="33" t="n">
        <f aca="false">IF(COUNT($D96:$G96)&lt;4,0,SUM($D96:$G96))</f>
        <v>0</v>
      </c>
      <c r="I96" s="19" t="str">
        <f aca="false">IF($H96=0,"",IF($H96&lt;=8,"Ótimo",IF($H96&lt;=12,"Bom",IF($H96&lt;=16,"Regular",IF($H96&lt;=20,"Alerta","Crítico")))))</f>
        <v/>
      </c>
      <c r="J96" s="20"/>
      <c r="K96" s="20"/>
    </row>
    <row r="97" customFormat="false" ht="15" hidden="false" customHeight="false" outlineLevel="0" collapsed="false">
      <c r="A97" s="21"/>
      <c r="B97" s="33" t="n">
        <f aca="false">IF($A97="",0,INT(($A97-Macrociclo!$C$11)/7)+1)</f>
        <v>0</v>
      </c>
      <c r="C97" s="20"/>
      <c r="D97" s="22"/>
      <c r="E97" s="22"/>
      <c r="F97" s="22"/>
      <c r="G97" s="22"/>
      <c r="H97" s="33" t="n">
        <f aca="false">IF(COUNT($D97:$G97)&lt;4,0,SUM($D97:$G97))</f>
        <v>0</v>
      </c>
      <c r="I97" s="19" t="str">
        <f aca="false">IF($H97=0,"",IF($H97&lt;=8,"Ótimo",IF($H97&lt;=12,"Bom",IF($H97&lt;=16,"Regular",IF($H97&lt;=20,"Alerta","Crítico")))))</f>
        <v/>
      </c>
      <c r="J97" s="20"/>
      <c r="K97" s="20"/>
    </row>
    <row r="98" customFormat="false" ht="15" hidden="false" customHeight="false" outlineLevel="0" collapsed="false">
      <c r="A98" s="21"/>
      <c r="B98" s="33" t="n">
        <f aca="false">IF($A98="",0,INT(($A98-Macrociclo!$C$11)/7)+1)</f>
        <v>0</v>
      </c>
      <c r="C98" s="20"/>
      <c r="D98" s="22"/>
      <c r="E98" s="22"/>
      <c r="F98" s="22"/>
      <c r="G98" s="22"/>
      <c r="H98" s="33" t="n">
        <f aca="false">IF(COUNT($D98:$G98)&lt;4,0,SUM($D98:$G98))</f>
        <v>0</v>
      </c>
      <c r="I98" s="19" t="str">
        <f aca="false">IF($H98=0,"",IF($H98&lt;=8,"Ótimo",IF($H98&lt;=12,"Bom",IF($H98&lt;=16,"Regular",IF($H98&lt;=20,"Alerta","Crítico")))))</f>
        <v/>
      </c>
      <c r="J98" s="20"/>
      <c r="K98" s="20"/>
    </row>
    <row r="99" customFormat="false" ht="15" hidden="false" customHeight="false" outlineLevel="0" collapsed="false">
      <c r="A99" s="21"/>
      <c r="B99" s="33" t="n">
        <f aca="false">IF($A99="",0,INT(($A99-Macrociclo!$C$11)/7)+1)</f>
        <v>0</v>
      </c>
      <c r="C99" s="20"/>
      <c r="D99" s="22"/>
      <c r="E99" s="22"/>
      <c r="F99" s="22"/>
      <c r="G99" s="22"/>
      <c r="H99" s="33" t="n">
        <f aca="false">IF(COUNT($D99:$G99)&lt;4,0,SUM($D99:$G99))</f>
        <v>0</v>
      </c>
      <c r="I99" s="19" t="str">
        <f aca="false">IF($H99=0,"",IF($H99&lt;=8,"Ótimo",IF($H99&lt;=12,"Bom",IF($H99&lt;=16,"Regular",IF($H99&lt;=20,"Alerta","Crítico")))))</f>
        <v/>
      </c>
      <c r="J99" s="20"/>
      <c r="K99" s="20"/>
    </row>
    <row r="100" customFormat="false" ht="15" hidden="false" customHeight="false" outlineLevel="0" collapsed="false">
      <c r="A100" s="21"/>
      <c r="B100" s="33" t="n">
        <f aca="false">IF($A100="",0,INT(($A100-Macrociclo!$C$11)/7)+1)</f>
        <v>0</v>
      </c>
      <c r="C100" s="20"/>
      <c r="D100" s="22"/>
      <c r="E100" s="22"/>
      <c r="F100" s="22"/>
      <c r="G100" s="22"/>
      <c r="H100" s="33" t="n">
        <f aca="false">IF(COUNT($D100:$G100)&lt;4,0,SUM($D100:$G100))</f>
        <v>0</v>
      </c>
      <c r="I100" s="19" t="str">
        <f aca="false">IF($H100=0,"",IF($H100&lt;=8,"Ótimo",IF($H100&lt;=12,"Bom",IF($H100&lt;=16,"Regular",IF($H100&lt;=20,"Alerta","Crítico")))))</f>
        <v/>
      </c>
      <c r="J100" s="20"/>
      <c r="K100" s="20"/>
    </row>
    <row r="101" customFormat="false" ht="15" hidden="false" customHeight="false" outlineLevel="0" collapsed="false">
      <c r="A101" s="21"/>
      <c r="B101" s="33" t="n">
        <f aca="false">IF($A101="",0,INT(($A101-Macrociclo!$C$11)/7)+1)</f>
        <v>0</v>
      </c>
      <c r="C101" s="20"/>
      <c r="D101" s="22"/>
      <c r="E101" s="22"/>
      <c r="F101" s="22"/>
      <c r="G101" s="22"/>
      <c r="H101" s="33" t="n">
        <f aca="false">IF(COUNT($D101:$G101)&lt;4,0,SUM($D101:$G101))</f>
        <v>0</v>
      </c>
      <c r="I101" s="19" t="str">
        <f aca="false">IF($H101=0,"",IF($H101&lt;=8,"Ótimo",IF($H101&lt;=12,"Bom",IF($H101&lt;=16,"Regular",IF($H101&lt;=20,"Alerta","Crítico")))))</f>
        <v/>
      </c>
      <c r="J101" s="20"/>
      <c r="K101" s="20"/>
    </row>
    <row r="102" customFormat="false" ht="15" hidden="false" customHeight="false" outlineLevel="0" collapsed="false">
      <c r="A102" s="21"/>
      <c r="B102" s="33" t="n">
        <f aca="false">IF($A102="",0,INT(($A102-Macrociclo!$C$11)/7)+1)</f>
        <v>0</v>
      </c>
      <c r="C102" s="20"/>
      <c r="D102" s="22"/>
      <c r="E102" s="22"/>
      <c r="F102" s="22"/>
      <c r="G102" s="22"/>
      <c r="H102" s="33" t="n">
        <f aca="false">IF(COUNT($D102:$G102)&lt;4,0,SUM($D102:$G102))</f>
        <v>0</v>
      </c>
      <c r="I102" s="19" t="str">
        <f aca="false">IF($H102=0,"",IF($H102&lt;=8,"Ótimo",IF($H102&lt;=12,"Bom",IF($H102&lt;=16,"Regular",IF($H102&lt;=20,"Alerta","Crítico")))))</f>
        <v/>
      </c>
      <c r="J102" s="20"/>
      <c r="K102" s="20"/>
    </row>
    <row r="103" customFormat="false" ht="15" hidden="false" customHeight="false" outlineLevel="0" collapsed="false">
      <c r="A103" s="21"/>
      <c r="B103" s="33" t="n">
        <f aca="false">IF($A103="",0,INT(($A103-Macrociclo!$C$11)/7)+1)</f>
        <v>0</v>
      </c>
      <c r="C103" s="20"/>
      <c r="D103" s="22"/>
      <c r="E103" s="22"/>
      <c r="F103" s="22"/>
      <c r="G103" s="22"/>
      <c r="H103" s="33" t="n">
        <f aca="false">IF(COUNT($D103:$G103)&lt;4,0,SUM($D103:$G103))</f>
        <v>0</v>
      </c>
      <c r="I103" s="19" t="str">
        <f aca="false">IF($H103=0,"",IF($H103&lt;=8,"Ótimo",IF($H103&lt;=12,"Bom",IF($H103&lt;=16,"Regular",IF($H103&lt;=20,"Alerta","Crítico")))))</f>
        <v/>
      </c>
      <c r="J103" s="20"/>
      <c r="K103" s="20"/>
    </row>
    <row r="104" customFormat="false" ht="15" hidden="false" customHeight="false" outlineLevel="0" collapsed="false">
      <c r="A104" s="21"/>
      <c r="B104" s="33" t="n">
        <f aca="false">IF($A104="",0,INT(($A104-Macrociclo!$C$11)/7)+1)</f>
        <v>0</v>
      </c>
      <c r="C104" s="20"/>
      <c r="D104" s="22"/>
      <c r="E104" s="22"/>
      <c r="F104" s="22"/>
      <c r="G104" s="22"/>
      <c r="H104" s="33" t="n">
        <f aca="false">IF(COUNT($D104:$G104)&lt;4,0,SUM($D104:$G104))</f>
        <v>0</v>
      </c>
      <c r="I104" s="19" t="str">
        <f aca="false">IF($H104=0,"",IF($H104&lt;=8,"Ótimo",IF($H104&lt;=12,"Bom",IF($H104&lt;=16,"Regular",IF($H104&lt;=20,"Alerta","Crítico")))))</f>
        <v/>
      </c>
      <c r="J104" s="20"/>
      <c r="K104" s="20"/>
    </row>
    <row r="105" customFormat="false" ht="15" hidden="false" customHeight="false" outlineLevel="0" collapsed="false">
      <c r="A105" s="21"/>
      <c r="B105" s="33" t="n">
        <f aca="false">IF($A105="",0,INT(($A105-Macrociclo!$C$11)/7)+1)</f>
        <v>0</v>
      </c>
      <c r="C105" s="20"/>
      <c r="D105" s="22"/>
      <c r="E105" s="22"/>
      <c r="F105" s="22"/>
      <c r="G105" s="22"/>
      <c r="H105" s="33" t="n">
        <f aca="false">IF(COUNT($D105:$G105)&lt;4,0,SUM($D105:$G105))</f>
        <v>0</v>
      </c>
      <c r="I105" s="19" t="str">
        <f aca="false">IF($H105=0,"",IF($H105&lt;=8,"Ótimo",IF($H105&lt;=12,"Bom",IF($H105&lt;=16,"Regular",IF($H105&lt;=20,"Alerta","Crítico")))))</f>
        <v/>
      </c>
      <c r="J105" s="20"/>
      <c r="K105" s="20"/>
    </row>
    <row r="106" customFormat="false" ht="15" hidden="false" customHeight="false" outlineLevel="0" collapsed="false">
      <c r="A106" s="21"/>
      <c r="B106" s="33" t="n">
        <f aca="false">IF($A106="",0,INT(($A106-Macrociclo!$C$11)/7)+1)</f>
        <v>0</v>
      </c>
      <c r="C106" s="20"/>
      <c r="D106" s="22"/>
      <c r="E106" s="22"/>
      <c r="F106" s="22"/>
      <c r="G106" s="22"/>
      <c r="H106" s="33" t="n">
        <f aca="false">IF(COUNT($D106:$G106)&lt;4,0,SUM($D106:$G106))</f>
        <v>0</v>
      </c>
      <c r="I106" s="19" t="str">
        <f aca="false">IF($H106=0,"",IF($H106&lt;=8,"Ótimo",IF($H106&lt;=12,"Bom",IF($H106&lt;=16,"Regular",IF($H106&lt;=20,"Alerta","Crítico")))))</f>
        <v/>
      </c>
      <c r="J106" s="20"/>
      <c r="K106" s="20"/>
    </row>
    <row r="107" customFormat="false" ht="15" hidden="false" customHeight="false" outlineLevel="0" collapsed="false">
      <c r="A107" s="21"/>
      <c r="B107" s="33" t="n">
        <f aca="false">IF($A107="",0,INT(($A107-Macrociclo!$C$11)/7)+1)</f>
        <v>0</v>
      </c>
      <c r="C107" s="20"/>
      <c r="D107" s="22"/>
      <c r="E107" s="22"/>
      <c r="F107" s="22"/>
      <c r="G107" s="22"/>
      <c r="H107" s="33" t="n">
        <f aca="false">IF(COUNT($D107:$G107)&lt;4,0,SUM($D107:$G107))</f>
        <v>0</v>
      </c>
      <c r="I107" s="19" t="str">
        <f aca="false">IF($H107=0,"",IF($H107&lt;=8,"Ótimo",IF($H107&lt;=12,"Bom",IF($H107&lt;=16,"Regular",IF($H107&lt;=20,"Alerta","Crítico")))))</f>
        <v/>
      </c>
      <c r="J107" s="20"/>
      <c r="K107" s="20"/>
    </row>
    <row r="108" customFormat="false" ht="15" hidden="false" customHeight="false" outlineLevel="0" collapsed="false">
      <c r="A108" s="21"/>
      <c r="B108" s="33" t="n">
        <f aca="false">IF($A108="",0,INT(($A108-Macrociclo!$C$11)/7)+1)</f>
        <v>0</v>
      </c>
      <c r="C108" s="20"/>
      <c r="D108" s="22"/>
      <c r="E108" s="22"/>
      <c r="F108" s="22"/>
      <c r="G108" s="22"/>
      <c r="H108" s="33" t="n">
        <f aca="false">IF(COUNT($D108:$G108)&lt;4,0,SUM($D108:$G108))</f>
        <v>0</v>
      </c>
      <c r="I108" s="19" t="str">
        <f aca="false">IF($H108=0,"",IF($H108&lt;=8,"Ótimo",IF($H108&lt;=12,"Bom",IF($H108&lt;=16,"Regular",IF($H108&lt;=20,"Alerta","Crítico")))))</f>
        <v/>
      </c>
      <c r="J108" s="20"/>
      <c r="K108" s="20"/>
    </row>
    <row r="109" customFormat="false" ht="15" hidden="false" customHeight="false" outlineLevel="0" collapsed="false">
      <c r="A109" s="21"/>
      <c r="B109" s="33" t="n">
        <f aca="false">IF($A109="",0,INT(($A109-Macrociclo!$C$11)/7)+1)</f>
        <v>0</v>
      </c>
      <c r="C109" s="20"/>
      <c r="D109" s="22"/>
      <c r="E109" s="22"/>
      <c r="F109" s="22"/>
      <c r="G109" s="22"/>
      <c r="H109" s="33" t="n">
        <f aca="false">IF(COUNT($D109:$G109)&lt;4,0,SUM($D109:$G109))</f>
        <v>0</v>
      </c>
      <c r="I109" s="19" t="str">
        <f aca="false">IF($H109=0,"",IF($H109&lt;=8,"Ótimo",IF($H109&lt;=12,"Bom",IF($H109&lt;=16,"Regular",IF($H109&lt;=20,"Alerta","Crítico")))))</f>
        <v/>
      </c>
      <c r="J109" s="20"/>
      <c r="K109" s="20"/>
    </row>
    <row r="110" customFormat="false" ht="15" hidden="false" customHeight="false" outlineLevel="0" collapsed="false">
      <c r="A110" s="21"/>
      <c r="B110" s="33" t="n">
        <f aca="false">IF($A110="",0,INT(($A110-Macrociclo!$C$11)/7)+1)</f>
        <v>0</v>
      </c>
      <c r="C110" s="20"/>
      <c r="D110" s="22"/>
      <c r="E110" s="22"/>
      <c r="F110" s="22"/>
      <c r="G110" s="22"/>
      <c r="H110" s="33" t="n">
        <f aca="false">IF(COUNT($D110:$G110)&lt;4,0,SUM($D110:$G110))</f>
        <v>0</v>
      </c>
      <c r="I110" s="19" t="str">
        <f aca="false">IF($H110=0,"",IF($H110&lt;=8,"Ótimo",IF($H110&lt;=12,"Bom",IF($H110&lt;=16,"Regular",IF($H110&lt;=20,"Alerta","Crítico")))))</f>
        <v/>
      </c>
      <c r="J110" s="20"/>
      <c r="K110" s="20"/>
    </row>
    <row r="111" customFormat="false" ht="15" hidden="false" customHeight="false" outlineLevel="0" collapsed="false">
      <c r="A111" s="21"/>
      <c r="B111" s="33" t="n">
        <f aca="false">IF($A111="",0,INT(($A111-Macrociclo!$C$11)/7)+1)</f>
        <v>0</v>
      </c>
      <c r="C111" s="20"/>
      <c r="D111" s="22"/>
      <c r="E111" s="22"/>
      <c r="F111" s="22"/>
      <c r="G111" s="22"/>
      <c r="H111" s="33" t="n">
        <f aca="false">IF(COUNT($D111:$G111)&lt;4,0,SUM($D111:$G111))</f>
        <v>0</v>
      </c>
      <c r="I111" s="19" t="str">
        <f aca="false">IF($H111=0,"",IF($H111&lt;=8,"Ótimo",IF($H111&lt;=12,"Bom",IF($H111&lt;=16,"Regular",IF($H111&lt;=20,"Alerta","Crítico")))))</f>
        <v/>
      </c>
      <c r="J111" s="20"/>
      <c r="K111" s="20"/>
    </row>
    <row r="112" customFormat="false" ht="15" hidden="false" customHeight="false" outlineLevel="0" collapsed="false">
      <c r="A112" s="21"/>
      <c r="B112" s="33" t="n">
        <f aca="false">IF($A112="",0,INT(($A112-Macrociclo!$C$11)/7)+1)</f>
        <v>0</v>
      </c>
      <c r="C112" s="20"/>
      <c r="D112" s="22"/>
      <c r="E112" s="22"/>
      <c r="F112" s="22"/>
      <c r="G112" s="22"/>
      <c r="H112" s="33" t="n">
        <f aca="false">IF(COUNT($D112:$G112)&lt;4,0,SUM($D112:$G112))</f>
        <v>0</v>
      </c>
      <c r="I112" s="19" t="str">
        <f aca="false">IF($H112=0,"",IF($H112&lt;=8,"Ótimo",IF($H112&lt;=12,"Bom",IF($H112&lt;=16,"Regular",IF($H112&lt;=20,"Alerta","Crítico")))))</f>
        <v/>
      </c>
      <c r="J112" s="20"/>
      <c r="K112" s="20"/>
    </row>
    <row r="113" customFormat="false" ht="15" hidden="false" customHeight="false" outlineLevel="0" collapsed="false">
      <c r="A113" s="21"/>
      <c r="B113" s="33" t="n">
        <f aca="false">IF($A113="",0,INT(($A113-Macrociclo!$C$11)/7)+1)</f>
        <v>0</v>
      </c>
      <c r="C113" s="20"/>
      <c r="D113" s="22"/>
      <c r="E113" s="22"/>
      <c r="F113" s="22"/>
      <c r="G113" s="22"/>
      <c r="H113" s="33" t="n">
        <f aca="false">IF(COUNT($D113:$G113)&lt;4,0,SUM($D113:$G113))</f>
        <v>0</v>
      </c>
      <c r="I113" s="19" t="str">
        <f aca="false">IF($H113=0,"",IF($H113&lt;=8,"Ótimo",IF($H113&lt;=12,"Bom",IF($H113&lt;=16,"Regular",IF($H113&lt;=20,"Alerta","Crítico")))))</f>
        <v/>
      </c>
      <c r="J113" s="20"/>
      <c r="K113" s="20"/>
    </row>
    <row r="114" customFormat="false" ht="15" hidden="false" customHeight="false" outlineLevel="0" collapsed="false">
      <c r="A114" s="21"/>
      <c r="B114" s="33" t="n">
        <f aca="false">IF($A114="",0,INT(($A114-Macrociclo!$C$11)/7)+1)</f>
        <v>0</v>
      </c>
      <c r="C114" s="20"/>
      <c r="D114" s="22"/>
      <c r="E114" s="22"/>
      <c r="F114" s="22"/>
      <c r="G114" s="22"/>
      <c r="H114" s="33" t="n">
        <f aca="false">IF(COUNT($D114:$G114)&lt;4,0,SUM($D114:$G114))</f>
        <v>0</v>
      </c>
      <c r="I114" s="19" t="str">
        <f aca="false">IF($H114=0,"",IF($H114&lt;=8,"Ótimo",IF($H114&lt;=12,"Bom",IF($H114&lt;=16,"Regular",IF($H114&lt;=20,"Alerta","Crítico")))))</f>
        <v/>
      </c>
      <c r="J114" s="20"/>
      <c r="K114" s="20"/>
    </row>
    <row r="115" customFormat="false" ht="15" hidden="false" customHeight="false" outlineLevel="0" collapsed="false">
      <c r="A115" s="21"/>
      <c r="B115" s="33" t="n">
        <f aca="false">IF($A115="",0,INT(($A115-Macrociclo!$C$11)/7)+1)</f>
        <v>0</v>
      </c>
      <c r="C115" s="20"/>
      <c r="D115" s="22"/>
      <c r="E115" s="22"/>
      <c r="F115" s="22"/>
      <c r="G115" s="22"/>
      <c r="H115" s="33" t="n">
        <f aca="false">IF(COUNT($D115:$G115)&lt;4,0,SUM($D115:$G115))</f>
        <v>0</v>
      </c>
      <c r="I115" s="19" t="str">
        <f aca="false">IF($H115=0,"",IF($H115&lt;=8,"Ótimo",IF($H115&lt;=12,"Bom",IF($H115&lt;=16,"Regular",IF($H115&lt;=20,"Alerta","Crítico")))))</f>
        <v/>
      </c>
      <c r="J115" s="20"/>
      <c r="K115" s="20"/>
    </row>
    <row r="116" customFormat="false" ht="15" hidden="false" customHeight="false" outlineLevel="0" collapsed="false">
      <c r="A116" s="21"/>
      <c r="B116" s="33" t="n">
        <f aca="false">IF($A116="",0,INT(($A116-Macrociclo!$C$11)/7)+1)</f>
        <v>0</v>
      </c>
      <c r="C116" s="20"/>
      <c r="D116" s="22"/>
      <c r="E116" s="22"/>
      <c r="F116" s="22"/>
      <c r="G116" s="22"/>
      <c r="H116" s="33" t="n">
        <f aca="false">IF(COUNT($D116:$G116)&lt;4,0,SUM($D116:$G116))</f>
        <v>0</v>
      </c>
      <c r="I116" s="19" t="str">
        <f aca="false">IF($H116=0,"",IF($H116&lt;=8,"Ótimo",IF($H116&lt;=12,"Bom",IF($H116&lt;=16,"Regular",IF($H116&lt;=20,"Alerta","Crítico")))))</f>
        <v/>
      </c>
      <c r="J116" s="20"/>
      <c r="K116" s="20"/>
    </row>
    <row r="117" customFormat="false" ht="15" hidden="false" customHeight="false" outlineLevel="0" collapsed="false">
      <c r="A117" s="21"/>
      <c r="B117" s="33" t="n">
        <f aca="false">IF($A117="",0,INT(($A117-Macrociclo!$C$11)/7)+1)</f>
        <v>0</v>
      </c>
      <c r="C117" s="20"/>
      <c r="D117" s="22"/>
      <c r="E117" s="22"/>
      <c r="F117" s="22"/>
      <c r="G117" s="22"/>
      <c r="H117" s="33" t="n">
        <f aca="false">IF(COUNT($D117:$G117)&lt;4,0,SUM($D117:$G117))</f>
        <v>0</v>
      </c>
      <c r="I117" s="19" t="str">
        <f aca="false">IF($H117=0,"",IF($H117&lt;=8,"Ótimo",IF($H117&lt;=12,"Bom",IF($H117&lt;=16,"Regular",IF($H117&lt;=20,"Alerta","Crítico")))))</f>
        <v/>
      </c>
      <c r="J117" s="20"/>
      <c r="K117" s="20"/>
    </row>
    <row r="118" customFormat="false" ht="15" hidden="false" customHeight="false" outlineLevel="0" collapsed="false">
      <c r="A118" s="21"/>
      <c r="B118" s="33" t="n">
        <f aca="false">IF($A118="",0,INT(($A118-Macrociclo!$C$11)/7)+1)</f>
        <v>0</v>
      </c>
      <c r="C118" s="20"/>
      <c r="D118" s="22"/>
      <c r="E118" s="22"/>
      <c r="F118" s="22"/>
      <c r="G118" s="22"/>
      <c r="H118" s="33" t="n">
        <f aca="false">IF(COUNT($D118:$G118)&lt;4,0,SUM($D118:$G118))</f>
        <v>0</v>
      </c>
      <c r="I118" s="19" t="str">
        <f aca="false">IF($H118=0,"",IF($H118&lt;=8,"Ótimo",IF($H118&lt;=12,"Bom",IF($H118&lt;=16,"Regular",IF($H118&lt;=20,"Alerta","Crítico")))))</f>
        <v/>
      </c>
      <c r="J118" s="20"/>
      <c r="K118" s="20"/>
    </row>
    <row r="119" customFormat="false" ht="15" hidden="false" customHeight="false" outlineLevel="0" collapsed="false">
      <c r="A119" s="21"/>
      <c r="B119" s="33" t="n">
        <f aca="false">IF($A119="",0,INT(($A119-Macrociclo!$C$11)/7)+1)</f>
        <v>0</v>
      </c>
      <c r="C119" s="20"/>
      <c r="D119" s="22"/>
      <c r="E119" s="22"/>
      <c r="F119" s="22"/>
      <c r="G119" s="22"/>
      <c r="H119" s="33" t="n">
        <f aca="false">IF(COUNT($D119:$G119)&lt;4,0,SUM($D119:$G119))</f>
        <v>0</v>
      </c>
      <c r="I119" s="19" t="str">
        <f aca="false">IF($H119=0,"",IF($H119&lt;=8,"Ótimo",IF($H119&lt;=12,"Bom",IF($H119&lt;=16,"Regular",IF($H119&lt;=20,"Alerta","Crítico")))))</f>
        <v/>
      </c>
      <c r="J119" s="20"/>
      <c r="K119" s="20"/>
    </row>
    <row r="120" customFormat="false" ht="15" hidden="false" customHeight="false" outlineLevel="0" collapsed="false">
      <c r="A120" s="21"/>
      <c r="B120" s="33" t="n">
        <f aca="false">IF($A120="",0,INT(($A120-Macrociclo!$C$11)/7)+1)</f>
        <v>0</v>
      </c>
      <c r="C120" s="20"/>
      <c r="D120" s="22"/>
      <c r="E120" s="22"/>
      <c r="F120" s="22"/>
      <c r="G120" s="22"/>
      <c r="H120" s="33" t="n">
        <f aca="false">IF(COUNT($D120:$G120)&lt;4,0,SUM($D120:$G120))</f>
        <v>0</v>
      </c>
      <c r="I120" s="19" t="str">
        <f aca="false">IF($H120=0,"",IF($H120&lt;=8,"Ótimo",IF($H120&lt;=12,"Bom",IF($H120&lt;=16,"Regular",IF($H120&lt;=20,"Alerta","Crítico")))))</f>
        <v/>
      </c>
      <c r="J120" s="20"/>
      <c r="K120" s="20"/>
    </row>
    <row r="121" customFormat="false" ht="15" hidden="false" customHeight="false" outlineLevel="0" collapsed="false">
      <c r="A121" s="21"/>
      <c r="B121" s="33" t="n">
        <f aca="false">IF($A121="",0,INT(($A121-Macrociclo!$C$11)/7)+1)</f>
        <v>0</v>
      </c>
      <c r="C121" s="20"/>
      <c r="D121" s="22"/>
      <c r="E121" s="22"/>
      <c r="F121" s="22"/>
      <c r="G121" s="22"/>
      <c r="H121" s="33" t="n">
        <f aca="false">IF(COUNT($D121:$G121)&lt;4,0,SUM($D121:$G121))</f>
        <v>0</v>
      </c>
      <c r="I121" s="19" t="str">
        <f aca="false">IF($H121=0,"",IF($H121&lt;=8,"Ótimo",IF($H121&lt;=12,"Bom",IF($H121&lt;=16,"Regular",IF($H121&lt;=20,"Alerta","Crítico")))))</f>
        <v/>
      </c>
      <c r="J121" s="20"/>
      <c r="K121" s="20"/>
    </row>
    <row r="122" customFormat="false" ht="15" hidden="false" customHeight="false" outlineLevel="0" collapsed="false">
      <c r="A122" s="21"/>
      <c r="B122" s="33" t="n">
        <f aca="false">IF($A122="",0,INT(($A122-Macrociclo!$C$11)/7)+1)</f>
        <v>0</v>
      </c>
      <c r="C122" s="20"/>
      <c r="D122" s="22"/>
      <c r="E122" s="22"/>
      <c r="F122" s="22"/>
      <c r="G122" s="22"/>
      <c r="H122" s="33" t="n">
        <f aca="false">IF(COUNT($D122:$G122)&lt;4,0,SUM($D122:$G122))</f>
        <v>0</v>
      </c>
      <c r="I122" s="19" t="str">
        <f aca="false">IF($H122=0,"",IF($H122&lt;=8,"Ótimo",IF($H122&lt;=12,"Bom",IF($H122&lt;=16,"Regular",IF($H122&lt;=20,"Alerta","Crítico")))))</f>
        <v/>
      </c>
      <c r="J122" s="20"/>
      <c r="K122" s="20"/>
    </row>
    <row r="123" customFormat="false" ht="15" hidden="false" customHeight="false" outlineLevel="0" collapsed="false">
      <c r="A123" s="21"/>
      <c r="B123" s="33" t="n">
        <f aca="false">IF($A123="",0,INT(($A123-Macrociclo!$C$11)/7)+1)</f>
        <v>0</v>
      </c>
      <c r="C123" s="20"/>
      <c r="D123" s="22"/>
      <c r="E123" s="22"/>
      <c r="F123" s="22"/>
      <c r="G123" s="22"/>
      <c r="H123" s="33" t="n">
        <f aca="false">IF(COUNT($D123:$G123)&lt;4,0,SUM($D123:$G123))</f>
        <v>0</v>
      </c>
      <c r="I123" s="19" t="str">
        <f aca="false">IF($H123=0,"",IF($H123&lt;=8,"Ótimo",IF($H123&lt;=12,"Bom",IF($H123&lt;=16,"Regular",IF($H123&lt;=20,"Alerta","Crítico")))))</f>
        <v/>
      </c>
      <c r="J123" s="20"/>
      <c r="K123" s="20"/>
    </row>
    <row r="124" customFormat="false" ht="15" hidden="false" customHeight="false" outlineLevel="0" collapsed="false">
      <c r="A124" s="21"/>
      <c r="B124" s="33" t="n">
        <f aca="false">IF($A124="",0,INT(($A124-Macrociclo!$C$11)/7)+1)</f>
        <v>0</v>
      </c>
      <c r="C124" s="20"/>
      <c r="D124" s="22"/>
      <c r="E124" s="22"/>
      <c r="F124" s="22"/>
      <c r="G124" s="22"/>
      <c r="H124" s="33" t="n">
        <f aca="false">IF(COUNT($D124:$G124)&lt;4,0,SUM($D124:$G124))</f>
        <v>0</v>
      </c>
      <c r="I124" s="19" t="str">
        <f aca="false">IF($H124=0,"",IF($H124&lt;=8,"Ótimo",IF($H124&lt;=12,"Bom",IF($H124&lt;=16,"Regular",IF($H124&lt;=20,"Alerta","Crítico")))))</f>
        <v/>
      </c>
      <c r="J124" s="20"/>
      <c r="K124" s="20"/>
    </row>
    <row r="125" customFormat="false" ht="15" hidden="false" customHeight="false" outlineLevel="0" collapsed="false">
      <c r="A125" s="21"/>
      <c r="B125" s="33" t="n">
        <f aca="false">IF($A125="",0,INT(($A125-Macrociclo!$C$11)/7)+1)</f>
        <v>0</v>
      </c>
      <c r="C125" s="20"/>
      <c r="D125" s="22"/>
      <c r="E125" s="22"/>
      <c r="F125" s="22"/>
      <c r="G125" s="22"/>
      <c r="H125" s="33" t="n">
        <f aca="false">IF(COUNT($D125:$G125)&lt;4,0,SUM($D125:$G125))</f>
        <v>0</v>
      </c>
      <c r="I125" s="19" t="str">
        <f aca="false">IF($H125=0,"",IF($H125&lt;=8,"Ótimo",IF($H125&lt;=12,"Bom",IF($H125&lt;=16,"Regular",IF($H125&lt;=20,"Alerta","Crítico")))))</f>
        <v/>
      </c>
      <c r="J125" s="20"/>
      <c r="K125" s="20"/>
    </row>
    <row r="126" customFormat="false" ht="15" hidden="false" customHeight="false" outlineLevel="0" collapsed="false">
      <c r="A126" s="21"/>
      <c r="B126" s="33" t="n">
        <f aca="false">IF($A126="",0,INT(($A126-Macrociclo!$C$11)/7)+1)</f>
        <v>0</v>
      </c>
      <c r="C126" s="20"/>
      <c r="D126" s="22"/>
      <c r="E126" s="22"/>
      <c r="F126" s="22"/>
      <c r="G126" s="22"/>
      <c r="H126" s="33" t="n">
        <f aca="false">IF(COUNT($D126:$G126)&lt;4,0,SUM($D126:$G126))</f>
        <v>0</v>
      </c>
      <c r="I126" s="19" t="str">
        <f aca="false">IF($H126=0,"",IF($H126&lt;=8,"Ótimo",IF($H126&lt;=12,"Bom",IF($H126&lt;=16,"Regular",IF($H126&lt;=20,"Alerta","Crítico")))))</f>
        <v/>
      </c>
      <c r="J126" s="20"/>
      <c r="K126" s="20"/>
    </row>
    <row r="127" customFormat="false" ht="15" hidden="false" customHeight="false" outlineLevel="0" collapsed="false">
      <c r="A127" s="21"/>
      <c r="B127" s="33" t="n">
        <f aca="false">IF($A127="",0,INT(($A127-Macrociclo!$C$11)/7)+1)</f>
        <v>0</v>
      </c>
      <c r="C127" s="20"/>
      <c r="D127" s="22"/>
      <c r="E127" s="22"/>
      <c r="F127" s="22"/>
      <c r="G127" s="22"/>
      <c r="H127" s="33" t="n">
        <f aca="false">IF(COUNT($D127:$G127)&lt;4,0,SUM($D127:$G127))</f>
        <v>0</v>
      </c>
      <c r="I127" s="19" t="str">
        <f aca="false">IF($H127=0,"",IF($H127&lt;=8,"Ótimo",IF($H127&lt;=12,"Bom",IF($H127&lt;=16,"Regular",IF($H127&lt;=20,"Alerta","Crítico")))))</f>
        <v/>
      </c>
      <c r="J127" s="20"/>
      <c r="K127" s="20"/>
    </row>
    <row r="128" customFormat="false" ht="15" hidden="false" customHeight="false" outlineLevel="0" collapsed="false">
      <c r="A128" s="21"/>
      <c r="B128" s="33" t="n">
        <f aca="false">IF($A128="",0,INT(($A128-Macrociclo!$C$11)/7)+1)</f>
        <v>0</v>
      </c>
      <c r="C128" s="20"/>
      <c r="D128" s="22"/>
      <c r="E128" s="22"/>
      <c r="F128" s="22"/>
      <c r="G128" s="22"/>
      <c r="H128" s="33" t="n">
        <f aca="false">IF(COUNT($D128:$G128)&lt;4,0,SUM($D128:$G128))</f>
        <v>0</v>
      </c>
      <c r="I128" s="19" t="str">
        <f aca="false">IF($H128=0,"",IF($H128&lt;=8,"Ótimo",IF($H128&lt;=12,"Bom",IF($H128&lt;=16,"Regular",IF($H128&lt;=20,"Alerta","Crítico")))))</f>
        <v/>
      </c>
      <c r="J128" s="20"/>
      <c r="K128" s="20"/>
    </row>
    <row r="129" customFormat="false" ht="15" hidden="false" customHeight="false" outlineLevel="0" collapsed="false">
      <c r="A129" s="21"/>
      <c r="B129" s="33" t="n">
        <f aca="false">IF($A129="",0,INT(($A129-Macrociclo!$C$11)/7)+1)</f>
        <v>0</v>
      </c>
      <c r="C129" s="20"/>
      <c r="D129" s="22"/>
      <c r="E129" s="22"/>
      <c r="F129" s="22"/>
      <c r="G129" s="22"/>
      <c r="H129" s="33" t="n">
        <f aca="false">IF(COUNT($D129:$G129)&lt;4,0,SUM($D129:$G129))</f>
        <v>0</v>
      </c>
      <c r="I129" s="19" t="str">
        <f aca="false">IF($H129=0,"",IF($H129&lt;=8,"Ótimo",IF($H129&lt;=12,"Bom",IF($H129&lt;=16,"Regular",IF($H129&lt;=20,"Alerta","Crítico")))))</f>
        <v/>
      </c>
      <c r="J129" s="20"/>
      <c r="K129" s="20"/>
    </row>
    <row r="130" customFormat="false" ht="15" hidden="false" customHeight="false" outlineLevel="0" collapsed="false">
      <c r="A130" s="21"/>
      <c r="B130" s="33" t="n">
        <f aca="false">IF($A130="",0,INT(($A130-Macrociclo!$C$11)/7)+1)</f>
        <v>0</v>
      </c>
      <c r="C130" s="20"/>
      <c r="D130" s="22"/>
      <c r="E130" s="22"/>
      <c r="F130" s="22"/>
      <c r="G130" s="22"/>
      <c r="H130" s="33" t="n">
        <f aca="false">IF(COUNT($D130:$G130)&lt;4,0,SUM($D130:$G130))</f>
        <v>0</v>
      </c>
      <c r="I130" s="19" t="str">
        <f aca="false">IF($H130=0,"",IF($H130&lt;=8,"Ótimo",IF($H130&lt;=12,"Bom",IF($H130&lt;=16,"Regular",IF($H130&lt;=20,"Alerta","Crítico")))))</f>
        <v/>
      </c>
      <c r="J130" s="20"/>
      <c r="K130" s="20"/>
    </row>
    <row r="131" customFormat="false" ht="15" hidden="false" customHeight="false" outlineLevel="0" collapsed="false">
      <c r="A131" s="21"/>
      <c r="B131" s="33" t="n">
        <f aca="false">IF($A131="",0,INT(($A131-Macrociclo!$C$11)/7)+1)</f>
        <v>0</v>
      </c>
      <c r="C131" s="20"/>
      <c r="D131" s="22"/>
      <c r="E131" s="22"/>
      <c r="F131" s="22"/>
      <c r="G131" s="22"/>
      <c r="H131" s="33" t="n">
        <f aca="false">IF(COUNT($D131:$G131)&lt;4,0,SUM($D131:$G131))</f>
        <v>0</v>
      </c>
      <c r="I131" s="19" t="str">
        <f aca="false">IF($H131=0,"",IF($H131&lt;=8,"Ótimo",IF($H131&lt;=12,"Bom",IF($H131&lt;=16,"Regular",IF($H131&lt;=20,"Alerta","Crítico")))))</f>
        <v/>
      </c>
      <c r="J131" s="20"/>
      <c r="K131" s="20"/>
    </row>
    <row r="132" customFormat="false" ht="15" hidden="false" customHeight="false" outlineLevel="0" collapsed="false">
      <c r="A132" s="21"/>
      <c r="B132" s="33" t="n">
        <f aca="false">IF($A132="",0,INT(($A132-Macrociclo!$C$11)/7)+1)</f>
        <v>0</v>
      </c>
      <c r="C132" s="20"/>
      <c r="D132" s="22"/>
      <c r="E132" s="22"/>
      <c r="F132" s="22"/>
      <c r="G132" s="22"/>
      <c r="H132" s="33" t="n">
        <f aca="false">IF(COUNT($D132:$G132)&lt;4,0,SUM($D132:$G132))</f>
        <v>0</v>
      </c>
      <c r="I132" s="19" t="str">
        <f aca="false">IF($H132=0,"",IF($H132&lt;=8,"Ótimo",IF($H132&lt;=12,"Bom",IF($H132&lt;=16,"Regular",IF($H132&lt;=20,"Alerta","Crítico")))))</f>
        <v/>
      </c>
      <c r="J132" s="20"/>
      <c r="K132" s="20"/>
    </row>
    <row r="133" customFormat="false" ht="15" hidden="false" customHeight="false" outlineLevel="0" collapsed="false">
      <c r="A133" s="21"/>
      <c r="B133" s="33" t="n">
        <f aca="false">IF($A133="",0,INT(($A133-Macrociclo!$C$11)/7)+1)</f>
        <v>0</v>
      </c>
      <c r="C133" s="20"/>
      <c r="D133" s="22"/>
      <c r="E133" s="22"/>
      <c r="F133" s="22"/>
      <c r="G133" s="22"/>
      <c r="H133" s="33" t="n">
        <f aca="false">IF(COUNT($D133:$G133)&lt;4,0,SUM($D133:$G133))</f>
        <v>0</v>
      </c>
      <c r="I133" s="19" t="str">
        <f aca="false">IF($H133=0,"",IF($H133&lt;=8,"Ótimo",IF($H133&lt;=12,"Bom",IF($H133&lt;=16,"Regular",IF($H133&lt;=20,"Alerta","Crítico")))))</f>
        <v/>
      </c>
      <c r="J133" s="20"/>
      <c r="K133" s="20"/>
    </row>
    <row r="134" customFormat="false" ht="15" hidden="false" customHeight="false" outlineLevel="0" collapsed="false">
      <c r="A134" s="21"/>
      <c r="B134" s="33" t="n">
        <f aca="false">IF($A134="",0,INT(($A134-Macrociclo!$C$11)/7)+1)</f>
        <v>0</v>
      </c>
      <c r="C134" s="20"/>
      <c r="D134" s="22"/>
      <c r="E134" s="22"/>
      <c r="F134" s="22"/>
      <c r="G134" s="22"/>
      <c r="H134" s="33" t="n">
        <f aca="false">IF(COUNT($D134:$G134)&lt;4,0,SUM($D134:$G134))</f>
        <v>0</v>
      </c>
      <c r="I134" s="19" t="str">
        <f aca="false">IF($H134=0,"",IF($H134&lt;=8,"Ótimo",IF($H134&lt;=12,"Bom",IF($H134&lt;=16,"Regular",IF($H134&lt;=20,"Alerta","Crítico")))))</f>
        <v/>
      </c>
      <c r="J134" s="20"/>
      <c r="K134" s="20"/>
    </row>
    <row r="135" customFormat="false" ht="15" hidden="false" customHeight="false" outlineLevel="0" collapsed="false">
      <c r="A135" s="21"/>
      <c r="B135" s="33" t="n">
        <f aca="false">IF($A135="",0,INT(($A135-Macrociclo!$C$11)/7)+1)</f>
        <v>0</v>
      </c>
      <c r="C135" s="20"/>
      <c r="D135" s="22"/>
      <c r="E135" s="22"/>
      <c r="F135" s="22"/>
      <c r="G135" s="22"/>
      <c r="H135" s="33" t="n">
        <f aca="false">IF(COUNT($D135:$G135)&lt;4,0,SUM($D135:$G135))</f>
        <v>0</v>
      </c>
      <c r="I135" s="19" t="str">
        <f aca="false">IF($H135=0,"",IF($H135&lt;=8,"Ótimo",IF($H135&lt;=12,"Bom",IF($H135&lt;=16,"Regular",IF($H135&lt;=20,"Alerta","Crítico")))))</f>
        <v/>
      </c>
      <c r="J135" s="20"/>
      <c r="K135" s="20"/>
    </row>
    <row r="136" customFormat="false" ht="15" hidden="false" customHeight="false" outlineLevel="0" collapsed="false">
      <c r="A136" s="21"/>
      <c r="B136" s="33" t="n">
        <f aca="false">IF($A136="",0,INT(($A136-Macrociclo!$C$11)/7)+1)</f>
        <v>0</v>
      </c>
      <c r="C136" s="20"/>
      <c r="D136" s="22"/>
      <c r="E136" s="22"/>
      <c r="F136" s="22"/>
      <c r="G136" s="22"/>
      <c r="H136" s="33" t="n">
        <f aca="false">IF(COUNT($D136:$G136)&lt;4,0,SUM($D136:$G136))</f>
        <v>0</v>
      </c>
      <c r="I136" s="19" t="str">
        <f aca="false">IF($H136=0,"",IF($H136&lt;=8,"Ótimo",IF($H136&lt;=12,"Bom",IF($H136&lt;=16,"Regular",IF($H136&lt;=20,"Alerta","Crítico")))))</f>
        <v/>
      </c>
      <c r="J136" s="20"/>
      <c r="K136" s="20"/>
    </row>
    <row r="137" customFormat="false" ht="15" hidden="false" customHeight="false" outlineLevel="0" collapsed="false">
      <c r="A137" s="21"/>
      <c r="B137" s="33" t="n">
        <f aca="false">IF($A137="",0,INT(($A137-Macrociclo!$C$11)/7)+1)</f>
        <v>0</v>
      </c>
      <c r="C137" s="20"/>
      <c r="D137" s="22"/>
      <c r="E137" s="22"/>
      <c r="F137" s="22"/>
      <c r="G137" s="22"/>
      <c r="H137" s="33" t="n">
        <f aca="false">IF(COUNT($D137:$G137)&lt;4,0,SUM($D137:$G137))</f>
        <v>0</v>
      </c>
      <c r="I137" s="19" t="str">
        <f aca="false">IF($H137=0,"",IF($H137&lt;=8,"Ótimo",IF($H137&lt;=12,"Bom",IF($H137&lt;=16,"Regular",IF($H137&lt;=20,"Alerta","Crítico")))))</f>
        <v/>
      </c>
      <c r="J137" s="20"/>
      <c r="K137" s="20"/>
    </row>
    <row r="138" customFormat="false" ht="15" hidden="false" customHeight="false" outlineLevel="0" collapsed="false">
      <c r="A138" s="21"/>
      <c r="B138" s="33" t="n">
        <f aca="false">IF($A138="",0,INT(($A138-Macrociclo!$C$11)/7)+1)</f>
        <v>0</v>
      </c>
      <c r="C138" s="20"/>
      <c r="D138" s="22"/>
      <c r="E138" s="22"/>
      <c r="F138" s="22"/>
      <c r="G138" s="22"/>
      <c r="H138" s="33" t="n">
        <f aca="false">IF(COUNT($D138:$G138)&lt;4,0,SUM($D138:$G138))</f>
        <v>0</v>
      </c>
      <c r="I138" s="19" t="str">
        <f aca="false">IF($H138=0,"",IF($H138&lt;=8,"Ótimo",IF($H138&lt;=12,"Bom",IF($H138&lt;=16,"Regular",IF($H138&lt;=20,"Alerta","Crítico")))))</f>
        <v/>
      </c>
      <c r="J138" s="20"/>
      <c r="K138" s="20"/>
    </row>
    <row r="139" customFormat="false" ht="15" hidden="false" customHeight="false" outlineLevel="0" collapsed="false">
      <c r="A139" s="21"/>
      <c r="B139" s="33" t="n">
        <f aca="false">IF($A139="",0,INT(($A139-Macrociclo!$C$11)/7)+1)</f>
        <v>0</v>
      </c>
      <c r="C139" s="20"/>
      <c r="D139" s="22"/>
      <c r="E139" s="22"/>
      <c r="F139" s="22"/>
      <c r="G139" s="22"/>
      <c r="H139" s="33" t="n">
        <f aca="false">IF(COUNT($D139:$G139)&lt;4,0,SUM($D139:$G139))</f>
        <v>0</v>
      </c>
      <c r="I139" s="19" t="str">
        <f aca="false">IF($H139=0,"",IF($H139&lt;=8,"Ótimo",IF($H139&lt;=12,"Bom",IF($H139&lt;=16,"Regular",IF($H139&lt;=20,"Alerta","Crítico")))))</f>
        <v/>
      </c>
      <c r="J139" s="20"/>
      <c r="K139" s="20"/>
    </row>
    <row r="140" customFormat="false" ht="15" hidden="false" customHeight="false" outlineLevel="0" collapsed="false">
      <c r="A140" s="21"/>
      <c r="B140" s="33" t="n">
        <f aca="false">IF($A140="",0,INT(($A140-Macrociclo!$C$11)/7)+1)</f>
        <v>0</v>
      </c>
      <c r="C140" s="20"/>
      <c r="D140" s="22"/>
      <c r="E140" s="22"/>
      <c r="F140" s="22"/>
      <c r="G140" s="22"/>
      <c r="H140" s="33" t="n">
        <f aca="false">IF(COUNT($D140:$G140)&lt;4,0,SUM($D140:$G140))</f>
        <v>0</v>
      </c>
      <c r="I140" s="19" t="str">
        <f aca="false">IF($H140=0,"",IF($H140&lt;=8,"Ótimo",IF($H140&lt;=12,"Bom",IF($H140&lt;=16,"Regular",IF($H140&lt;=20,"Alerta","Crítico")))))</f>
        <v/>
      </c>
      <c r="J140" s="20"/>
      <c r="K140" s="20"/>
    </row>
    <row r="141" customFormat="false" ht="15" hidden="false" customHeight="false" outlineLevel="0" collapsed="false">
      <c r="A141" s="21"/>
      <c r="B141" s="33" t="n">
        <f aca="false">IF($A141="",0,INT(($A141-Macrociclo!$C$11)/7)+1)</f>
        <v>0</v>
      </c>
      <c r="C141" s="20"/>
      <c r="D141" s="22"/>
      <c r="E141" s="22"/>
      <c r="F141" s="22"/>
      <c r="G141" s="22"/>
      <c r="H141" s="33" t="n">
        <f aca="false">IF(COUNT($D141:$G141)&lt;4,0,SUM($D141:$G141))</f>
        <v>0</v>
      </c>
      <c r="I141" s="19" t="str">
        <f aca="false">IF($H141=0,"",IF($H141&lt;=8,"Ótimo",IF($H141&lt;=12,"Bom",IF($H141&lt;=16,"Regular",IF($H141&lt;=20,"Alerta","Crítico")))))</f>
        <v/>
      </c>
      <c r="J141" s="20"/>
      <c r="K141" s="20"/>
    </row>
    <row r="142" customFormat="false" ht="15" hidden="false" customHeight="false" outlineLevel="0" collapsed="false">
      <c r="A142" s="21"/>
      <c r="B142" s="33" t="n">
        <f aca="false">IF($A142="",0,INT(($A142-Macrociclo!$C$11)/7)+1)</f>
        <v>0</v>
      </c>
      <c r="C142" s="20"/>
      <c r="D142" s="22"/>
      <c r="E142" s="22"/>
      <c r="F142" s="22"/>
      <c r="G142" s="22"/>
      <c r="H142" s="33" t="n">
        <f aca="false">IF(COUNT($D142:$G142)&lt;4,0,SUM($D142:$G142))</f>
        <v>0</v>
      </c>
      <c r="I142" s="19" t="str">
        <f aca="false">IF($H142=0,"",IF($H142&lt;=8,"Ótimo",IF($H142&lt;=12,"Bom",IF($H142&lt;=16,"Regular",IF($H142&lt;=20,"Alerta","Crítico")))))</f>
        <v/>
      </c>
      <c r="J142" s="20"/>
      <c r="K142" s="20"/>
    </row>
    <row r="143" customFormat="false" ht="15" hidden="false" customHeight="false" outlineLevel="0" collapsed="false">
      <c r="A143" s="21"/>
      <c r="B143" s="33" t="n">
        <f aca="false">IF($A143="",0,INT(($A143-Macrociclo!$C$11)/7)+1)</f>
        <v>0</v>
      </c>
      <c r="C143" s="20"/>
      <c r="D143" s="22"/>
      <c r="E143" s="22"/>
      <c r="F143" s="22"/>
      <c r="G143" s="22"/>
      <c r="H143" s="33" t="n">
        <f aca="false">IF(COUNT($D143:$G143)&lt;4,0,SUM($D143:$G143))</f>
        <v>0</v>
      </c>
      <c r="I143" s="19" t="str">
        <f aca="false">IF($H143=0,"",IF($H143&lt;=8,"Ótimo",IF($H143&lt;=12,"Bom",IF($H143&lt;=16,"Regular",IF($H143&lt;=20,"Alerta","Crítico")))))</f>
        <v/>
      </c>
      <c r="J143" s="20"/>
      <c r="K143" s="20"/>
    </row>
    <row r="144" customFormat="false" ht="15" hidden="false" customHeight="false" outlineLevel="0" collapsed="false">
      <c r="A144" s="21"/>
      <c r="B144" s="33" t="n">
        <f aca="false">IF($A144="",0,INT(($A144-Macrociclo!$C$11)/7)+1)</f>
        <v>0</v>
      </c>
      <c r="C144" s="20"/>
      <c r="D144" s="22"/>
      <c r="E144" s="22"/>
      <c r="F144" s="22"/>
      <c r="G144" s="22"/>
      <c r="H144" s="33" t="n">
        <f aca="false">IF(COUNT($D144:$G144)&lt;4,0,SUM($D144:$G144))</f>
        <v>0</v>
      </c>
      <c r="I144" s="19" t="str">
        <f aca="false">IF($H144=0,"",IF($H144&lt;=8,"Ótimo",IF($H144&lt;=12,"Bom",IF($H144&lt;=16,"Regular",IF($H144&lt;=20,"Alerta","Crítico")))))</f>
        <v/>
      </c>
      <c r="J144" s="20"/>
      <c r="K144" s="20"/>
    </row>
    <row r="145" customFormat="false" ht="15" hidden="false" customHeight="false" outlineLevel="0" collapsed="false">
      <c r="A145" s="21"/>
      <c r="B145" s="33" t="n">
        <f aca="false">IF($A145="",0,INT(($A145-Macrociclo!$C$11)/7)+1)</f>
        <v>0</v>
      </c>
      <c r="C145" s="20"/>
      <c r="D145" s="22"/>
      <c r="E145" s="22"/>
      <c r="F145" s="22"/>
      <c r="G145" s="22"/>
      <c r="H145" s="33" t="n">
        <f aca="false">IF(COUNT($D145:$G145)&lt;4,0,SUM($D145:$G145))</f>
        <v>0</v>
      </c>
      <c r="I145" s="19" t="str">
        <f aca="false">IF($H145=0,"",IF($H145&lt;=8,"Ótimo",IF($H145&lt;=12,"Bom",IF($H145&lt;=16,"Regular",IF($H145&lt;=20,"Alerta","Crítico")))))</f>
        <v/>
      </c>
      <c r="J145" s="20"/>
      <c r="K145" s="20"/>
    </row>
    <row r="146" customFormat="false" ht="15" hidden="false" customHeight="false" outlineLevel="0" collapsed="false">
      <c r="A146" s="21"/>
      <c r="B146" s="33" t="n">
        <f aca="false">IF($A146="",0,INT(($A146-Macrociclo!$C$11)/7)+1)</f>
        <v>0</v>
      </c>
      <c r="C146" s="20"/>
      <c r="D146" s="22"/>
      <c r="E146" s="22"/>
      <c r="F146" s="22"/>
      <c r="G146" s="22"/>
      <c r="H146" s="33" t="n">
        <f aca="false">IF(COUNT($D146:$G146)&lt;4,0,SUM($D146:$G146))</f>
        <v>0</v>
      </c>
      <c r="I146" s="19" t="str">
        <f aca="false">IF($H146=0,"",IF($H146&lt;=8,"Ótimo",IF($H146&lt;=12,"Bom",IF($H146&lt;=16,"Regular",IF($H146&lt;=20,"Alerta","Crítico")))))</f>
        <v/>
      </c>
      <c r="J146" s="20"/>
      <c r="K146" s="20"/>
    </row>
    <row r="147" customFormat="false" ht="15" hidden="false" customHeight="false" outlineLevel="0" collapsed="false">
      <c r="A147" s="21"/>
      <c r="B147" s="33" t="n">
        <f aca="false">IF($A147="",0,INT(($A147-Macrociclo!$C$11)/7)+1)</f>
        <v>0</v>
      </c>
      <c r="C147" s="20"/>
      <c r="D147" s="22"/>
      <c r="E147" s="22"/>
      <c r="F147" s="22"/>
      <c r="G147" s="22"/>
      <c r="H147" s="33" t="n">
        <f aca="false">IF(COUNT($D147:$G147)&lt;4,0,SUM($D147:$G147))</f>
        <v>0</v>
      </c>
      <c r="I147" s="19" t="str">
        <f aca="false">IF($H147=0,"",IF($H147&lt;=8,"Ótimo",IF($H147&lt;=12,"Bom",IF($H147&lt;=16,"Regular",IF($H147&lt;=20,"Alerta","Crítico")))))</f>
        <v/>
      </c>
      <c r="J147" s="20"/>
      <c r="K147" s="20"/>
    </row>
    <row r="148" customFormat="false" ht="15" hidden="false" customHeight="false" outlineLevel="0" collapsed="false">
      <c r="A148" s="21"/>
      <c r="B148" s="33" t="n">
        <f aca="false">IF($A148="",0,INT(($A148-Macrociclo!$C$11)/7)+1)</f>
        <v>0</v>
      </c>
      <c r="C148" s="20"/>
      <c r="D148" s="22"/>
      <c r="E148" s="22"/>
      <c r="F148" s="22"/>
      <c r="G148" s="22"/>
      <c r="H148" s="33" t="n">
        <f aca="false">IF(COUNT($D148:$G148)&lt;4,0,SUM($D148:$G148))</f>
        <v>0</v>
      </c>
      <c r="I148" s="19" t="str">
        <f aca="false">IF($H148=0,"",IF($H148&lt;=8,"Ótimo",IF($H148&lt;=12,"Bom",IF($H148&lt;=16,"Regular",IF($H148&lt;=20,"Alerta","Crítico")))))</f>
        <v/>
      </c>
      <c r="J148" s="20"/>
      <c r="K148" s="20"/>
    </row>
    <row r="149" customFormat="false" ht="15" hidden="false" customHeight="false" outlineLevel="0" collapsed="false">
      <c r="A149" s="21"/>
      <c r="B149" s="33" t="n">
        <f aca="false">IF($A149="",0,INT(($A149-Macrociclo!$C$11)/7)+1)</f>
        <v>0</v>
      </c>
      <c r="C149" s="20"/>
      <c r="D149" s="22"/>
      <c r="E149" s="22"/>
      <c r="F149" s="22"/>
      <c r="G149" s="22"/>
      <c r="H149" s="33" t="n">
        <f aca="false">IF(COUNT($D149:$G149)&lt;4,0,SUM($D149:$G149))</f>
        <v>0</v>
      </c>
      <c r="I149" s="19" t="str">
        <f aca="false">IF($H149=0,"",IF($H149&lt;=8,"Ótimo",IF($H149&lt;=12,"Bom",IF($H149&lt;=16,"Regular",IF($H149&lt;=20,"Alerta","Crítico")))))</f>
        <v/>
      </c>
      <c r="J149" s="20"/>
      <c r="K149" s="20"/>
    </row>
    <row r="150" customFormat="false" ht="15" hidden="false" customHeight="false" outlineLevel="0" collapsed="false">
      <c r="A150" s="21"/>
      <c r="B150" s="33" t="n">
        <f aca="false">IF($A150="",0,INT(($A150-Macrociclo!$C$11)/7)+1)</f>
        <v>0</v>
      </c>
      <c r="C150" s="20"/>
      <c r="D150" s="22"/>
      <c r="E150" s="22"/>
      <c r="F150" s="22"/>
      <c r="G150" s="22"/>
      <c r="H150" s="33" t="n">
        <f aca="false">IF(COUNT($D150:$G150)&lt;4,0,SUM($D150:$G150))</f>
        <v>0</v>
      </c>
      <c r="I150" s="19" t="str">
        <f aca="false">IF($H150=0,"",IF($H150&lt;=8,"Ótimo",IF($H150&lt;=12,"Bom",IF($H150&lt;=16,"Regular",IF($H150&lt;=20,"Alerta","Crítico")))))</f>
        <v/>
      </c>
      <c r="J150" s="20"/>
      <c r="K150" s="20"/>
    </row>
    <row r="151" customFormat="false" ht="15" hidden="false" customHeight="false" outlineLevel="0" collapsed="false">
      <c r="A151" s="21"/>
      <c r="B151" s="33" t="n">
        <f aca="false">IF($A151="",0,INT(($A151-Macrociclo!$C$11)/7)+1)</f>
        <v>0</v>
      </c>
      <c r="C151" s="20"/>
      <c r="D151" s="22"/>
      <c r="E151" s="22"/>
      <c r="F151" s="22"/>
      <c r="G151" s="22"/>
      <c r="H151" s="33" t="n">
        <f aca="false">IF(COUNT($D151:$G151)&lt;4,0,SUM($D151:$G151))</f>
        <v>0</v>
      </c>
      <c r="I151" s="19" t="str">
        <f aca="false">IF($H151=0,"",IF($H151&lt;=8,"Ótimo",IF($H151&lt;=12,"Bom",IF($H151&lt;=16,"Regular",IF($H151&lt;=20,"Alerta","Crítico")))))</f>
        <v/>
      </c>
      <c r="J151" s="20"/>
      <c r="K151" s="20"/>
    </row>
    <row r="152" customFormat="false" ht="15" hidden="false" customHeight="false" outlineLevel="0" collapsed="false">
      <c r="A152" s="21"/>
      <c r="B152" s="33" t="n">
        <f aca="false">IF($A152="",0,INT(($A152-Macrociclo!$C$11)/7)+1)</f>
        <v>0</v>
      </c>
      <c r="C152" s="20"/>
      <c r="D152" s="22"/>
      <c r="E152" s="22"/>
      <c r="F152" s="22"/>
      <c r="G152" s="22"/>
      <c r="H152" s="33" t="n">
        <f aca="false">IF(COUNT($D152:$G152)&lt;4,0,SUM($D152:$G152))</f>
        <v>0</v>
      </c>
      <c r="I152" s="19" t="str">
        <f aca="false">IF($H152=0,"",IF($H152&lt;=8,"Ótimo",IF($H152&lt;=12,"Bom",IF($H152&lt;=16,"Regular",IF($H152&lt;=20,"Alerta","Crítico")))))</f>
        <v/>
      </c>
      <c r="J152" s="20"/>
      <c r="K152" s="20"/>
    </row>
    <row r="153" customFormat="false" ht="15" hidden="false" customHeight="false" outlineLevel="0" collapsed="false">
      <c r="A153" s="21"/>
      <c r="B153" s="33" t="n">
        <f aca="false">IF($A153="",0,INT(($A153-Macrociclo!$C$11)/7)+1)</f>
        <v>0</v>
      </c>
      <c r="C153" s="20"/>
      <c r="D153" s="22"/>
      <c r="E153" s="22"/>
      <c r="F153" s="22"/>
      <c r="G153" s="22"/>
      <c r="H153" s="33" t="n">
        <f aca="false">IF(COUNT($D153:$G153)&lt;4,0,SUM($D153:$G153))</f>
        <v>0</v>
      </c>
      <c r="I153" s="19" t="str">
        <f aca="false">IF($H153=0,"",IF($H153&lt;=8,"Ótimo",IF($H153&lt;=12,"Bom",IF($H153&lt;=16,"Regular",IF($H153&lt;=20,"Alerta","Crítico")))))</f>
        <v/>
      </c>
      <c r="J153" s="20"/>
      <c r="K153" s="20"/>
    </row>
    <row r="154" customFormat="false" ht="15" hidden="false" customHeight="false" outlineLevel="0" collapsed="false">
      <c r="A154" s="21"/>
      <c r="B154" s="33" t="n">
        <f aca="false">IF($A154="",0,INT(($A154-Macrociclo!$C$11)/7)+1)</f>
        <v>0</v>
      </c>
      <c r="C154" s="20"/>
      <c r="D154" s="22"/>
      <c r="E154" s="22"/>
      <c r="F154" s="22"/>
      <c r="G154" s="22"/>
      <c r="H154" s="33" t="n">
        <f aca="false">IF(COUNT($D154:$G154)&lt;4,0,SUM($D154:$G154))</f>
        <v>0</v>
      </c>
      <c r="I154" s="19" t="str">
        <f aca="false">IF($H154=0,"",IF($H154&lt;=8,"Ótimo",IF($H154&lt;=12,"Bom",IF($H154&lt;=16,"Regular",IF($H154&lt;=20,"Alerta","Crítico")))))</f>
        <v/>
      </c>
      <c r="J154" s="20"/>
      <c r="K154" s="20"/>
    </row>
    <row r="155" customFormat="false" ht="15" hidden="false" customHeight="false" outlineLevel="0" collapsed="false">
      <c r="A155" s="21"/>
      <c r="B155" s="33" t="n">
        <f aca="false">IF($A155="",0,INT(($A155-Macrociclo!$C$11)/7)+1)</f>
        <v>0</v>
      </c>
      <c r="C155" s="20"/>
      <c r="D155" s="22"/>
      <c r="E155" s="22"/>
      <c r="F155" s="22"/>
      <c r="G155" s="22"/>
      <c r="H155" s="33" t="n">
        <f aca="false">IF(COUNT($D155:$G155)&lt;4,0,SUM($D155:$G155))</f>
        <v>0</v>
      </c>
      <c r="I155" s="19" t="str">
        <f aca="false">IF($H155=0,"",IF($H155&lt;=8,"Ótimo",IF($H155&lt;=12,"Bom",IF($H155&lt;=16,"Regular",IF($H155&lt;=20,"Alerta","Crítico")))))</f>
        <v/>
      </c>
      <c r="J155" s="20"/>
      <c r="K155" s="20"/>
    </row>
    <row r="156" customFormat="false" ht="15" hidden="false" customHeight="false" outlineLevel="0" collapsed="false">
      <c r="A156" s="21"/>
      <c r="B156" s="33" t="n">
        <f aca="false">IF($A156="",0,INT(($A156-Macrociclo!$C$11)/7)+1)</f>
        <v>0</v>
      </c>
      <c r="C156" s="20"/>
      <c r="D156" s="22"/>
      <c r="E156" s="22"/>
      <c r="F156" s="22"/>
      <c r="G156" s="22"/>
      <c r="H156" s="33" t="n">
        <f aca="false">IF(COUNT($D156:$G156)&lt;4,0,SUM($D156:$G156))</f>
        <v>0</v>
      </c>
      <c r="I156" s="19" t="str">
        <f aca="false">IF($H156=0,"",IF($H156&lt;=8,"Ótimo",IF($H156&lt;=12,"Bom",IF($H156&lt;=16,"Regular",IF($H156&lt;=20,"Alerta","Crítico")))))</f>
        <v/>
      </c>
      <c r="J156" s="20"/>
      <c r="K156" s="20"/>
    </row>
    <row r="157" customFormat="false" ht="15" hidden="false" customHeight="false" outlineLevel="0" collapsed="false">
      <c r="A157" s="21"/>
      <c r="B157" s="33" t="n">
        <f aca="false">IF($A157="",0,INT(($A157-Macrociclo!$C$11)/7)+1)</f>
        <v>0</v>
      </c>
      <c r="C157" s="20"/>
      <c r="D157" s="22"/>
      <c r="E157" s="22"/>
      <c r="F157" s="22"/>
      <c r="G157" s="22"/>
      <c r="H157" s="33" t="n">
        <f aca="false">IF(COUNT($D157:$G157)&lt;4,0,SUM($D157:$G157))</f>
        <v>0</v>
      </c>
      <c r="I157" s="19" t="str">
        <f aca="false">IF($H157=0,"",IF($H157&lt;=8,"Ótimo",IF($H157&lt;=12,"Bom",IF($H157&lt;=16,"Regular",IF($H157&lt;=20,"Alerta","Crítico")))))</f>
        <v/>
      </c>
      <c r="J157" s="20"/>
      <c r="K157" s="20"/>
    </row>
    <row r="158" customFormat="false" ht="15" hidden="false" customHeight="false" outlineLevel="0" collapsed="false">
      <c r="A158" s="21"/>
      <c r="B158" s="33" t="n">
        <f aca="false">IF($A158="",0,INT(($A158-Macrociclo!$C$11)/7)+1)</f>
        <v>0</v>
      </c>
      <c r="C158" s="20"/>
      <c r="D158" s="22"/>
      <c r="E158" s="22"/>
      <c r="F158" s="22"/>
      <c r="G158" s="22"/>
      <c r="H158" s="33" t="n">
        <f aca="false">IF(COUNT($D158:$G158)&lt;4,0,SUM($D158:$G158))</f>
        <v>0</v>
      </c>
      <c r="I158" s="19" t="str">
        <f aca="false">IF($H158=0,"",IF($H158&lt;=8,"Ótimo",IF($H158&lt;=12,"Bom",IF($H158&lt;=16,"Regular",IF($H158&lt;=20,"Alerta","Crítico")))))</f>
        <v/>
      </c>
      <c r="J158" s="20"/>
      <c r="K158" s="20"/>
    </row>
    <row r="159" customFormat="false" ht="15" hidden="false" customHeight="false" outlineLevel="0" collapsed="false">
      <c r="A159" s="21"/>
      <c r="B159" s="33" t="n">
        <f aca="false">IF($A159="",0,INT(($A159-Macrociclo!$C$11)/7)+1)</f>
        <v>0</v>
      </c>
      <c r="C159" s="20"/>
      <c r="D159" s="22"/>
      <c r="E159" s="22"/>
      <c r="F159" s="22"/>
      <c r="G159" s="22"/>
      <c r="H159" s="33" t="n">
        <f aca="false">IF(COUNT($D159:$G159)&lt;4,0,SUM($D159:$G159))</f>
        <v>0</v>
      </c>
      <c r="I159" s="19" t="str">
        <f aca="false">IF($H159=0,"",IF($H159&lt;=8,"Ótimo",IF($H159&lt;=12,"Bom",IF($H159&lt;=16,"Regular",IF($H159&lt;=20,"Alerta","Crítico")))))</f>
        <v/>
      </c>
      <c r="J159" s="20"/>
      <c r="K159" s="20"/>
    </row>
    <row r="160" customFormat="false" ht="15" hidden="false" customHeight="false" outlineLevel="0" collapsed="false">
      <c r="A160" s="21"/>
      <c r="B160" s="33" t="n">
        <f aca="false">IF($A160="",0,INT(($A160-Macrociclo!$C$11)/7)+1)</f>
        <v>0</v>
      </c>
      <c r="C160" s="20"/>
      <c r="D160" s="22"/>
      <c r="E160" s="22"/>
      <c r="F160" s="22"/>
      <c r="G160" s="22"/>
      <c r="H160" s="33" t="n">
        <f aca="false">IF(COUNT($D160:$G160)&lt;4,0,SUM($D160:$G160))</f>
        <v>0</v>
      </c>
      <c r="I160" s="19" t="str">
        <f aca="false">IF($H160=0,"",IF($H160&lt;=8,"Ótimo",IF($H160&lt;=12,"Bom",IF($H160&lt;=16,"Regular",IF($H160&lt;=20,"Alerta","Crítico")))))</f>
        <v/>
      </c>
      <c r="J160" s="20"/>
      <c r="K160" s="20"/>
    </row>
    <row r="161" customFormat="false" ht="15" hidden="false" customHeight="false" outlineLevel="0" collapsed="false">
      <c r="A161" s="21"/>
      <c r="B161" s="33" t="n">
        <f aca="false">IF($A161="",0,INT(($A161-Macrociclo!$C$11)/7)+1)</f>
        <v>0</v>
      </c>
      <c r="C161" s="20"/>
      <c r="D161" s="22"/>
      <c r="E161" s="22"/>
      <c r="F161" s="22"/>
      <c r="G161" s="22"/>
      <c r="H161" s="33" t="n">
        <f aca="false">IF(COUNT($D161:$G161)&lt;4,0,SUM($D161:$G161))</f>
        <v>0</v>
      </c>
      <c r="I161" s="19" t="str">
        <f aca="false">IF($H161=0,"",IF($H161&lt;=8,"Ótimo",IF($H161&lt;=12,"Bom",IF($H161&lt;=16,"Regular",IF($H161&lt;=20,"Alerta","Crítico")))))</f>
        <v/>
      </c>
      <c r="J161" s="20"/>
      <c r="K161" s="20"/>
    </row>
    <row r="162" customFormat="false" ht="15" hidden="false" customHeight="false" outlineLevel="0" collapsed="false">
      <c r="A162" s="21"/>
      <c r="B162" s="33" t="n">
        <f aca="false">IF($A162="",0,INT(($A162-Macrociclo!$C$11)/7)+1)</f>
        <v>0</v>
      </c>
      <c r="C162" s="20"/>
      <c r="D162" s="22"/>
      <c r="E162" s="22"/>
      <c r="F162" s="22"/>
      <c r="G162" s="22"/>
      <c r="H162" s="33" t="n">
        <f aca="false">IF(COUNT($D162:$G162)&lt;4,0,SUM($D162:$G162))</f>
        <v>0</v>
      </c>
      <c r="I162" s="19" t="str">
        <f aca="false">IF($H162=0,"",IF($H162&lt;=8,"Ótimo",IF($H162&lt;=12,"Bom",IF($H162&lt;=16,"Regular",IF($H162&lt;=20,"Alerta","Crítico")))))</f>
        <v/>
      </c>
      <c r="J162" s="20"/>
      <c r="K162" s="20"/>
    </row>
    <row r="163" customFormat="false" ht="15" hidden="false" customHeight="false" outlineLevel="0" collapsed="false">
      <c r="A163" s="21"/>
      <c r="B163" s="33" t="n">
        <f aca="false">IF($A163="",0,INT(($A163-Macrociclo!$C$11)/7)+1)</f>
        <v>0</v>
      </c>
      <c r="C163" s="20"/>
      <c r="D163" s="22"/>
      <c r="E163" s="22"/>
      <c r="F163" s="22"/>
      <c r="G163" s="22"/>
      <c r="H163" s="33" t="n">
        <f aca="false">IF(COUNT($D163:$G163)&lt;4,0,SUM($D163:$G163))</f>
        <v>0</v>
      </c>
      <c r="I163" s="19" t="str">
        <f aca="false">IF($H163=0,"",IF($H163&lt;=8,"Ótimo",IF($H163&lt;=12,"Bom",IF($H163&lt;=16,"Regular",IF($H163&lt;=20,"Alerta","Crítico")))))</f>
        <v/>
      </c>
      <c r="J163" s="20"/>
      <c r="K163" s="20"/>
    </row>
    <row r="164" customFormat="false" ht="15" hidden="false" customHeight="false" outlineLevel="0" collapsed="false">
      <c r="A164" s="21"/>
      <c r="B164" s="33" t="n">
        <f aca="false">IF($A164="",0,INT(($A164-Macrociclo!$C$11)/7)+1)</f>
        <v>0</v>
      </c>
      <c r="C164" s="20"/>
      <c r="D164" s="22"/>
      <c r="E164" s="22"/>
      <c r="F164" s="22"/>
      <c r="G164" s="22"/>
      <c r="H164" s="33" t="n">
        <f aca="false">IF(COUNT($D164:$G164)&lt;4,0,SUM($D164:$G164))</f>
        <v>0</v>
      </c>
      <c r="I164" s="19" t="str">
        <f aca="false">IF($H164=0,"",IF($H164&lt;=8,"Ótimo",IF($H164&lt;=12,"Bom",IF($H164&lt;=16,"Regular",IF($H164&lt;=20,"Alerta","Crítico")))))</f>
        <v/>
      </c>
      <c r="J164" s="20"/>
      <c r="K164" s="20"/>
    </row>
    <row r="165" customFormat="false" ht="15" hidden="false" customHeight="false" outlineLevel="0" collapsed="false">
      <c r="A165" s="21"/>
      <c r="B165" s="33" t="n">
        <f aca="false">IF($A165="",0,INT(($A165-Macrociclo!$C$11)/7)+1)</f>
        <v>0</v>
      </c>
      <c r="C165" s="20"/>
      <c r="D165" s="22"/>
      <c r="E165" s="22"/>
      <c r="F165" s="22"/>
      <c r="G165" s="22"/>
      <c r="H165" s="33" t="n">
        <f aca="false">IF(COUNT($D165:$G165)&lt;4,0,SUM($D165:$G165))</f>
        <v>0</v>
      </c>
      <c r="I165" s="19" t="str">
        <f aca="false">IF($H165=0,"",IF($H165&lt;=8,"Ótimo",IF($H165&lt;=12,"Bom",IF($H165&lt;=16,"Regular",IF($H165&lt;=20,"Alerta","Crítico")))))</f>
        <v/>
      </c>
      <c r="J165" s="20"/>
      <c r="K165" s="20"/>
    </row>
    <row r="166" customFormat="false" ht="15" hidden="false" customHeight="false" outlineLevel="0" collapsed="false">
      <c r="A166" s="21"/>
      <c r="B166" s="33" t="n">
        <f aca="false">IF($A166="",0,INT(($A166-Macrociclo!$C$11)/7)+1)</f>
        <v>0</v>
      </c>
      <c r="C166" s="20"/>
      <c r="D166" s="22"/>
      <c r="E166" s="22"/>
      <c r="F166" s="22"/>
      <c r="G166" s="22"/>
      <c r="H166" s="33" t="n">
        <f aca="false">IF(COUNT($D166:$G166)&lt;4,0,SUM($D166:$G166))</f>
        <v>0</v>
      </c>
      <c r="I166" s="19" t="str">
        <f aca="false">IF($H166=0,"",IF($H166&lt;=8,"Ótimo",IF($H166&lt;=12,"Bom",IF($H166&lt;=16,"Regular",IF($H166&lt;=20,"Alerta","Crítico")))))</f>
        <v/>
      </c>
      <c r="J166" s="20"/>
      <c r="K166" s="20"/>
    </row>
    <row r="167" customFormat="false" ht="15" hidden="false" customHeight="false" outlineLevel="0" collapsed="false">
      <c r="A167" s="21"/>
      <c r="B167" s="33" t="n">
        <f aca="false">IF($A167="",0,INT(($A167-Macrociclo!$C$11)/7)+1)</f>
        <v>0</v>
      </c>
      <c r="C167" s="20"/>
      <c r="D167" s="22"/>
      <c r="E167" s="22"/>
      <c r="F167" s="22"/>
      <c r="G167" s="22"/>
      <c r="H167" s="33" t="n">
        <f aca="false">IF(COUNT($D167:$G167)&lt;4,0,SUM($D167:$G167))</f>
        <v>0</v>
      </c>
      <c r="I167" s="19" t="str">
        <f aca="false">IF($H167=0,"",IF($H167&lt;=8,"Ótimo",IF($H167&lt;=12,"Bom",IF($H167&lt;=16,"Regular",IF($H167&lt;=20,"Alerta","Crítico")))))</f>
        <v/>
      </c>
      <c r="J167" s="20"/>
      <c r="K167" s="20"/>
    </row>
    <row r="168" customFormat="false" ht="15" hidden="false" customHeight="false" outlineLevel="0" collapsed="false">
      <c r="A168" s="21"/>
      <c r="B168" s="33" t="n">
        <f aca="false">IF($A168="",0,INT(($A168-Macrociclo!$C$11)/7)+1)</f>
        <v>0</v>
      </c>
      <c r="C168" s="20"/>
      <c r="D168" s="22"/>
      <c r="E168" s="22"/>
      <c r="F168" s="22"/>
      <c r="G168" s="22"/>
      <c r="H168" s="33" t="n">
        <f aca="false">IF(COUNT($D168:$G168)&lt;4,0,SUM($D168:$G168))</f>
        <v>0</v>
      </c>
      <c r="I168" s="19" t="str">
        <f aca="false">IF($H168=0,"",IF($H168&lt;=8,"Ótimo",IF($H168&lt;=12,"Bom",IF($H168&lt;=16,"Regular",IF($H168&lt;=20,"Alerta","Crítico")))))</f>
        <v/>
      </c>
      <c r="J168" s="20"/>
      <c r="K168" s="20"/>
    </row>
    <row r="169" customFormat="false" ht="15" hidden="false" customHeight="false" outlineLevel="0" collapsed="false">
      <c r="A169" s="21"/>
      <c r="B169" s="33" t="n">
        <f aca="false">IF($A169="",0,INT(($A169-Macrociclo!$C$11)/7)+1)</f>
        <v>0</v>
      </c>
      <c r="C169" s="20"/>
      <c r="D169" s="22"/>
      <c r="E169" s="22"/>
      <c r="F169" s="22"/>
      <c r="G169" s="22"/>
      <c r="H169" s="33" t="n">
        <f aca="false">IF(COUNT($D169:$G169)&lt;4,0,SUM($D169:$G169))</f>
        <v>0</v>
      </c>
      <c r="I169" s="19" t="str">
        <f aca="false">IF($H169=0,"",IF($H169&lt;=8,"Ótimo",IF($H169&lt;=12,"Bom",IF($H169&lt;=16,"Regular",IF($H169&lt;=20,"Alerta","Crítico")))))</f>
        <v/>
      </c>
      <c r="J169" s="20"/>
      <c r="K169" s="20"/>
    </row>
    <row r="170" customFormat="false" ht="15" hidden="false" customHeight="false" outlineLevel="0" collapsed="false">
      <c r="A170" s="21"/>
      <c r="B170" s="33" t="n">
        <f aca="false">IF($A170="",0,INT(($A170-Macrociclo!$C$11)/7)+1)</f>
        <v>0</v>
      </c>
      <c r="C170" s="20"/>
      <c r="D170" s="22"/>
      <c r="E170" s="22"/>
      <c r="F170" s="22"/>
      <c r="G170" s="22"/>
      <c r="H170" s="33" t="n">
        <f aca="false">IF(COUNT($D170:$G170)&lt;4,0,SUM($D170:$G170))</f>
        <v>0</v>
      </c>
      <c r="I170" s="19" t="str">
        <f aca="false">IF($H170=0,"",IF($H170&lt;=8,"Ótimo",IF($H170&lt;=12,"Bom",IF($H170&lt;=16,"Regular",IF($H170&lt;=20,"Alerta","Crítico")))))</f>
        <v/>
      </c>
      <c r="J170" s="20"/>
      <c r="K170" s="20"/>
    </row>
    <row r="171" customFormat="false" ht="15" hidden="false" customHeight="false" outlineLevel="0" collapsed="false">
      <c r="A171" s="21"/>
      <c r="B171" s="33" t="n">
        <f aca="false">IF($A171="",0,INT(($A171-Macrociclo!$C$11)/7)+1)</f>
        <v>0</v>
      </c>
      <c r="C171" s="20"/>
      <c r="D171" s="22"/>
      <c r="E171" s="22"/>
      <c r="F171" s="22"/>
      <c r="G171" s="22"/>
      <c r="H171" s="33" t="n">
        <f aca="false">IF(COUNT($D171:$G171)&lt;4,0,SUM($D171:$G171))</f>
        <v>0</v>
      </c>
      <c r="I171" s="19" t="str">
        <f aca="false">IF($H171=0,"",IF($H171&lt;=8,"Ótimo",IF($H171&lt;=12,"Bom",IF($H171&lt;=16,"Regular",IF($H171&lt;=20,"Alerta","Crítico")))))</f>
        <v/>
      </c>
      <c r="J171" s="20"/>
      <c r="K171" s="20"/>
    </row>
    <row r="172" customFormat="false" ht="15" hidden="false" customHeight="false" outlineLevel="0" collapsed="false">
      <c r="A172" s="21"/>
      <c r="B172" s="33" t="n">
        <f aca="false">IF($A172="",0,INT(($A172-Macrociclo!$C$11)/7)+1)</f>
        <v>0</v>
      </c>
      <c r="C172" s="20"/>
      <c r="D172" s="22"/>
      <c r="E172" s="22"/>
      <c r="F172" s="22"/>
      <c r="G172" s="22"/>
      <c r="H172" s="33" t="n">
        <f aca="false">IF(COUNT($D172:$G172)&lt;4,0,SUM($D172:$G172))</f>
        <v>0</v>
      </c>
      <c r="I172" s="19" t="str">
        <f aca="false">IF($H172=0,"",IF($H172&lt;=8,"Ótimo",IF($H172&lt;=12,"Bom",IF($H172&lt;=16,"Regular",IF($H172&lt;=20,"Alerta","Crítico")))))</f>
        <v/>
      </c>
      <c r="J172" s="20"/>
      <c r="K172" s="20"/>
    </row>
    <row r="173" customFormat="false" ht="15" hidden="false" customHeight="false" outlineLevel="0" collapsed="false">
      <c r="A173" s="21"/>
      <c r="B173" s="33" t="n">
        <f aca="false">IF($A173="",0,INT(($A173-Macrociclo!$C$11)/7)+1)</f>
        <v>0</v>
      </c>
      <c r="C173" s="20"/>
      <c r="D173" s="22"/>
      <c r="E173" s="22"/>
      <c r="F173" s="22"/>
      <c r="G173" s="22"/>
      <c r="H173" s="33" t="n">
        <f aca="false">IF(COUNT($D173:$G173)&lt;4,0,SUM($D173:$G173))</f>
        <v>0</v>
      </c>
      <c r="I173" s="19" t="str">
        <f aca="false">IF($H173=0,"",IF($H173&lt;=8,"Ótimo",IF($H173&lt;=12,"Bom",IF($H173&lt;=16,"Regular",IF($H173&lt;=20,"Alerta","Crítico")))))</f>
        <v/>
      </c>
      <c r="J173" s="20"/>
      <c r="K173" s="20"/>
    </row>
    <row r="174" customFormat="false" ht="15" hidden="false" customHeight="false" outlineLevel="0" collapsed="false">
      <c r="A174" s="21"/>
      <c r="B174" s="33" t="n">
        <f aca="false">IF($A174="",0,INT(($A174-Macrociclo!$C$11)/7)+1)</f>
        <v>0</v>
      </c>
      <c r="C174" s="20"/>
      <c r="D174" s="22"/>
      <c r="E174" s="22"/>
      <c r="F174" s="22"/>
      <c r="G174" s="22"/>
      <c r="H174" s="33" t="n">
        <f aca="false">IF(COUNT($D174:$G174)&lt;4,0,SUM($D174:$G174))</f>
        <v>0</v>
      </c>
      <c r="I174" s="19" t="str">
        <f aca="false">IF($H174=0,"",IF($H174&lt;=8,"Ótimo",IF($H174&lt;=12,"Bom",IF($H174&lt;=16,"Regular",IF($H174&lt;=20,"Alerta","Crítico")))))</f>
        <v/>
      </c>
      <c r="J174" s="20"/>
      <c r="K174" s="20"/>
    </row>
    <row r="175" customFormat="false" ht="15" hidden="false" customHeight="false" outlineLevel="0" collapsed="false">
      <c r="A175" s="21"/>
      <c r="B175" s="33" t="n">
        <f aca="false">IF($A175="",0,INT(($A175-Macrociclo!$C$11)/7)+1)</f>
        <v>0</v>
      </c>
      <c r="C175" s="20"/>
      <c r="D175" s="22"/>
      <c r="E175" s="22"/>
      <c r="F175" s="22"/>
      <c r="G175" s="22"/>
      <c r="H175" s="33" t="n">
        <f aca="false">IF(COUNT($D175:$G175)&lt;4,0,SUM($D175:$G175))</f>
        <v>0</v>
      </c>
      <c r="I175" s="19" t="str">
        <f aca="false">IF($H175=0,"",IF($H175&lt;=8,"Ótimo",IF($H175&lt;=12,"Bom",IF($H175&lt;=16,"Regular",IF($H175&lt;=20,"Alerta","Crítico")))))</f>
        <v/>
      </c>
      <c r="J175" s="20"/>
      <c r="K175" s="20"/>
    </row>
    <row r="176" customFormat="false" ht="15" hidden="false" customHeight="false" outlineLevel="0" collapsed="false">
      <c r="A176" s="21"/>
      <c r="B176" s="33" t="n">
        <f aca="false">IF($A176="",0,INT(($A176-Macrociclo!$C$11)/7)+1)</f>
        <v>0</v>
      </c>
      <c r="C176" s="20"/>
      <c r="D176" s="22"/>
      <c r="E176" s="22"/>
      <c r="F176" s="22"/>
      <c r="G176" s="22"/>
      <c r="H176" s="33" t="n">
        <f aca="false">IF(COUNT($D176:$G176)&lt;4,0,SUM($D176:$G176))</f>
        <v>0</v>
      </c>
      <c r="I176" s="19" t="str">
        <f aca="false">IF($H176=0,"",IF($H176&lt;=8,"Ótimo",IF($H176&lt;=12,"Bom",IF($H176&lt;=16,"Regular",IF($H176&lt;=20,"Alerta","Crítico")))))</f>
        <v/>
      </c>
      <c r="J176" s="20"/>
      <c r="K176" s="20"/>
    </row>
    <row r="177" customFormat="false" ht="15" hidden="false" customHeight="false" outlineLevel="0" collapsed="false">
      <c r="A177" s="21"/>
      <c r="B177" s="33" t="n">
        <f aca="false">IF($A177="",0,INT(($A177-Macrociclo!$C$11)/7)+1)</f>
        <v>0</v>
      </c>
      <c r="C177" s="20"/>
      <c r="D177" s="22"/>
      <c r="E177" s="22"/>
      <c r="F177" s="22"/>
      <c r="G177" s="22"/>
      <c r="H177" s="33" t="n">
        <f aca="false">IF(COUNT($D177:$G177)&lt;4,0,SUM($D177:$G177))</f>
        <v>0</v>
      </c>
      <c r="I177" s="19" t="str">
        <f aca="false">IF($H177=0,"",IF($H177&lt;=8,"Ótimo",IF($H177&lt;=12,"Bom",IF($H177&lt;=16,"Regular",IF($H177&lt;=20,"Alerta","Crítico")))))</f>
        <v/>
      </c>
      <c r="J177" s="20"/>
      <c r="K177" s="20"/>
    </row>
    <row r="178" customFormat="false" ht="15" hidden="false" customHeight="false" outlineLevel="0" collapsed="false">
      <c r="A178" s="21"/>
      <c r="B178" s="33" t="n">
        <f aca="false">IF($A178="",0,INT(($A178-Macrociclo!$C$11)/7)+1)</f>
        <v>0</v>
      </c>
      <c r="C178" s="20"/>
      <c r="D178" s="22"/>
      <c r="E178" s="22"/>
      <c r="F178" s="22"/>
      <c r="G178" s="22"/>
      <c r="H178" s="33" t="n">
        <f aca="false">IF(COUNT($D178:$G178)&lt;4,0,SUM($D178:$G178))</f>
        <v>0</v>
      </c>
      <c r="I178" s="19" t="str">
        <f aca="false">IF($H178=0,"",IF($H178&lt;=8,"Ótimo",IF($H178&lt;=12,"Bom",IF($H178&lt;=16,"Regular",IF($H178&lt;=20,"Alerta","Crítico")))))</f>
        <v/>
      </c>
      <c r="J178" s="20"/>
      <c r="K178" s="20"/>
    </row>
    <row r="179" customFormat="false" ht="15" hidden="false" customHeight="false" outlineLevel="0" collapsed="false">
      <c r="A179" s="21"/>
      <c r="B179" s="33" t="n">
        <f aca="false">IF($A179="",0,INT(($A179-Macrociclo!$C$11)/7)+1)</f>
        <v>0</v>
      </c>
      <c r="C179" s="20"/>
      <c r="D179" s="22"/>
      <c r="E179" s="22"/>
      <c r="F179" s="22"/>
      <c r="G179" s="22"/>
      <c r="H179" s="33" t="n">
        <f aca="false">IF(COUNT($D179:$G179)&lt;4,0,SUM($D179:$G179))</f>
        <v>0</v>
      </c>
      <c r="I179" s="19" t="str">
        <f aca="false">IF($H179=0,"",IF($H179&lt;=8,"Ótimo",IF($H179&lt;=12,"Bom",IF($H179&lt;=16,"Regular",IF($H179&lt;=20,"Alerta","Crítico")))))</f>
        <v/>
      </c>
      <c r="J179" s="20"/>
      <c r="K179" s="20"/>
    </row>
    <row r="180" customFormat="false" ht="15" hidden="false" customHeight="false" outlineLevel="0" collapsed="false">
      <c r="A180" s="21"/>
      <c r="B180" s="33" t="n">
        <f aca="false">IF($A180="",0,INT(($A180-Macrociclo!$C$11)/7)+1)</f>
        <v>0</v>
      </c>
      <c r="C180" s="20"/>
      <c r="D180" s="22"/>
      <c r="E180" s="22"/>
      <c r="F180" s="22"/>
      <c r="G180" s="22"/>
      <c r="H180" s="33" t="n">
        <f aca="false">IF(COUNT($D180:$G180)&lt;4,0,SUM($D180:$G180))</f>
        <v>0</v>
      </c>
      <c r="I180" s="19" t="str">
        <f aca="false">IF($H180=0,"",IF($H180&lt;=8,"Ótimo",IF($H180&lt;=12,"Bom",IF($H180&lt;=16,"Regular",IF($H180&lt;=20,"Alerta","Crítico")))))</f>
        <v/>
      </c>
      <c r="J180" s="20"/>
      <c r="K180" s="20"/>
    </row>
    <row r="181" customFormat="false" ht="15" hidden="false" customHeight="false" outlineLevel="0" collapsed="false">
      <c r="A181" s="21"/>
      <c r="B181" s="33" t="n">
        <f aca="false">IF($A181="",0,INT(($A181-Macrociclo!$C$11)/7)+1)</f>
        <v>0</v>
      </c>
      <c r="C181" s="20"/>
      <c r="D181" s="22"/>
      <c r="E181" s="22"/>
      <c r="F181" s="22"/>
      <c r="G181" s="22"/>
      <c r="H181" s="33" t="n">
        <f aca="false">IF(COUNT($D181:$G181)&lt;4,0,SUM($D181:$G181))</f>
        <v>0</v>
      </c>
      <c r="I181" s="19" t="str">
        <f aca="false">IF($H181=0,"",IF($H181&lt;=8,"Ótimo",IF($H181&lt;=12,"Bom",IF($H181&lt;=16,"Regular",IF($H181&lt;=20,"Alerta","Crítico")))))</f>
        <v/>
      </c>
      <c r="J181" s="20"/>
      <c r="K181" s="20"/>
    </row>
    <row r="182" customFormat="false" ht="15" hidden="false" customHeight="false" outlineLevel="0" collapsed="false">
      <c r="A182" s="21"/>
      <c r="B182" s="33" t="n">
        <f aca="false">IF($A182="",0,INT(($A182-Macrociclo!$C$11)/7)+1)</f>
        <v>0</v>
      </c>
      <c r="C182" s="20"/>
      <c r="D182" s="22"/>
      <c r="E182" s="22"/>
      <c r="F182" s="22"/>
      <c r="G182" s="22"/>
      <c r="H182" s="33" t="n">
        <f aca="false">IF(COUNT($D182:$G182)&lt;4,0,SUM($D182:$G182))</f>
        <v>0</v>
      </c>
      <c r="I182" s="19" t="str">
        <f aca="false">IF($H182=0,"",IF($H182&lt;=8,"Ótimo",IF($H182&lt;=12,"Bom",IF($H182&lt;=16,"Regular",IF($H182&lt;=20,"Alerta","Crítico")))))</f>
        <v/>
      </c>
      <c r="J182" s="20"/>
      <c r="K182" s="20"/>
    </row>
    <row r="183" customFormat="false" ht="15" hidden="false" customHeight="false" outlineLevel="0" collapsed="false">
      <c r="A183" s="21"/>
      <c r="B183" s="33" t="n">
        <f aca="false">IF($A183="",0,INT(($A183-Macrociclo!$C$11)/7)+1)</f>
        <v>0</v>
      </c>
      <c r="C183" s="20"/>
      <c r="D183" s="22"/>
      <c r="E183" s="22"/>
      <c r="F183" s="22"/>
      <c r="G183" s="22"/>
      <c r="H183" s="33" t="n">
        <f aca="false">IF(COUNT($D183:$G183)&lt;4,0,SUM($D183:$G183))</f>
        <v>0</v>
      </c>
      <c r="I183" s="19" t="str">
        <f aca="false">IF($H183=0,"",IF($H183&lt;=8,"Ótimo",IF($H183&lt;=12,"Bom",IF($H183&lt;=16,"Regular",IF($H183&lt;=20,"Alerta","Crítico")))))</f>
        <v/>
      </c>
      <c r="J183" s="20"/>
      <c r="K183" s="20"/>
    </row>
    <row r="184" customFormat="false" ht="15" hidden="false" customHeight="false" outlineLevel="0" collapsed="false">
      <c r="A184" s="21"/>
      <c r="B184" s="33" t="n">
        <f aca="false">IF($A184="",0,INT(($A184-Macrociclo!$C$11)/7)+1)</f>
        <v>0</v>
      </c>
      <c r="C184" s="20"/>
      <c r="D184" s="22"/>
      <c r="E184" s="22"/>
      <c r="F184" s="22"/>
      <c r="G184" s="22"/>
      <c r="H184" s="33" t="n">
        <f aca="false">IF(COUNT($D184:$G184)&lt;4,0,SUM($D184:$G184))</f>
        <v>0</v>
      </c>
      <c r="I184" s="19" t="str">
        <f aca="false">IF($H184=0,"",IF($H184&lt;=8,"Ótimo",IF($H184&lt;=12,"Bom",IF($H184&lt;=16,"Regular",IF($H184&lt;=20,"Alerta","Crítico")))))</f>
        <v/>
      </c>
      <c r="J184" s="20"/>
      <c r="K184" s="20"/>
    </row>
    <row r="185" customFormat="false" ht="15" hidden="false" customHeight="false" outlineLevel="0" collapsed="false">
      <c r="A185" s="21"/>
      <c r="B185" s="33" t="n">
        <f aca="false">IF($A185="",0,INT(($A185-Macrociclo!$C$11)/7)+1)</f>
        <v>0</v>
      </c>
      <c r="C185" s="20"/>
      <c r="D185" s="22"/>
      <c r="E185" s="22"/>
      <c r="F185" s="22"/>
      <c r="G185" s="22"/>
      <c r="H185" s="33" t="n">
        <f aca="false">IF(COUNT($D185:$G185)&lt;4,0,SUM($D185:$G185))</f>
        <v>0</v>
      </c>
      <c r="I185" s="19" t="str">
        <f aca="false">IF($H185=0,"",IF($H185&lt;=8,"Ótimo",IF($H185&lt;=12,"Bom",IF($H185&lt;=16,"Regular",IF($H185&lt;=20,"Alerta","Crítico")))))</f>
        <v/>
      </c>
      <c r="J185" s="20"/>
      <c r="K185" s="20"/>
    </row>
    <row r="186" customFormat="false" ht="15" hidden="false" customHeight="false" outlineLevel="0" collapsed="false">
      <c r="A186" s="21"/>
      <c r="B186" s="33" t="n">
        <f aca="false">IF($A186="",0,INT(($A186-Macrociclo!$C$11)/7)+1)</f>
        <v>0</v>
      </c>
      <c r="C186" s="20"/>
      <c r="D186" s="22"/>
      <c r="E186" s="22"/>
      <c r="F186" s="22"/>
      <c r="G186" s="22"/>
      <c r="H186" s="33" t="n">
        <f aca="false">IF(COUNT($D186:$G186)&lt;4,0,SUM($D186:$G186))</f>
        <v>0</v>
      </c>
      <c r="I186" s="19" t="str">
        <f aca="false">IF($H186=0,"",IF($H186&lt;=8,"Ótimo",IF($H186&lt;=12,"Bom",IF($H186&lt;=16,"Regular",IF($H186&lt;=20,"Alerta","Crítico")))))</f>
        <v/>
      </c>
      <c r="J186" s="20"/>
      <c r="K186" s="20"/>
    </row>
    <row r="187" customFormat="false" ht="15" hidden="false" customHeight="false" outlineLevel="0" collapsed="false">
      <c r="A187" s="21"/>
      <c r="B187" s="33" t="n">
        <f aca="false">IF($A187="",0,INT(($A187-Macrociclo!$C$11)/7)+1)</f>
        <v>0</v>
      </c>
      <c r="C187" s="20"/>
      <c r="D187" s="22"/>
      <c r="E187" s="22"/>
      <c r="F187" s="22"/>
      <c r="G187" s="22"/>
      <c r="H187" s="33" t="n">
        <f aca="false">IF(COUNT($D187:$G187)&lt;4,0,SUM($D187:$G187))</f>
        <v>0</v>
      </c>
      <c r="I187" s="19" t="str">
        <f aca="false">IF($H187=0,"",IF($H187&lt;=8,"Ótimo",IF($H187&lt;=12,"Bom",IF($H187&lt;=16,"Regular",IF($H187&lt;=20,"Alerta","Crítico")))))</f>
        <v/>
      </c>
      <c r="J187" s="20"/>
      <c r="K187" s="20"/>
    </row>
    <row r="188" customFormat="false" ht="15" hidden="false" customHeight="false" outlineLevel="0" collapsed="false">
      <c r="A188" s="21"/>
      <c r="B188" s="33" t="n">
        <f aca="false">IF($A188="",0,INT(($A188-Macrociclo!$C$11)/7)+1)</f>
        <v>0</v>
      </c>
      <c r="C188" s="20"/>
      <c r="D188" s="22"/>
      <c r="E188" s="22"/>
      <c r="F188" s="22"/>
      <c r="G188" s="22"/>
      <c r="H188" s="33" t="n">
        <f aca="false">IF(COUNT($D188:$G188)&lt;4,0,SUM($D188:$G188))</f>
        <v>0</v>
      </c>
      <c r="I188" s="19" t="str">
        <f aca="false">IF($H188=0,"",IF($H188&lt;=8,"Ótimo",IF($H188&lt;=12,"Bom",IF($H188&lt;=16,"Regular",IF($H188&lt;=20,"Alerta","Crítico")))))</f>
        <v/>
      </c>
      <c r="J188" s="20"/>
      <c r="K188" s="20"/>
    </row>
    <row r="189" customFormat="false" ht="15" hidden="false" customHeight="false" outlineLevel="0" collapsed="false">
      <c r="A189" s="21"/>
      <c r="B189" s="33" t="n">
        <f aca="false">IF($A189="",0,INT(($A189-Macrociclo!$C$11)/7)+1)</f>
        <v>0</v>
      </c>
      <c r="C189" s="20"/>
      <c r="D189" s="22"/>
      <c r="E189" s="22"/>
      <c r="F189" s="22"/>
      <c r="G189" s="22"/>
      <c r="H189" s="33" t="n">
        <f aca="false">IF(COUNT($D189:$G189)&lt;4,0,SUM($D189:$G189))</f>
        <v>0</v>
      </c>
      <c r="I189" s="19" t="str">
        <f aca="false">IF($H189=0,"",IF($H189&lt;=8,"Ótimo",IF($H189&lt;=12,"Bom",IF($H189&lt;=16,"Regular",IF($H189&lt;=20,"Alerta","Crítico")))))</f>
        <v/>
      </c>
      <c r="J189" s="20"/>
      <c r="K189" s="20"/>
    </row>
    <row r="190" customFormat="false" ht="15" hidden="false" customHeight="false" outlineLevel="0" collapsed="false">
      <c r="A190" s="21"/>
      <c r="B190" s="33" t="n">
        <f aca="false">IF($A190="",0,INT(($A190-Macrociclo!$C$11)/7)+1)</f>
        <v>0</v>
      </c>
      <c r="C190" s="20"/>
      <c r="D190" s="22"/>
      <c r="E190" s="22"/>
      <c r="F190" s="22"/>
      <c r="G190" s="22"/>
      <c r="H190" s="33" t="n">
        <f aca="false">IF(COUNT($D190:$G190)&lt;4,0,SUM($D190:$G190))</f>
        <v>0</v>
      </c>
      <c r="I190" s="19" t="str">
        <f aca="false">IF($H190=0,"",IF($H190&lt;=8,"Ótimo",IF($H190&lt;=12,"Bom",IF($H190&lt;=16,"Regular",IF($H190&lt;=20,"Alerta","Crítico")))))</f>
        <v/>
      </c>
      <c r="J190" s="20"/>
      <c r="K190" s="20"/>
    </row>
    <row r="191" customFormat="false" ht="15" hidden="false" customHeight="false" outlineLevel="0" collapsed="false">
      <c r="A191" s="21"/>
      <c r="B191" s="33" t="n">
        <f aca="false">IF($A191="",0,INT(($A191-Macrociclo!$C$11)/7)+1)</f>
        <v>0</v>
      </c>
      <c r="C191" s="20"/>
      <c r="D191" s="22"/>
      <c r="E191" s="22"/>
      <c r="F191" s="22"/>
      <c r="G191" s="22"/>
      <c r="H191" s="33" t="n">
        <f aca="false">IF(COUNT($D191:$G191)&lt;4,0,SUM($D191:$G191))</f>
        <v>0</v>
      </c>
      <c r="I191" s="19" t="str">
        <f aca="false">IF($H191=0,"",IF($H191&lt;=8,"Ótimo",IF($H191&lt;=12,"Bom",IF($H191&lt;=16,"Regular",IF($H191&lt;=20,"Alerta","Crítico")))))</f>
        <v/>
      </c>
      <c r="J191" s="20"/>
      <c r="K191" s="20"/>
    </row>
    <row r="192" customFormat="false" ht="15" hidden="false" customHeight="false" outlineLevel="0" collapsed="false">
      <c r="A192" s="21"/>
      <c r="B192" s="33" t="n">
        <f aca="false">IF($A192="",0,INT(($A192-Macrociclo!$C$11)/7)+1)</f>
        <v>0</v>
      </c>
      <c r="C192" s="20"/>
      <c r="D192" s="22"/>
      <c r="E192" s="22"/>
      <c r="F192" s="22"/>
      <c r="G192" s="22"/>
      <c r="H192" s="33" t="n">
        <f aca="false">IF(COUNT($D192:$G192)&lt;4,0,SUM($D192:$G192))</f>
        <v>0</v>
      </c>
      <c r="I192" s="19" t="str">
        <f aca="false">IF($H192=0,"",IF($H192&lt;=8,"Ótimo",IF($H192&lt;=12,"Bom",IF($H192&lt;=16,"Regular",IF($H192&lt;=20,"Alerta","Crítico")))))</f>
        <v/>
      </c>
      <c r="J192" s="20"/>
      <c r="K192" s="20"/>
    </row>
    <row r="193" customFormat="false" ht="15" hidden="false" customHeight="false" outlineLevel="0" collapsed="false">
      <c r="A193" s="21"/>
      <c r="B193" s="33" t="n">
        <f aca="false">IF($A193="",0,INT(($A193-Macrociclo!$C$11)/7)+1)</f>
        <v>0</v>
      </c>
      <c r="C193" s="20"/>
      <c r="D193" s="22"/>
      <c r="E193" s="22"/>
      <c r="F193" s="22"/>
      <c r="G193" s="22"/>
      <c r="H193" s="33" t="n">
        <f aca="false">IF(COUNT($D193:$G193)&lt;4,0,SUM($D193:$G193))</f>
        <v>0</v>
      </c>
      <c r="I193" s="19" t="str">
        <f aca="false">IF($H193=0,"",IF($H193&lt;=8,"Ótimo",IF($H193&lt;=12,"Bom",IF($H193&lt;=16,"Regular",IF($H193&lt;=20,"Alerta","Crítico")))))</f>
        <v/>
      </c>
      <c r="J193" s="20"/>
      <c r="K193" s="20"/>
    </row>
    <row r="194" customFormat="false" ht="15" hidden="false" customHeight="false" outlineLevel="0" collapsed="false">
      <c r="A194" s="21"/>
      <c r="B194" s="33" t="n">
        <f aca="false">IF($A194="",0,INT(($A194-Macrociclo!$C$11)/7)+1)</f>
        <v>0</v>
      </c>
      <c r="C194" s="20"/>
      <c r="D194" s="22"/>
      <c r="E194" s="22"/>
      <c r="F194" s="22"/>
      <c r="G194" s="22"/>
      <c r="H194" s="33" t="n">
        <f aca="false">IF(COUNT($D194:$G194)&lt;4,0,SUM($D194:$G194))</f>
        <v>0</v>
      </c>
      <c r="I194" s="19" t="str">
        <f aca="false">IF($H194=0,"",IF($H194&lt;=8,"Ótimo",IF($H194&lt;=12,"Bom",IF($H194&lt;=16,"Regular",IF($H194&lt;=20,"Alerta","Crítico")))))</f>
        <v/>
      </c>
      <c r="J194" s="20"/>
      <c r="K194" s="20"/>
    </row>
    <row r="195" customFormat="false" ht="15" hidden="false" customHeight="false" outlineLevel="0" collapsed="false">
      <c r="A195" s="21"/>
      <c r="B195" s="33" t="n">
        <f aca="false">IF($A195="",0,INT(($A195-Macrociclo!$C$11)/7)+1)</f>
        <v>0</v>
      </c>
      <c r="C195" s="20"/>
      <c r="D195" s="22"/>
      <c r="E195" s="22"/>
      <c r="F195" s="22"/>
      <c r="G195" s="22"/>
      <c r="H195" s="33" t="n">
        <f aca="false">IF(COUNT($D195:$G195)&lt;4,0,SUM($D195:$G195))</f>
        <v>0</v>
      </c>
      <c r="I195" s="19" t="str">
        <f aca="false">IF($H195=0,"",IF($H195&lt;=8,"Ótimo",IF($H195&lt;=12,"Bom",IF($H195&lt;=16,"Regular",IF($H195&lt;=20,"Alerta","Crítico")))))</f>
        <v/>
      </c>
      <c r="J195" s="20"/>
      <c r="K195" s="20"/>
    </row>
    <row r="196" customFormat="false" ht="15" hidden="false" customHeight="false" outlineLevel="0" collapsed="false">
      <c r="A196" s="21"/>
      <c r="B196" s="33" t="n">
        <f aca="false">IF($A196="",0,INT(($A196-Macrociclo!$C$11)/7)+1)</f>
        <v>0</v>
      </c>
      <c r="C196" s="20"/>
      <c r="D196" s="22"/>
      <c r="E196" s="22"/>
      <c r="F196" s="22"/>
      <c r="G196" s="22"/>
      <c r="H196" s="33" t="n">
        <f aca="false">IF(COUNT($D196:$G196)&lt;4,0,SUM($D196:$G196))</f>
        <v>0</v>
      </c>
      <c r="I196" s="19" t="str">
        <f aca="false">IF($H196=0,"",IF($H196&lt;=8,"Ótimo",IF($H196&lt;=12,"Bom",IF($H196&lt;=16,"Regular",IF($H196&lt;=20,"Alerta","Crítico")))))</f>
        <v/>
      </c>
      <c r="J196" s="20"/>
      <c r="K196" s="20"/>
    </row>
    <row r="197" customFormat="false" ht="15" hidden="false" customHeight="false" outlineLevel="0" collapsed="false">
      <c r="A197" s="21"/>
      <c r="B197" s="33" t="n">
        <f aca="false">IF($A197="",0,INT(($A197-Macrociclo!$C$11)/7)+1)</f>
        <v>0</v>
      </c>
      <c r="C197" s="20"/>
      <c r="D197" s="22"/>
      <c r="E197" s="22"/>
      <c r="F197" s="22"/>
      <c r="G197" s="22"/>
      <c r="H197" s="33" t="n">
        <f aca="false">IF(COUNT($D197:$G197)&lt;4,0,SUM($D197:$G197))</f>
        <v>0</v>
      </c>
      <c r="I197" s="19" t="str">
        <f aca="false">IF($H197=0,"",IF($H197&lt;=8,"Ótimo",IF($H197&lt;=12,"Bom",IF($H197&lt;=16,"Regular",IF($H197&lt;=20,"Alerta","Crítico")))))</f>
        <v/>
      </c>
      <c r="J197" s="20"/>
      <c r="K197" s="20"/>
    </row>
    <row r="198" customFormat="false" ht="15" hidden="false" customHeight="false" outlineLevel="0" collapsed="false">
      <c r="A198" s="21"/>
      <c r="B198" s="33" t="n">
        <f aca="false">IF($A198="",0,INT(($A198-Macrociclo!$C$11)/7)+1)</f>
        <v>0</v>
      </c>
      <c r="C198" s="20"/>
      <c r="D198" s="22"/>
      <c r="E198" s="22"/>
      <c r="F198" s="22"/>
      <c r="G198" s="22"/>
      <c r="H198" s="33" t="n">
        <f aca="false">IF(COUNT($D198:$G198)&lt;4,0,SUM($D198:$G198))</f>
        <v>0</v>
      </c>
      <c r="I198" s="19" t="str">
        <f aca="false">IF($H198=0,"",IF($H198&lt;=8,"Ótimo",IF($H198&lt;=12,"Bom",IF($H198&lt;=16,"Regular",IF($H198&lt;=20,"Alerta","Crítico")))))</f>
        <v/>
      </c>
      <c r="J198" s="20"/>
      <c r="K198" s="20"/>
    </row>
    <row r="199" customFormat="false" ht="15" hidden="false" customHeight="false" outlineLevel="0" collapsed="false">
      <c r="A199" s="21"/>
      <c r="B199" s="33" t="n">
        <f aca="false">IF($A199="",0,INT(($A199-Macrociclo!$C$11)/7)+1)</f>
        <v>0</v>
      </c>
      <c r="C199" s="20"/>
      <c r="D199" s="22"/>
      <c r="E199" s="22"/>
      <c r="F199" s="22"/>
      <c r="G199" s="22"/>
      <c r="H199" s="33" t="n">
        <f aca="false">IF(COUNT($D199:$G199)&lt;4,0,SUM($D199:$G199))</f>
        <v>0</v>
      </c>
      <c r="I199" s="19" t="str">
        <f aca="false">IF($H199=0,"",IF($H199&lt;=8,"Ótimo",IF($H199&lt;=12,"Bom",IF($H199&lt;=16,"Regular",IF($H199&lt;=20,"Alerta","Crítico")))))</f>
        <v/>
      </c>
      <c r="J199" s="20"/>
      <c r="K199" s="20"/>
    </row>
    <row r="200" customFormat="false" ht="15" hidden="false" customHeight="false" outlineLevel="0" collapsed="false">
      <c r="A200" s="21"/>
      <c r="B200" s="33" t="n">
        <f aca="false">IF($A200="",0,INT(($A200-Macrociclo!$C$11)/7)+1)</f>
        <v>0</v>
      </c>
      <c r="C200" s="20"/>
      <c r="D200" s="22"/>
      <c r="E200" s="22"/>
      <c r="F200" s="22"/>
      <c r="G200" s="22"/>
      <c r="H200" s="33" t="n">
        <f aca="false">IF(COUNT($D200:$G200)&lt;4,0,SUM($D200:$G200))</f>
        <v>0</v>
      </c>
      <c r="I200" s="19" t="str">
        <f aca="false">IF($H200=0,"",IF($H200&lt;=8,"Ótimo",IF($H200&lt;=12,"Bom",IF($H200&lt;=16,"Regular",IF($H200&lt;=20,"Alerta","Crítico")))))</f>
        <v/>
      </c>
      <c r="J200" s="20"/>
      <c r="K200" s="20"/>
    </row>
    <row r="201" customFormat="false" ht="15" hidden="false" customHeight="false" outlineLevel="0" collapsed="false">
      <c r="A201" s="21"/>
      <c r="B201" s="33" t="n">
        <f aca="false">IF($A201="",0,INT(($A201-Macrociclo!$C$11)/7)+1)</f>
        <v>0</v>
      </c>
      <c r="C201" s="20"/>
      <c r="D201" s="22"/>
      <c r="E201" s="22"/>
      <c r="F201" s="22"/>
      <c r="G201" s="22"/>
      <c r="H201" s="33" t="n">
        <f aca="false">IF(COUNT($D201:$G201)&lt;4,0,SUM($D201:$G201))</f>
        <v>0</v>
      </c>
      <c r="I201" s="19" t="str">
        <f aca="false">IF($H201=0,"",IF($H201&lt;=8,"Ótimo",IF($H201&lt;=12,"Bom",IF($H201&lt;=16,"Regular",IF($H201&lt;=20,"Alerta","Crítico")))))</f>
        <v/>
      </c>
      <c r="J201" s="20"/>
      <c r="K201" s="20"/>
    </row>
    <row r="202" customFormat="false" ht="15" hidden="false" customHeight="false" outlineLevel="0" collapsed="false">
      <c r="A202" s="21"/>
      <c r="B202" s="33" t="n">
        <f aca="false">IF($A202="",0,INT(($A202-Macrociclo!$C$11)/7)+1)</f>
        <v>0</v>
      </c>
      <c r="C202" s="20"/>
      <c r="D202" s="22"/>
      <c r="E202" s="22"/>
      <c r="F202" s="22"/>
      <c r="G202" s="22"/>
      <c r="H202" s="33" t="n">
        <f aca="false">IF(COUNT($D202:$G202)&lt;4,0,SUM($D202:$G202))</f>
        <v>0</v>
      </c>
      <c r="I202" s="19" t="str">
        <f aca="false">IF($H202=0,"",IF($H202&lt;=8,"Ótimo",IF($H202&lt;=12,"Bom",IF($H202&lt;=16,"Regular",IF($H202&lt;=20,"Alerta","Crítico")))))</f>
        <v/>
      </c>
      <c r="J202" s="20"/>
      <c r="K202" s="20"/>
    </row>
    <row r="203" customFormat="false" ht="15" hidden="false" customHeight="false" outlineLevel="0" collapsed="false">
      <c r="A203" s="21"/>
      <c r="B203" s="33" t="n">
        <f aca="false">IF($A203="",0,INT(($A203-Macrociclo!$C$11)/7)+1)</f>
        <v>0</v>
      </c>
      <c r="C203" s="20"/>
      <c r="D203" s="22"/>
      <c r="E203" s="22"/>
      <c r="F203" s="22"/>
      <c r="G203" s="22"/>
      <c r="H203" s="33" t="n">
        <f aca="false">IF(COUNT($D203:$G203)&lt;4,0,SUM($D203:$G203))</f>
        <v>0</v>
      </c>
      <c r="I203" s="19" t="str">
        <f aca="false">IF($H203=0,"",IF($H203&lt;=8,"Ótimo",IF($H203&lt;=12,"Bom",IF($H203&lt;=16,"Regular",IF($H203&lt;=20,"Alerta","Crítico")))))</f>
        <v/>
      </c>
      <c r="J203" s="20"/>
      <c r="K203" s="20"/>
    </row>
    <row r="204" customFormat="false" ht="15" hidden="false" customHeight="false" outlineLevel="0" collapsed="false">
      <c r="A204" s="21"/>
      <c r="B204" s="33" t="n">
        <f aca="false">IF($A204="",0,INT(($A204-Macrociclo!$C$11)/7)+1)</f>
        <v>0</v>
      </c>
      <c r="C204" s="20"/>
      <c r="D204" s="22"/>
      <c r="E204" s="22"/>
      <c r="F204" s="22"/>
      <c r="G204" s="22"/>
      <c r="H204" s="33" t="n">
        <f aca="false">IF(COUNT($D204:$G204)&lt;4,0,SUM($D204:$G204))</f>
        <v>0</v>
      </c>
      <c r="I204" s="19" t="str">
        <f aca="false">IF($H204=0,"",IF($H204&lt;=8,"Ótimo",IF($H204&lt;=12,"Bom",IF($H204&lt;=16,"Regular",IF($H204&lt;=20,"Alerta","Crítico")))))</f>
        <v/>
      </c>
      <c r="J204" s="20"/>
      <c r="K204" s="20"/>
    </row>
    <row r="205" customFormat="false" ht="15" hidden="false" customHeight="false" outlineLevel="0" collapsed="false">
      <c r="A205" s="21"/>
      <c r="B205" s="33" t="n">
        <f aca="false">IF($A205="",0,INT(($A205-Macrociclo!$C$11)/7)+1)</f>
        <v>0</v>
      </c>
      <c r="C205" s="20"/>
      <c r="D205" s="22"/>
      <c r="E205" s="22"/>
      <c r="F205" s="22"/>
      <c r="G205" s="22"/>
      <c r="H205" s="33" t="n">
        <f aca="false">IF(COUNT($D205:$G205)&lt;4,0,SUM($D205:$G205))</f>
        <v>0</v>
      </c>
      <c r="I205" s="19" t="str">
        <f aca="false">IF($H205=0,"",IF($H205&lt;=8,"Ótimo",IF($H205&lt;=12,"Bom",IF($H205&lt;=16,"Regular",IF($H205&lt;=20,"Alerta","Crítico")))))</f>
        <v/>
      </c>
      <c r="J205" s="20"/>
      <c r="K205" s="20"/>
    </row>
    <row r="206" customFormat="false" ht="15" hidden="false" customHeight="false" outlineLevel="0" collapsed="false">
      <c r="A206" s="21"/>
      <c r="B206" s="33" t="n">
        <f aca="false">IF($A206="",0,INT(($A206-Macrociclo!$C$11)/7)+1)</f>
        <v>0</v>
      </c>
      <c r="C206" s="20"/>
      <c r="D206" s="22"/>
      <c r="E206" s="22"/>
      <c r="F206" s="22"/>
      <c r="G206" s="22"/>
      <c r="H206" s="33" t="n">
        <f aca="false">IF(COUNT($D206:$G206)&lt;4,0,SUM($D206:$G206))</f>
        <v>0</v>
      </c>
      <c r="I206" s="19" t="str">
        <f aca="false">IF($H206=0,"",IF($H206&lt;=8,"Ótimo",IF($H206&lt;=12,"Bom",IF($H206&lt;=16,"Regular",IF($H206&lt;=20,"Alerta","Crítico")))))</f>
        <v/>
      </c>
      <c r="J206" s="20"/>
      <c r="K206" s="20"/>
    </row>
    <row r="207" customFormat="false" ht="15" hidden="false" customHeight="false" outlineLevel="0" collapsed="false">
      <c r="A207" s="21"/>
      <c r="B207" s="33" t="n">
        <f aca="false">IF($A207="",0,INT(($A207-Macrociclo!$C$11)/7)+1)</f>
        <v>0</v>
      </c>
      <c r="C207" s="20"/>
      <c r="D207" s="22"/>
      <c r="E207" s="22"/>
      <c r="F207" s="22"/>
      <c r="G207" s="22"/>
      <c r="H207" s="33" t="n">
        <f aca="false">IF(COUNT($D207:$G207)&lt;4,0,SUM($D207:$G207))</f>
        <v>0</v>
      </c>
      <c r="I207" s="19" t="str">
        <f aca="false">IF($H207=0,"",IF($H207&lt;=8,"Ótimo",IF($H207&lt;=12,"Bom",IF($H207&lt;=16,"Regular",IF($H207&lt;=20,"Alerta","Crítico")))))</f>
        <v/>
      </c>
      <c r="J207" s="20"/>
      <c r="K207" s="20"/>
    </row>
    <row r="208" customFormat="false" ht="15" hidden="false" customHeight="false" outlineLevel="0" collapsed="false">
      <c r="A208" s="21"/>
      <c r="B208" s="33" t="n">
        <f aca="false">IF($A208="",0,INT(($A208-Macrociclo!$C$11)/7)+1)</f>
        <v>0</v>
      </c>
      <c r="C208" s="20"/>
      <c r="D208" s="22"/>
      <c r="E208" s="22"/>
      <c r="F208" s="22"/>
      <c r="G208" s="22"/>
      <c r="H208" s="33" t="n">
        <f aca="false">IF(COUNT($D208:$G208)&lt;4,0,SUM($D208:$G208))</f>
        <v>0</v>
      </c>
      <c r="I208" s="19" t="str">
        <f aca="false">IF($H208=0,"",IF($H208&lt;=8,"Ótimo",IF($H208&lt;=12,"Bom",IF($H208&lt;=16,"Regular",IF($H208&lt;=20,"Alerta","Crítico")))))</f>
        <v/>
      </c>
      <c r="J208" s="20"/>
      <c r="K208" s="20"/>
    </row>
    <row r="209" customFormat="false" ht="15" hidden="false" customHeight="false" outlineLevel="0" collapsed="false">
      <c r="A209" s="21"/>
      <c r="B209" s="33" t="n">
        <f aca="false">IF($A209="",0,INT(($A209-Macrociclo!$C$11)/7)+1)</f>
        <v>0</v>
      </c>
      <c r="C209" s="20"/>
      <c r="D209" s="22"/>
      <c r="E209" s="22"/>
      <c r="F209" s="22"/>
      <c r="G209" s="22"/>
      <c r="H209" s="33" t="n">
        <f aca="false">IF(COUNT($D209:$G209)&lt;4,0,SUM($D209:$G209))</f>
        <v>0</v>
      </c>
      <c r="I209" s="19" t="str">
        <f aca="false">IF($H209=0,"",IF($H209&lt;=8,"Ótimo",IF($H209&lt;=12,"Bom",IF($H209&lt;=16,"Regular",IF($H209&lt;=20,"Alerta","Crítico")))))</f>
        <v/>
      </c>
      <c r="J209" s="20"/>
      <c r="K209" s="20"/>
    </row>
    <row r="210" customFormat="false" ht="15" hidden="false" customHeight="false" outlineLevel="0" collapsed="false">
      <c r="A210" s="21"/>
      <c r="B210" s="33" t="n">
        <f aca="false">IF($A210="",0,INT(($A210-Macrociclo!$C$11)/7)+1)</f>
        <v>0</v>
      </c>
      <c r="C210" s="20"/>
      <c r="D210" s="22"/>
      <c r="E210" s="22"/>
      <c r="F210" s="22"/>
      <c r="G210" s="22"/>
      <c r="H210" s="33" t="n">
        <f aca="false">IF(COUNT($D210:$G210)&lt;4,0,SUM($D210:$G210))</f>
        <v>0</v>
      </c>
      <c r="I210" s="19" t="str">
        <f aca="false">IF($H210=0,"",IF($H210&lt;=8,"Ótimo",IF($H210&lt;=12,"Bom",IF($H210&lt;=16,"Regular",IF($H210&lt;=20,"Alerta","Crítico")))))</f>
        <v/>
      </c>
      <c r="J210" s="20"/>
      <c r="K210" s="20"/>
    </row>
    <row r="211" customFormat="false" ht="15" hidden="false" customHeight="false" outlineLevel="0" collapsed="false">
      <c r="A211" s="21"/>
      <c r="B211" s="33" t="n">
        <f aca="false">IF($A211="",0,INT(($A211-Macrociclo!$C$11)/7)+1)</f>
        <v>0</v>
      </c>
      <c r="C211" s="20"/>
      <c r="D211" s="22"/>
      <c r="E211" s="22"/>
      <c r="F211" s="22"/>
      <c r="G211" s="22"/>
      <c r="H211" s="33" t="n">
        <f aca="false">IF(COUNT($D211:$G211)&lt;4,0,SUM($D211:$G211))</f>
        <v>0</v>
      </c>
      <c r="I211" s="19" t="str">
        <f aca="false">IF($H211=0,"",IF($H211&lt;=8,"Ótimo",IF($H211&lt;=12,"Bom",IF($H211&lt;=16,"Regular",IF($H211&lt;=20,"Alerta","Crítico")))))</f>
        <v/>
      </c>
      <c r="J211" s="20"/>
      <c r="K211" s="20"/>
    </row>
    <row r="212" customFormat="false" ht="15" hidden="false" customHeight="false" outlineLevel="0" collapsed="false">
      <c r="A212" s="21"/>
      <c r="B212" s="33" t="n">
        <f aca="false">IF($A212="",0,INT(($A212-Macrociclo!$C$11)/7)+1)</f>
        <v>0</v>
      </c>
      <c r="C212" s="20"/>
      <c r="D212" s="22"/>
      <c r="E212" s="22"/>
      <c r="F212" s="22"/>
      <c r="G212" s="22"/>
      <c r="H212" s="33" t="n">
        <f aca="false">IF(COUNT($D212:$G212)&lt;4,0,SUM($D212:$G212))</f>
        <v>0</v>
      </c>
      <c r="I212" s="19" t="str">
        <f aca="false">IF($H212=0,"",IF($H212&lt;=8,"Ótimo",IF($H212&lt;=12,"Bom",IF($H212&lt;=16,"Regular",IF($H212&lt;=20,"Alerta","Crítico")))))</f>
        <v/>
      </c>
      <c r="J212" s="20"/>
      <c r="K212" s="20"/>
    </row>
    <row r="213" customFormat="false" ht="15" hidden="false" customHeight="false" outlineLevel="0" collapsed="false">
      <c r="A213" s="21"/>
      <c r="B213" s="33" t="n">
        <f aca="false">IF($A213="",0,INT(($A213-Macrociclo!$C$11)/7)+1)</f>
        <v>0</v>
      </c>
      <c r="C213" s="20"/>
      <c r="D213" s="22"/>
      <c r="E213" s="22"/>
      <c r="F213" s="22"/>
      <c r="G213" s="22"/>
      <c r="H213" s="33" t="n">
        <f aca="false">IF(COUNT($D213:$G213)&lt;4,0,SUM($D213:$G213))</f>
        <v>0</v>
      </c>
      <c r="I213" s="19" t="str">
        <f aca="false">IF($H213=0,"",IF($H213&lt;=8,"Ótimo",IF($H213&lt;=12,"Bom",IF($H213&lt;=16,"Regular",IF($H213&lt;=20,"Alerta","Crítico")))))</f>
        <v/>
      </c>
      <c r="J213" s="20"/>
      <c r="K213" s="20"/>
    </row>
    <row r="214" customFormat="false" ht="15" hidden="false" customHeight="false" outlineLevel="0" collapsed="false">
      <c r="A214" s="21"/>
      <c r="B214" s="33" t="n">
        <f aca="false">IF($A214="",0,INT(($A214-Macrociclo!$C$11)/7)+1)</f>
        <v>0</v>
      </c>
      <c r="C214" s="20"/>
      <c r="D214" s="22"/>
      <c r="E214" s="22"/>
      <c r="F214" s="22"/>
      <c r="G214" s="22"/>
      <c r="H214" s="33" t="n">
        <f aca="false">IF(COUNT($D214:$G214)&lt;4,0,SUM($D214:$G214))</f>
        <v>0</v>
      </c>
      <c r="I214" s="19" t="str">
        <f aca="false">IF($H214=0,"",IF($H214&lt;=8,"Ótimo",IF($H214&lt;=12,"Bom",IF($H214&lt;=16,"Regular",IF($H214&lt;=20,"Alerta","Crítico")))))</f>
        <v/>
      </c>
      <c r="J214" s="20"/>
      <c r="K214" s="20"/>
    </row>
    <row r="215" customFormat="false" ht="15" hidden="false" customHeight="false" outlineLevel="0" collapsed="false">
      <c r="A215" s="21"/>
      <c r="B215" s="33" t="n">
        <f aca="false">IF($A215="",0,INT(($A215-Macrociclo!$C$11)/7)+1)</f>
        <v>0</v>
      </c>
      <c r="C215" s="20"/>
      <c r="D215" s="22"/>
      <c r="E215" s="22"/>
      <c r="F215" s="22"/>
      <c r="G215" s="22"/>
      <c r="H215" s="33" t="n">
        <f aca="false">IF(COUNT($D215:$G215)&lt;4,0,SUM($D215:$G215))</f>
        <v>0</v>
      </c>
      <c r="I215" s="19" t="str">
        <f aca="false">IF($H215=0,"",IF($H215&lt;=8,"Ótimo",IF($H215&lt;=12,"Bom",IF($H215&lt;=16,"Regular",IF($H215&lt;=20,"Alerta","Crítico")))))</f>
        <v/>
      </c>
      <c r="J215" s="20"/>
      <c r="K215" s="20"/>
    </row>
    <row r="216" customFormat="false" ht="15" hidden="false" customHeight="false" outlineLevel="0" collapsed="false">
      <c r="A216" s="21"/>
      <c r="B216" s="33" t="n">
        <f aca="false">IF($A216="",0,INT(($A216-Macrociclo!$C$11)/7)+1)</f>
        <v>0</v>
      </c>
      <c r="C216" s="20"/>
      <c r="D216" s="22"/>
      <c r="E216" s="22"/>
      <c r="F216" s="22"/>
      <c r="G216" s="22"/>
      <c r="H216" s="33" t="n">
        <f aca="false">IF(COUNT($D216:$G216)&lt;4,0,SUM($D216:$G216))</f>
        <v>0</v>
      </c>
      <c r="I216" s="19" t="str">
        <f aca="false">IF($H216=0,"",IF($H216&lt;=8,"Ótimo",IF($H216&lt;=12,"Bom",IF($H216&lt;=16,"Regular",IF($H216&lt;=20,"Alerta","Crítico")))))</f>
        <v/>
      </c>
      <c r="J216" s="20"/>
      <c r="K216" s="20"/>
    </row>
    <row r="217" customFormat="false" ht="15" hidden="false" customHeight="false" outlineLevel="0" collapsed="false">
      <c r="A217" s="21"/>
      <c r="B217" s="33" t="n">
        <f aca="false">IF($A217="",0,INT(($A217-Macrociclo!$C$11)/7)+1)</f>
        <v>0</v>
      </c>
      <c r="C217" s="20"/>
      <c r="D217" s="22"/>
      <c r="E217" s="22"/>
      <c r="F217" s="22"/>
      <c r="G217" s="22"/>
      <c r="H217" s="33" t="n">
        <f aca="false">IF(COUNT($D217:$G217)&lt;4,0,SUM($D217:$G217))</f>
        <v>0</v>
      </c>
      <c r="I217" s="19" t="str">
        <f aca="false">IF($H217=0,"",IF($H217&lt;=8,"Ótimo",IF($H217&lt;=12,"Bom",IF($H217&lt;=16,"Regular",IF($H217&lt;=20,"Alerta","Crítico")))))</f>
        <v/>
      </c>
      <c r="J217" s="20"/>
      <c r="K217" s="20"/>
    </row>
    <row r="218" customFormat="false" ht="15" hidden="false" customHeight="false" outlineLevel="0" collapsed="false">
      <c r="A218" s="21"/>
      <c r="B218" s="33" t="n">
        <f aca="false">IF($A218="",0,INT(($A218-Macrociclo!$C$11)/7)+1)</f>
        <v>0</v>
      </c>
      <c r="C218" s="20"/>
      <c r="D218" s="22"/>
      <c r="E218" s="22"/>
      <c r="F218" s="22"/>
      <c r="G218" s="22"/>
      <c r="H218" s="33" t="n">
        <f aca="false">IF(COUNT($D218:$G218)&lt;4,0,SUM($D218:$G218))</f>
        <v>0</v>
      </c>
      <c r="I218" s="19" t="str">
        <f aca="false">IF($H218=0,"",IF($H218&lt;=8,"Ótimo",IF($H218&lt;=12,"Bom",IF($H218&lt;=16,"Regular",IF($H218&lt;=20,"Alerta","Crítico")))))</f>
        <v/>
      </c>
      <c r="J218" s="20"/>
      <c r="K218" s="20"/>
    </row>
    <row r="219" customFormat="false" ht="15" hidden="false" customHeight="false" outlineLevel="0" collapsed="false">
      <c r="A219" s="21"/>
      <c r="B219" s="33" t="n">
        <f aca="false">IF($A219="",0,INT(($A219-Macrociclo!$C$11)/7)+1)</f>
        <v>0</v>
      </c>
      <c r="C219" s="20"/>
      <c r="D219" s="22"/>
      <c r="E219" s="22"/>
      <c r="F219" s="22"/>
      <c r="G219" s="22"/>
      <c r="H219" s="33" t="n">
        <f aca="false">IF(COUNT($D219:$G219)&lt;4,0,SUM($D219:$G219))</f>
        <v>0</v>
      </c>
      <c r="I219" s="19" t="str">
        <f aca="false">IF($H219=0,"",IF($H219&lt;=8,"Ótimo",IF($H219&lt;=12,"Bom",IF($H219&lt;=16,"Regular",IF($H219&lt;=20,"Alerta","Crítico")))))</f>
        <v/>
      </c>
      <c r="J219" s="20"/>
      <c r="K219" s="20"/>
    </row>
    <row r="220" customFormat="false" ht="15" hidden="false" customHeight="false" outlineLevel="0" collapsed="false">
      <c r="A220" s="21"/>
      <c r="B220" s="33" t="n">
        <f aca="false">IF($A220="",0,INT(($A220-Macrociclo!$C$11)/7)+1)</f>
        <v>0</v>
      </c>
      <c r="C220" s="20"/>
      <c r="D220" s="22"/>
      <c r="E220" s="22"/>
      <c r="F220" s="22"/>
      <c r="G220" s="22"/>
      <c r="H220" s="33" t="n">
        <f aca="false">IF(COUNT($D220:$G220)&lt;4,0,SUM($D220:$G220))</f>
        <v>0</v>
      </c>
      <c r="I220" s="19" t="str">
        <f aca="false">IF($H220=0,"",IF($H220&lt;=8,"Ótimo",IF($H220&lt;=12,"Bom",IF($H220&lt;=16,"Regular",IF($H220&lt;=20,"Alerta","Crítico")))))</f>
        <v/>
      </c>
      <c r="J220" s="20"/>
      <c r="K220" s="20"/>
    </row>
    <row r="221" customFormat="false" ht="15" hidden="false" customHeight="false" outlineLevel="0" collapsed="false">
      <c r="A221" s="21"/>
      <c r="B221" s="33" t="n">
        <f aca="false">IF($A221="",0,INT(($A221-Macrociclo!$C$11)/7)+1)</f>
        <v>0</v>
      </c>
      <c r="C221" s="20"/>
      <c r="D221" s="22"/>
      <c r="E221" s="22"/>
      <c r="F221" s="22"/>
      <c r="G221" s="22"/>
      <c r="H221" s="33" t="n">
        <f aca="false">IF(COUNT($D221:$G221)&lt;4,0,SUM($D221:$G221))</f>
        <v>0</v>
      </c>
      <c r="I221" s="19" t="str">
        <f aca="false">IF($H221=0,"",IF($H221&lt;=8,"Ótimo",IF($H221&lt;=12,"Bom",IF($H221&lt;=16,"Regular",IF($H221&lt;=20,"Alerta","Crítico")))))</f>
        <v/>
      </c>
      <c r="J221" s="20"/>
      <c r="K221" s="20"/>
    </row>
    <row r="222" customFormat="false" ht="15" hidden="false" customHeight="false" outlineLevel="0" collapsed="false">
      <c r="A222" s="21"/>
      <c r="B222" s="33" t="n">
        <f aca="false">IF($A222="",0,INT(($A222-Macrociclo!$C$11)/7)+1)</f>
        <v>0</v>
      </c>
      <c r="C222" s="20"/>
      <c r="D222" s="22"/>
      <c r="E222" s="22"/>
      <c r="F222" s="22"/>
      <c r="G222" s="22"/>
      <c r="H222" s="33" t="n">
        <f aca="false">IF(COUNT($D222:$G222)&lt;4,0,SUM($D222:$G222))</f>
        <v>0</v>
      </c>
      <c r="I222" s="19" t="str">
        <f aca="false">IF($H222=0,"",IF($H222&lt;=8,"Ótimo",IF($H222&lt;=12,"Bom",IF($H222&lt;=16,"Regular",IF($H222&lt;=20,"Alerta","Crítico")))))</f>
        <v/>
      </c>
      <c r="J222" s="20"/>
      <c r="K222" s="20"/>
    </row>
    <row r="223" customFormat="false" ht="15" hidden="false" customHeight="false" outlineLevel="0" collapsed="false">
      <c r="A223" s="21"/>
      <c r="B223" s="33" t="n">
        <f aca="false">IF($A223="",0,INT(($A223-Macrociclo!$C$11)/7)+1)</f>
        <v>0</v>
      </c>
      <c r="C223" s="20"/>
      <c r="D223" s="22"/>
      <c r="E223" s="22"/>
      <c r="F223" s="22"/>
      <c r="G223" s="22"/>
      <c r="H223" s="33" t="n">
        <f aca="false">IF(COUNT($D223:$G223)&lt;4,0,SUM($D223:$G223))</f>
        <v>0</v>
      </c>
      <c r="I223" s="19" t="str">
        <f aca="false">IF($H223=0,"",IF($H223&lt;=8,"Ótimo",IF($H223&lt;=12,"Bom",IF($H223&lt;=16,"Regular",IF($H223&lt;=20,"Alerta","Crítico")))))</f>
        <v/>
      </c>
      <c r="J223" s="20"/>
      <c r="K223" s="20"/>
    </row>
    <row r="224" customFormat="false" ht="15" hidden="false" customHeight="false" outlineLevel="0" collapsed="false">
      <c r="A224" s="21"/>
      <c r="B224" s="33" t="n">
        <f aca="false">IF($A224="",0,INT(($A224-Macrociclo!$C$11)/7)+1)</f>
        <v>0</v>
      </c>
      <c r="C224" s="20"/>
      <c r="D224" s="22"/>
      <c r="E224" s="22"/>
      <c r="F224" s="22"/>
      <c r="G224" s="22"/>
      <c r="H224" s="33" t="n">
        <f aca="false">IF(COUNT($D224:$G224)&lt;4,0,SUM($D224:$G224))</f>
        <v>0</v>
      </c>
      <c r="I224" s="19" t="str">
        <f aca="false">IF($H224=0,"",IF($H224&lt;=8,"Ótimo",IF($H224&lt;=12,"Bom",IF($H224&lt;=16,"Regular",IF($H224&lt;=20,"Alerta","Crítico")))))</f>
        <v/>
      </c>
      <c r="J224" s="20"/>
      <c r="K224" s="20"/>
    </row>
    <row r="225" customFormat="false" ht="15" hidden="false" customHeight="false" outlineLevel="0" collapsed="false">
      <c r="A225" s="21"/>
      <c r="B225" s="33" t="n">
        <f aca="false">IF($A225="",0,INT(($A225-Macrociclo!$C$11)/7)+1)</f>
        <v>0</v>
      </c>
      <c r="C225" s="20"/>
      <c r="D225" s="22"/>
      <c r="E225" s="22"/>
      <c r="F225" s="22"/>
      <c r="G225" s="22"/>
      <c r="H225" s="33" t="n">
        <f aca="false">IF(COUNT($D225:$G225)&lt;4,0,SUM($D225:$G225))</f>
        <v>0</v>
      </c>
      <c r="I225" s="19" t="str">
        <f aca="false">IF($H225=0,"",IF($H225&lt;=8,"Ótimo",IF($H225&lt;=12,"Bom",IF($H225&lt;=16,"Regular",IF($H225&lt;=20,"Alerta","Crítico")))))</f>
        <v/>
      </c>
      <c r="J225" s="20"/>
      <c r="K225" s="20"/>
    </row>
    <row r="226" customFormat="false" ht="15" hidden="false" customHeight="false" outlineLevel="0" collapsed="false">
      <c r="A226" s="21"/>
      <c r="B226" s="33" t="n">
        <f aca="false">IF($A226="",0,INT(($A226-Macrociclo!$C$11)/7)+1)</f>
        <v>0</v>
      </c>
      <c r="C226" s="20"/>
      <c r="D226" s="22"/>
      <c r="E226" s="22"/>
      <c r="F226" s="22"/>
      <c r="G226" s="22"/>
      <c r="H226" s="33" t="n">
        <f aca="false">IF(COUNT($D226:$G226)&lt;4,0,SUM($D226:$G226))</f>
        <v>0</v>
      </c>
      <c r="I226" s="19" t="str">
        <f aca="false">IF($H226=0,"",IF($H226&lt;=8,"Ótimo",IF($H226&lt;=12,"Bom",IF($H226&lt;=16,"Regular",IF($H226&lt;=20,"Alerta","Crítico")))))</f>
        <v/>
      </c>
      <c r="J226" s="20"/>
      <c r="K226" s="20"/>
    </row>
    <row r="227" customFormat="false" ht="15" hidden="false" customHeight="false" outlineLevel="0" collapsed="false">
      <c r="A227" s="21"/>
      <c r="B227" s="33" t="n">
        <f aca="false">IF($A227="",0,INT(($A227-Macrociclo!$C$11)/7)+1)</f>
        <v>0</v>
      </c>
      <c r="C227" s="20"/>
      <c r="D227" s="22"/>
      <c r="E227" s="22"/>
      <c r="F227" s="22"/>
      <c r="G227" s="22"/>
      <c r="H227" s="33" t="n">
        <f aca="false">IF(COUNT($D227:$G227)&lt;4,0,SUM($D227:$G227))</f>
        <v>0</v>
      </c>
      <c r="I227" s="19" t="str">
        <f aca="false">IF($H227=0,"",IF($H227&lt;=8,"Ótimo",IF($H227&lt;=12,"Bom",IF($H227&lt;=16,"Regular",IF($H227&lt;=20,"Alerta","Crítico")))))</f>
        <v/>
      </c>
      <c r="J227" s="20"/>
      <c r="K227" s="20"/>
    </row>
    <row r="228" customFormat="false" ht="15" hidden="false" customHeight="false" outlineLevel="0" collapsed="false">
      <c r="A228" s="21"/>
      <c r="B228" s="33" t="n">
        <f aca="false">IF($A228="",0,INT(($A228-Macrociclo!$C$11)/7)+1)</f>
        <v>0</v>
      </c>
      <c r="C228" s="20"/>
      <c r="D228" s="22"/>
      <c r="E228" s="22"/>
      <c r="F228" s="22"/>
      <c r="G228" s="22"/>
      <c r="H228" s="33" t="n">
        <f aca="false">IF(COUNT($D228:$G228)&lt;4,0,SUM($D228:$G228))</f>
        <v>0</v>
      </c>
      <c r="I228" s="19" t="str">
        <f aca="false">IF($H228=0,"",IF($H228&lt;=8,"Ótimo",IF($H228&lt;=12,"Bom",IF($H228&lt;=16,"Regular",IF($H228&lt;=20,"Alerta","Crítico")))))</f>
        <v/>
      </c>
      <c r="J228" s="20"/>
      <c r="K228" s="20"/>
    </row>
    <row r="229" customFormat="false" ht="15" hidden="false" customHeight="false" outlineLevel="0" collapsed="false">
      <c r="A229" s="21"/>
      <c r="B229" s="33" t="n">
        <f aca="false">IF($A229="",0,INT(($A229-Macrociclo!$C$11)/7)+1)</f>
        <v>0</v>
      </c>
      <c r="C229" s="20"/>
      <c r="D229" s="22"/>
      <c r="E229" s="22"/>
      <c r="F229" s="22"/>
      <c r="G229" s="22"/>
      <c r="H229" s="33" t="n">
        <f aca="false">IF(COUNT($D229:$G229)&lt;4,0,SUM($D229:$G229))</f>
        <v>0</v>
      </c>
      <c r="I229" s="19" t="str">
        <f aca="false">IF($H229=0,"",IF($H229&lt;=8,"Ótimo",IF($H229&lt;=12,"Bom",IF($H229&lt;=16,"Regular",IF($H229&lt;=20,"Alerta","Crítico")))))</f>
        <v/>
      </c>
      <c r="J229" s="20"/>
      <c r="K229" s="20"/>
    </row>
    <row r="230" customFormat="false" ht="15" hidden="false" customHeight="false" outlineLevel="0" collapsed="false">
      <c r="A230" s="21"/>
      <c r="B230" s="33" t="n">
        <f aca="false">IF($A230="",0,INT(($A230-Macrociclo!$C$11)/7)+1)</f>
        <v>0</v>
      </c>
      <c r="C230" s="20"/>
      <c r="D230" s="22"/>
      <c r="E230" s="22"/>
      <c r="F230" s="22"/>
      <c r="G230" s="22"/>
      <c r="H230" s="33" t="n">
        <f aca="false">IF(COUNT($D230:$G230)&lt;4,0,SUM($D230:$G230))</f>
        <v>0</v>
      </c>
      <c r="I230" s="19" t="str">
        <f aca="false">IF($H230=0,"",IF($H230&lt;=8,"Ótimo",IF($H230&lt;=12,"Bom",IF($H230&lt;=16,"Regular",IF($H230&lt;=20,"Alerta","Crítico")))))</f>
        <v/>
      </c>
      <c r="J230" s="20"/>
      <c r="K230" s="20"/>
    </row>
    <row r="231" customFormat="false" ht="15" hidden="false" customHeight="false" outlineLevel="0" collapsed="false">
      <c r="A231" s="21"/>
      <c r="B231" s="33" t="n">
        <f aca="false">IF($A231="",0,INT(($A231-Macrociclo!$C$11)/7)+1)</f>
        <v>0</v>
      </c>
      <c r="C231" s="20"/>
      <c r="D231" s="22"/>
      <c r="E231" s="22"/>
      <c r="F231" s="22"/>
      <c r="G231" s="22"/>
      <c r="H231" s="33" t="n">
        <f aca="false">IF(COUNT($D231:$G231)&lt;4,0,SUM($D231:$G231))</f>
        <v>0</v>
      </c>
      <c r="I231" s="19" t="str">
        <f aca="false">IF($H231=0,"",IF($H231&lt;=8,"Ótimo",IF($H231&lt;=12,"Bom",IF($H231&lt;=16,"Regular",IF($H231&lt;=20,"Alerta","Crítico")))))</f>
        <v/>
      </c>
      <c r="J231" s="20"/>
      <c r="K231" s="20"/>
    </row>
    <row r="232" customFormat="false" ht="15" hidden="false" customHeight="false" outlineLevel="0" collapsed="false">
      <c r="A232" s="21"/>
      <c r="B232" s="33" t="n">
        <f aca="false">IF($A232="",0,INT(($A232-Macrociclo!$C$11)/7)+1)</f>
        <v>0</v>
      </c>
      <c r="C232" s="20"/>
      <c r="D232" s="22"/>
      <c r="E232" s="22"/>
      <c r="F232" s="22"/>
      <c r="G232" s="22"/>
      <c r="H232" s="33" t="n">
        <f aca="false">IF(COUNT($D232:$G232)&lt;4,0,SUM($D232:$G232))</f>
        <v>0</v>
      </c>
      <c r="I232" s="19" t="str">
        <f aca="false">IF($H232=0,"",IF($H232&lt;=8,"Ótimo",IF($H232&lt;=12,"Bom",IF($H232&lt;=16,"Regular",IF($H232&lt;=20,"Alerta","Crítico")))))</f>
        <v/>
      </c>
      <c r="J232" s="20"/>
      <c r="K232" s="20"/>
    </row>
    <row r="233" customFormat="false" ht="15" hidden="false" customHeight="false" outlineLevel="0" collapsed="false">
      <c r="A233" s="21"/>
      <c r="B233" s="33" t="n">
        <f aca="false">IF($A233="",0,INT(($A233-Macrociclo!$C$11)/7)+1)</f>
        <v>0</v>
      </c>
      <c r="C233" s="20"/>
      <c r="D233" s="22"/>
      <c r="E233" s="22"/>
      <c r="F233" s="22"/>
      <c r="G233" s="22"/>
      <c r="H233" s="33" t="n">
        <f aca="false">IF(COUNT($D233:$G233)&lt;4,0,SUM($D233:$G233))</f>
        <v>0</v>
      </c>
      <c r="I233" s="19" t="str">
        <f aca="false">IF($H233=0,"",IF($H233&lt;=8,"Ótimo",IF($H233&lt;=12,"Bom",IF($H233&lt;=16,"Regular",IF($H233&lt;=20,"Alerta","Crítico")))))</f>
        <v/>
      </c>
      <c r="J233" s="20"/>
      <c r="K233" s="20"/>
    </row>
    <row r="234" customFormat="false" ht="15" hidden="false" customHeight="false" outlineLevel="0" collapsed="false">
      <c r="A234" s="21"/>
      <c r="B234" s="33" t="n">
        <f aca="false">IF($A234="",0,INT(($A234-Macrociclo!$C$11)/7)+1)</f>
        <v>0</v>
      </c>
      <c r="C234" s="20"/>
      <c r="D234" s="22"/>
      <c r="E234" s="22"/>
      <c r="F234" s="22"/>
      <c r="G234" s="22"/>
      <c r="H234" s="33" t="n">
        <f aca="false">IF(COUNT($D234:$G234)&lt;4,0,SUM($D234:$G234))</f>
        <v>0</v>
      </c>
      <c r="I234" s="19" t="str">
        <f aca="false">IF($H234=0,"",IF($H234&lt;=8,"Ótimo",IF($H234&lt;=12,"Bom",IF($H234&lt;=16,"Regular",IF($H234&lt;=20,"Alerta","Crítico")))))</f>
        <v/>
      </c>
      <c r="J234" s="20"/>
      <c r="K234" s="20"/>
    </row>
    <row r="235" customFormat="false" ht="15" hidden="false" customHeight="false" outlineLevel="0" collapsed="false">
      <c r="A235" s="21"/>
      <c r="B235" s="33" t="n">
        <f aca="false">IF($A235="",0,INT(($A235-Macrociclo!$C$11)/7)+1)</f>
        <v>0</v>
      </c>
      <c r="C235" s="20"/>
      <c r="D235" s="22"/>
      <c r="E235" s="22"/>
      <c r="F235" s="22"/>
      <c r="G235" s="22"/>
      <c r="H235" s="33" t="n">
        <f aca="false">IF(COUNT($D235:$G235)&lt;4,0,SUM($D235:$G235))</f>
        <v>0</v>
      </c>
      <c r="I235" s="19" t="str">
        <f aca="false">IF($H235=0,"",IF($H235&lt;=8,"Ótimo",IF($H235&lt;=12,"Bom",IF($H235&lt;=16,"Regular",IF($H235&lt;=20,"Alerta","Crítico")))))</f>
        <v/>
      </c>
      <c r="J235" s="20"/>
      <c r="K235" s="20"/>
    </row>
    <row r="236" customFormat="false" ht="15" hidden="false" customHeight="false" outlineLevel="0" collapsed="false">
      <c r="A236" s="21"/>
      <c r="B236" s="33" t="n">
        <f aca="false">IF($A236="",0,INT(($A236-Macrociclo!$C$11)/7)+1)</f>
        <v>0</v>
      </c>
      <c r="C236" s="20"/>
      <c r="D236" s="22"/>
      <c r="E236" s="22"/>
      <c r="F236" s="22"/>
      <c r="G236" s="22"/>
      <c r="H236" s="33" t="n">
        <f aca="false">IF(COUNT($D236:$G236)&lt;4,0,SUM($D236:$G236))</f>
        <v>0</v>
      </c>
      <c r="I236" s="19" t="str">
        <f aca="false">IF($H236=0,"",IF($H236&lt;=8,"Ótimo",IF($H236&lt;=12,"Bom",IF($H236&lt;=16,"Regular",IF($H236&lt;=20,"Alerta","Crítico")))))</f>
        <v/>
      </c>
      <c r="J236" s="20"/>
      <c r="K236" s="20"/>
    </row>
    <row r="237" customFormat="false" ht="15" hidden="false" customHeight="false" outlineLevel="0" collapsed="false">
      <c r="A237" s="21"/>
      <c r="B237" s="33" t="n">
        <f aca="false">IF($A237="",0,INT(($A237-Macrociclo!$C$11)/7)+1)</f>
        <v>0</v>
      </c>
      <c r="C237" s="20"/>
      <c r="D237" s="22"/>
      <c r="E237" s="22"/>
      <c r="F237" s="22"/>
      <c r="G237" s="22"/>
      <c r="H237" s="33" t="n">
        <f aca="false">IF(COUNT($D237:$G237)&lt;4,0,SUM($D237:$G237))</f>
        <v>0</v>
      </c>
      <c r="I237" s="19" t="str">
        <f aca="false">IF($H237=0,"",IF($H237&lt;=8,"Ótimo",IF($H237&lt;=12,"Bom",IF($H237&lt;=16,"Regular",IF($H237&lt;=20,"Alerta","Crítico")))))</f>
        <v/>
      </c>
      <c r="J237" s="20"/>
      <c r="K237" s="20"/>
    </row>
    <row r="238" customFormat="false" ht="15" hidden="false" customHeight="false" outlineLevel="0" collapsed="false">
      <c r="A238" s="21"/>
      <c r="B238" s="33" t="n">
        <f aca="false">IF($A238="",0,INT(($A238-Macrociclo!$C$11)/7)+1)</f>
        <v>0</v>
      </c>
      <c r="C238" s="20"/>
      <c r="D238" s="22"/>
      <c r="E238" s="22"/>
      <c r="F238" s="22"/>
      <c r="G238" s="22"/>
      <c r="H238" s="33" t="n">
        <f aca="false">IF(COUNT($D238:$G238)&lt;4,0,SUM($D238:$G238))</f>
        <v>0</v>
      </c>
      <c r="I238" s="19" t="str">
        <f aca="false">IF($H238=0,"",IF($H238&lt;=8,"Ótimo",IF($H238&lt;=12,"Bom",IF($H238&lt;=16,"Regular",IF($H238&lt;=20,"Alerta","Crítico")))))</f>
        <v/>
      </c>
      <c r="J238" s="20"/>
      <c r="K238" s="20"/>
    </row>
    <row r="239" customFormat="false" ht="15" hidden="false" customHeight="false" outlineLevel="0" collapsed="false">
      <c r="A239" s="21"/>
      <c r="B239" s="33" t="n">
        <f aca="false">IF($A239="",0,INT(($A239-Macrociclo!$C$11)/7)+1)</f>
        <v>0</v>
      </c>
      <c r="C239" s="20"/>
      <c r="D239" s="22"/>
      <c r="E239" s="22"/>
      <c r="F239" s="22"/>
      <c r="G239" s="22"/>
      <c r="H239" s="33" t="n">
        <f aca="false">IF(COUNT($D239:$G239)&lt;4,0,SUM($D239:$G239))</f>
        <v>0</v>
      </c>
      <c r="I239" s="19" t="str">
        <f aca="false">IF($H239=0,"",IF($H239&lt;=8,"Ótimo",IF($H239&lt;=12,"Bom",IF($H239&lt;=16,"Regular",IF($H239&lt;=20,"Alerta","Crítico")))))</f>
        <v/>
      </c>
      <c r="J239" s="20"/>
      <c r="K239" s="20"/>
    </row>
    <row r="240" customFormat="false" ht="15" hidden="false" customHeight="false" outlineLevel="0" collapsed="false">
      <c r="A240" s="21"/>
      <c r="B240" s="33" t="n">
        <f aca="false">IF($A240="",0,INT(($A240-Macrociclo!$C$11)/7)+1)</f>
        <v>0</v>
      </c>
      <c r="C240" s="20"/>
      <c r="D240" s="22"/>
      <c r="E240" s="22"/>
      <c r="F240" s="22"/>
      <c r="G240" s="22"/>
      <c r="H240" s="33" t="n">
        <f aca="false">IF(COUNT($D240:$G240)&lt;4,0,SUM($D240:$G240))</f>
        <v>0</v>
      </c>
      <c r="I240" s="19" t="str">
        <f aca="false">IF($H240=0,"",IF($H240&lt;=8,"Ótimo",IF($H240&lt;=12,"Bom",IF($H240&lt;=16,"Regular",IF($H240&lt;=20,"Alerta","Crítico")))))</f>
        <v/>
      </c>
      <c r="J240" s="20"/>
      <c r="K240" s="20"/>
    </row>
    <row r="241" customFormat="false" ht="15" hidden="false" customHeight="false" outlineLevel="0" collapsed="false">
      <c r="A241" s="21"/>
      <c r="B241" s="33" t="n">
        <f aca="false">IF($A241="",0,INT(($A241-Macrociclo!$C$11)/7)+1)</f>
        <v>0</v>
      </c>
      <c r="C241" s="20"/>
      <c r="D241" s="22"/>
      <c r="E241" s="22"/>
      <c r="F241" s="22"/>
      <c r="G241" s="22"/>
      <c r="H241" s="33" t="n">
        <f aca="false">IF(COUNT($D241:$G241)&lt;4,0,SUM($D241:$G241))</f>
        <v>0</v>
      </c>
      <c r="I241" s="19" t="str">
        <f aca="false">IF($H241=0,"",IF($H241&lt;=8,"Ótimo",IF($H241&lt;=12,"Bom",IF($H241&lt;=16,"Regular",IF($H241&lt;=20,"Alerta","Crítico")))))</f>
        <v/>
      </c>
      <c r="J241" s="20"/>
      <c r="K241" s="20"/>
    </row>
    <row r="242" customFormat="false" ht="15" hidden="false" customHeight="false" outlineLevel="0" collapsed="false">
      <c r="A242" s="21"/>
      <c r="B242" s="33" t="n">
        <f aca="false">IF($A242="",0,INT(($A242-Macrociclo!$C$11)/7)+1)</f>
        <v>0</v>
      </c>
      <c r="C242" s="20"/>
      <c r="D242" s="22"/>
      <c r="E242" s="22"/>
      <c r="F242" s="22"/>
      <c r="G242" s="22"/>
      <c r="H242" s="33" t="n">
        <f aca="false">IF(COUNT($D242:$G242)&lt;4,0,SUM($D242:$G242))</f>
        <v>0</v>
      </c>
      <c r="I242" s="19" t="str">
        <f aca="false">IF($H242=0,"",IF($H242&lt;=8,"Ótimo",IF($H242&lt;=12,"Bom",IF($H242&lt;=16,"Regular",IF($H242&lt;=20,"Alerta","Crítico")))))</f>
        <v/>
      </c>
      <c r="J242" s="20"/>
      <c r="K242" s="20"/>
    </row>
    <row r="243" customFormat="false" ht="15" hidden="false" customHeight="false" outlineLevel="0" collapsed="false">
      <c r="A243" s="21"/>
      <c r="B243" s="33" t="n">
        <f aca="false">IF($A243="",0,INT(($A243-Macrociclo!$C$11)/7)+1)</f>
        <v>0</v>
      </c>
      <c r="C243" s="20"/>
      <c r="D243" s="22"/>
      <c r="E243" s="22"/>
      <c r="F243" s="22"/>
      <c r="G243" s="22"/>
      <c r="H243" s="33" t="n">
        <f aca="false">IF(COUNT($D243:$G243)&lt;4,0,SUM($D243:$G243))</f>
        <v>0</v>
      </c>
      <c r="I243" s="19" t="str">
        <f aca="false">IF($H243=0,"",IF($H243&lt;=8,"Ótimo",IF($H243&lt;=12,"Bom",IF($H243&lt;=16,"Regular",IF($H243&lt;=20,"Alerta","Crítico")))))</f>
        <v/>
      </c>
      <c r="J243" s="20"/>
      <c r="K243" s="20"/>
    </row>
    <row r="244" customFormat="false" ht="15" hidden="false" customHeight="false" outlineLevel="0" collapsed="false">
      <c r="A244" s="21"/>
      <c r="B244" s="33" t="n">
        <f aca="false">IF($A244="",0,INT(($A244-Macrociclo!$C$11)/7)+1)</f>
        <v>0</v>
      </c>
      <c r="C244" s="20"/>
      <c r="D244" s="22"/>
      <c r="E244" s="22"/>
      <c r="F244" s="22"/>
      <c r="G244" s="22"/>
      <c r="H244" s="33" t="n">
        <f aca="false">IF(COUNT($D244:$G244)&lt;4,0,SUM($D244:$G244))</f>
        <v>0</v>
      </c>
      <c r="I244" s="19" t="str">
        <f aca="false">IF($H244=0,"",IF($H244&lt;=8,"Ótimo",IF($H244&lt;=12,"Bom",IF($H244&lt;=16,"Regular",IF($H244&lt;=20,"Alerta","Crítico")))))</f>
        <v/>
      </c>
      <c r="J244" s="20"/>
      <c r="K244" s="20"/>
    </row>
    <row r="245" customFormat="false" ht="15" hidden="false" customHeight="false" outlineLevel="0" collapsed="false">
      <c r="A245" s="21"/>
      <c r="B245" s="33" t="n">
        <f aca="false">IF($A245="",0,INT(($A245-Macrociclo!$C$11)/7)+1)</f>
        <v>0</v>
      </c>
      <c r="C245" s="20"/>
      <c r="D245" s="22"/>
      <c r="E245" s="22"/>
      <c r="F245" s="22"/>
      <c r="G245" s="22"/>
      <c r="H245" s="33" t="n">
        <f aca="false">IF(COUNT($D245:$G245)&lt;4,0,SUM($D245:$G245))</f>
        <v>0</v>
      </c>
      <c r="I245" s="19" t="str">
        <f aca="false">IF($H245=0,"",IF($H245&lt;=8,"Ótimo",IF($H245&lt;=12,"Bom",IF($H245&lt;=16,"Regular",IF($H245&lt;=20,"Alerta","Crítico")))))</f>
        <v/>
      </c>
      <c r="J245" s="20"/>
      <c r="K245" s="20"/>
    </row>
    <row r="246" customFormat="false" ht="15" hidden="false" customHeight="false" outlineLevel="0" collapsed="false">
      <c r="A246" s="21"/>
      <c r="B246" s="33" t="n">
        <f aca="false">IF($A246="",0,INT(($A246-Macrociclo!$C$11)/7)+1)</f>
        <v>0</v>
      </c>
      <c r="C246" s="20"/>
      <c r="D246" s="22"/>
      <c r="E246" s="22"/>
      <c r="F246" s="22"/>
      <c r="G246" s="22"/>
      <c r="H246" s="33" t="n">
        <f aca="false">IF(COUNT($D246:$G246)&lt;4,0,SUM($D246:$G246))</f>
        <v>0</v>
      </c>
      <c r="I246" s="19" t="str">
        <f aca="false">IF($H246=0,"",IF($H246&lt;=8,"Ótimo",IF($H246&lt;=12,"Bom",IF($H246&lt;=16,"Regular",IF($H246&lt;=20,"Alerta","Crítico")))))</f>
        <v/>
      </c>
      <c r="J246" s="20"/>
      <c r="K246" s="20"/>
    </row>
    <row r="247" customFormat="false" ht="15" hidden="false" customHeight="false" outlineLevel="0" collapsed="false">
      <c r="A247" s="21"/>
      <c r="B247" s="33" t="n">
        <f aca="false">IF($A247="",0,INT(($A247-Macrociclo!$C$11)/7)+1)</f>
        <v>0</v>
      </c>
      <c r="C247" s="20"/>
      <c r="D247" s="22"/>
      <c r="E247" s="22"/>
      <c r="F247" s="22"/>
      <c r="G247" s="22"/>
      <c r="H247" s="33" t="n">
        <f aca="false">IF(COUNT($D247:$G247)&lt;4,0,SUM($D247:$G247))</f>
        <v>0</v>
      </c>
      <c r="I247" s="19" t="str">
        <f aca="false">IF($H247=0,"",IF($H247&lt;=8,"Ótimo",IF($H247&lt;=12,"Bom",IF($H247&lt;=16,"Regular",IF($H247&lt;=20,"Alerta","Crítico")))))</f>
        <v/>
      </c>
      <c r="J247" s="20"/>
      <c r="K247" s="20"/>
    </row>
    <row r="248" customFormat="false" ht="15" hidden="false" customHeight="false" outlineLevel="0" collapsed="false">
      <c r="A248" s="21"/>
      <c r="B248" s="33" t="n">
        <f aca="false">IF($A248="",0,INT(($A248-Macrociclo!$C$11)/7)+1)</f>
        <v>0</v>
      </c>
      <c r="C248" s="20"/>
      <c r="D248" s="22"/>
      <c r="E248" s="22"/>
      <c r="F248" s="22"/>
      <c r="G248" s="22"/>
      <c r="H248" s="33" t="n">
        <f aca="false">IF(COUNT($D248:$G248)&lt;4,0,SUM($D248:$G248))</f>
        <v>0</v>
      </c>
      <c r="I248" s="19" t="str">
        <f aca="false">IF($H248=0,"",IF($H248&lt;=8,"Ótimo",IF($H248&lt;=12,"Bom",IF($H248&lt;=16,"Regular",IF($H248&lt;=20,"Alerta","Crítico")))))</f>
        <v/>
      </c>
      <c r="J248" s="20"/>
      <c r="K248" s="20"/>
    </row>
    <row r="249" customFormat="false" ht="15" hidden="false" customHeight="false" outlineLevel="0" collapsed="false">
      <c r="A249" s="21"/>
      <c r="B249" s="33" t="n">
        <f aca="false">IF($A249="",0,INT(($A249-Macrociclo!$C$11)/7)+1)</f>
        <v>0</v>
      </c>
      <c r="C249" s="20"/>
      <c r="D249" s="22"/>
      <c r="E249" s="22"/>
      <c r="F249" s="22"/>
      <c r="G249" s="22"/>
      <c r="H249" s="33" t="n">
        <f aca="false">IF(COUNT($D249:$G249)&lt;4,0,SUM($D249:$G249))</f>
        <v>0</v>
      </c>
      <c r="I249" s="19" t="str">
        <f aca="false">IF($H249=0,"",IF($H249&lt;=8,"Ótimo",IF($H249&lt;=12,"Bom",IF($H249&lt;=16,"Regular",IF($H249&lt;=20,"Alerta","Crítico")))))</f>
        <v/>
      </c>
      <c r="J249" s="20"/>
      <c r="K249" s="20"/>
    </row>
    <row r="250" customFormat="false" ht="15" hidden="false" customHeight="false" outlineLevel="0" collapsed="false">
      <c r="A250" s="21"/>
      <c r="B250" s="33" t="n">
        <f aca="false">IF($A250="",0,INT(($A250-Macrociclo!$C$11)/7)+1)</f>
        <v>0</v>
      </c>
      <c r="C250" s="20"/>
      <c r="D250" s="22"/>
      <c r="E250" s="22"/>
      <c r="F250" s="22"/>
      <c r="G250" s="22"/>
      <c r="H250" s="33" t="n">
        <f aca="false">IF(COUNT($D250:$G250)&lt;4,0,SUM($D250:$G250))</f>
        <v>0</v>
      </c>
      <c r="I250" s="19" t="str">
        <f aca="false">IF($H250=0,"",IF($H250&lt;=8,"Ótimo",IF($H250&lt;=12,"Bom",IF($H250&lt;=16,"Regular",IF($H250&lt;=20,"Alerta","Crítico")))))</f>
        <v/>
      </c>
      <c r="J250" s="20"/>
      <c r="K250" s="20"/>
    </row>
    <row r="251" customFormat="false" ht="15" hidden="false" customHeight="false" outlineLevel="0" collapsed="false">
      <c r="A251" s="21"/>
      <c r="B251" s="33" t="n">
        <f aca="false">IF($A251="",0,INT(($A251-Macrociclo!$C$11)/7)+1)</f>
        <v>0</v>
      </c>
      <c r="C251" s="20"/>
      <c r="D251" s="22"/>
      <c r="E251" s="22"/>
      <c r="F251" s="22"/>
      <c r="G251" s="22"/>
      <c r="H251" s="33" t="n">
        <f aca="false">IF(COUNT($D251:$G251)&lt;4,0,SUM($D251:$G251))</f>
        <v>0</v>
      </c>
      <c r="I251" s="19" t="str">
        <f aca="false">IF($H251=0,"",IF($H251&lt;=8,"Ótimo",IF($H251&lt;=12,"Bom",IF($H251&lt;=16,"Regular",IF($H251&lt;=20,"Alerta","Crítico")))))</f>
        <v/>
      </c>
      <c r="J251" s="20"/>
      <c r="K251" s="20"/>
    </row>
    <row r="252" customFormat="false" ht="15" hidden="false" customHeight="false" outlineLevel="0" collapsed="false">
      <c r="A252" s="21"/>
      <c r="B252" s="33" t="n">
        <f aca="false">IF($A252="",0,INT(($A252-Macrociclo!$C$11)/7)+1)</f>
        <v>0</v>
      </c>
      <c r="C252" s="20"/>
      <c r="D252" s="22"/>
      <c r="E252" s="22"/>
      <c r="F252" s="22"/>
      <c r="G252" s="22"/>
      <c r="H252" s="33" t="n">
        <f aca="false">IF(COUNT($D252:$G252)&lt;4,0,SUM($D252:$G252))</f>
        <v>0</v>
      </c>
      <c r="I252" s="19" t="str">
        <f aca="false">IF($H252=0,"",IF($H252&lt;=8,"Ótimo",IF($H252&lt;=12,"Bom",IF($H252&lt;=16,"Regular",IF($H252&lt;=20,"Alerta","Crítico")))))</f>
        <v/>
      </c>
      <c r="J252" s="20"/>
      <c r="K252" s="20"/>
    </row>
    <row r="253" customFormat="false" ht="15" hidden="false" customHeight="false" outlineLevel="0" collapsed="false">
      <c r="A253" s="21"/>
      <c r="B253" s="33" t="n">
        <f aca="false">IF($A253="",0,INT(($A253-Macrociclo!$C$11)/7)+1)</f>
        <v>0</v>
      </c>
      <c r="C253" s="20"/>
      <c r="D253" s="22"/>
      <c r="E253" s="22"/>
      <c r="F253" s="22"/>
      <c r="G253" s="22"/>
      <c r="H253" s="33" t="n">
        <f aca="false">IF(COUNT($D253:$G253)&lt;4,0,SUM($D253:$G253))</f>
        <v>0</v>
      </c>
      <c r="I253" s="19" t="str">
        <f aca="false">IF($H253=0,"",IF($H253&lt;=8,"Ótimo",IF($H253&lt;=12,"Bom",IF($H253&lt;=16,"Regular",IF($H253&lt;=20,"Alerta","Crítico")))))</f>
        <v/>
      </c>
      <c r="J253" s="20"/>
      <c r="K253" s="20"/>
    </row>
    <row r="254" customFormat="false" ht="15" hidden="false" customHeight="false" outlineLevel="0" collapsed="false">
      <c r="A254" s="21"/>
      <c r="B254" s="33" t="n">
        <f aca="false">IF($A254="",0,INT(($A254-Macrociclo!$C$11)/7)+1)</f>
        <v>0</v>
      </c>
      <c r="C254" s="20"/>
      <c r="D254" s="22"/>
      <c r="E254" s="22"/>
      <c r="F254" s="22"/>
      <c r="G254" s="22"/>
      <c r="H254" s="33" t="n">
        <f aca="false">IF(COUNT($D254:$G254)&lt;4,0,SUM($D254:$G254))</f>
        <v>0</v>
      </c>
      <c r="I254" s="19" t="str">
        <f aca="false">IF($H254=0,"",IF($H254&lt;=8,"Ótimo",IF($H254&lt;=12,"Bom",IF($H254&lt;=16,"Regular",IF($H254&lt;=20,"Alerta","Crítico")))))</f>
        <v/>
      </c>
      <c r="J254" s="20"/>
      <c r="K254" s="20"/>
    </row>
    <row r="255" customFormat="false" ht="15" hidden="false" customHeight="false" outlineLevel="0" collapsed="false">
      <c r="A255" s="21"/>
      <c r="B255" s="33" t="n">
        <f aca="false">IF($A255="",0,INT(($A255-Macrociclo!$C$11)/7)+1)</f>
        <v>0</v>
      </c>
      <c r="C255" s="20"/>
      <c r="D255" s="22"/>
      <c r="E255" s="22"/>
      <c r="F255" s="22"/>
      <c r="G255" s="22"/>
      <c r="H255" s="33" t="n">
        <f aca="false">IF(COUNT($D255:$G255)&lt;4,0,SUM($D255:$G255))</f>
        <v>0</v>
      </c>
      <c r="I255" s="19" t="str">
        <f aca="false">IF($H255=0,"",IF($H255&lt;=8,"Ótimo",IF($H255&lt;=12,"Bom",IF($H255&lt;=16,"Regular",IF($H255&lt;=20,"Alerta","Crítico")))))</f>
        <v/>
      </c>
      <c r="J255" s="20"/>
      <c r="K255" s="20"/>
    </row>
    <row r="256" customFormat="false" ht="15" hidden="false" customHeight="false" outlineLevel="0" collapsed="false">
      <c r="A256" s="21"/>
      <c r="B256" s="33" t="n">
        <f aca="false">IF($A256="",0,INT(($A256-Macrociclo!$C$11)/7)+1)</f>
        <v>0</v>
      </c>
      <c r="C256" s="20"/>
      <c r="D256" s="22"/>
      <c r="E256" s="22"/>
      <c r="F256" s="22"/>
      <c r="G256" s="22"/>
      <c r="H256" s="33" t="n">
        <f aca="false">IF(COUNT($D256:$G256)&lt;4,0,SUM($D256:$G256))</f>
        <v>0</v>
      </c>
      <c r="I256" s="19" t="str">
        <f aca="false">IF($H256=0,"",IF($H256&lt;=8,"Ótimo",IF($H256&lt;=12,"Bom",IF($H256&lt;=16,"Regular",IF($H256&lt;=20,"Alerta","Crítico")))))</f>
        <v/>
      </c>
      <c r="J256" s="20"/>
      <c r="K256" s="20"/>
    </row>
    <row r="257" customFormat="false" ht="15" hidden="false" customHeight="false" outlineLevel="0" collapsed="false">
      <c r="A257" s="21"/>
      <c r="B257" s="33" t="n">
        <f aca="false">IF($A257="",0,INT(($A257-Macrociclo!$C$11)/7)+1)</f>
        <v>0</v>
      </c>
      <c r="C257" s="20"/>
      <c r="D257" s="22"/>
      <c r="E257" s="22"/>
      <c r="F257" s="22"/>
      <c r="G257" s="22"/>
      <c r="H257" s="33" t="n">
        <f aca="false">IF(COUNT($D257:$G257)&lt;4,0,SUM($D257:$G257))</f>
        <v>0</v>
      </c>
      <c r="I257" s="19" t="str">
        <f aca="false">IF($H257=0,"",IF($H257&lt;=8,"Ótimo",IF($H257&lt;=12,"Bom",IF($H257&lt;=16,"Regular",IF($H257&lt;=20,"Alerta","Crítico")))))</f>
        <v/>
      </c>
      <c r="J257" s="20"/>
      <c r="K257" s="20"/>
    </row>
    <row r="258" customFormat="false" ht="15" hidden="false" customHeight="false" outlineLevel="0" collapsed="false">
      <c r="A258" s="21"/>
      <c r="B258" s="33" t="n">
        <f aca="false">IF($A258="",0,INT(($A258-Macrociclo!$C$11)/7)+1)</f>
        <v>0</v>
      </c>
      <c r="C258" s="20"/>
      <c r="D258" s="22"/>
      <c r="E258" s="22"/>
      <c r="F258" s="22"/>
      <c r="G258" s="22"/>
      <c r="H258" s="33" t="n">
        <f aca="false">IF(COUNT($D258:$G258)&lt;4,0,SUM($D258:$G258))</f>
        <v>0</v>
      </c>
      <c r="I258" s="19" t="str">
        <f aca="false">IF($H258=0,"",IF($H258&lt;=8,"Ótimo",IF($H258&lt;=12,"Bom",IF($H258&lt;=16,"Regular",IF($H258&lt;=20,"Alerta","Crítico")))))</f>
        <v/>
      </c>
      <c r="J258" s="20"/>
      <c r="K258" s="20"/>
    </row>
    <row r="259" customFormat="false" ht="15" hidden="false" customHeight="false" outlineLevel="0" collapsed="false">
      <c r="A259" s="21"/>
      <c r="B259" s="33" t="n">
        <f aca="false">IF($A259="",0,INT(($A259-Macrociclo!$C$11)/7)+1)</f>
        <v>0</v>
      </c>
      <c r="C259" s="20"/>
      <c r="D259" s="22"/>
      <c r="E259" s="22"/>
      <c r="F259" s="22"/>
      <c r="G259" s="22"/>
      <c r="H259" s="33" t="n">
        <f aca="false">IF(COUNT($D259:$G259)&lt;4,0,SUM($D259:$G259))</f>
        <v>0</v>
      </c>
      <c r="I259" s="19" t="str">
        <f aca="false">IF($H259=0,"",IF($H259&lt;=8,"Ótimo",IF($H259&lt;=12,"Bom",IF($H259&lt;=16,"Regular",IF($H259&lt;=20,"Alerta","Crítico")))))</f>
        <v/>
      </c>
      <c r="J259" s="20"/>
      <c r="K259" s="20"/>
    </row>
    <row r="260" customFormat="false" ht="15" hidden="false" customHeight="false" outlineLevel="0" collapsed="false">
      <c r="A260" s="21"/>
      <c r="B260" s="33" t="n">
        <f aca="false">IF($A260="",0,INT(($A260-Macrociclo!$C$11)/7)+1)</f>
        <v>0</v>
      </c>
      <c r="C260" s="20"/>
      <c r="D260" s="22"/>
      <c r="E260" s="22"/>
      <c r="F260" s="22"/>
      <c r="G260" s="22"/>
      <c r="H260" s="33" t="n">
        <f aca="false">IF(COUNT($D260:$G260)&lt;4,0,SUM($D260:$G260))</f>
        <v>0</v>
      </c>
      <c r="I260" s="19" t="str">
        <f aca="false">IF($H260=0,"",IF($H260&lt;=8,"Ótimo",IF($H260&lt;=12,"Bom",IF($H260&lt;=16,"Regular",IF($H260&lt;=20,"Alerta","Crítico")))))</f>
        <v/>
      </c>
      <c r="J260" s="20"/>
      <c r="K260" s="20"/>
    </row>
    <row r="261" customFormat="false" ht="15" hidden="false" customHeight="false" outlineLevel="0" collapsed="false">
      <c r="A261" s="21"/>
      <c r="B261" s="33" t="n">
        <f aca="false">IF($A261="",0,INT(($A261-Macrociclo!$C$11)/7)+1)</f>
        <v>0</v>
      </c>
      <c r="C261" s="20"/>
      <c r="D261" s="22"/>
      <c r="E261" s="22"/>
      <c r="F261" s="22"/>
      <c r="G261" s="22"/>
      <c r="H261" s="33" t="n">
        <f aca="false">IF(COUNT($D261:$G261)&lt;4,0,SUM($D261:$G261))</f>
        <v>0</v>
      </c>
      <c r="I261" s="19" t="str">
        <f aca="false">IF($H261=0,"",IF($H261&lt;=8,"Ótimo",IF($H261&lt;=12,"Bom",IF($H261&lt;=16,"Regular",IF($H261&lt;=20,"Alerta","Crítico")))))</f>
        <v/>
      </c>
      <c r="J261" s="20"/>
      <c r="K261" s="20"/>
    </row>
    <row r="262" customFormat="false" ht="15" hidden="false" customHeight="false" outlineLevel="0" collapsed="false">
      <c r="A262" s="21"/>
      <c r="B262" s="33" t="n">
        <f aca="false">IF($A262="",0,INT(($A262-Macrociclo!$C$11)/7)+1)</f>
        <v>0</v>
      </c>
      <c r="C262" s="20"/>
      <c r="D262" s="22"/>
      <c r="E262" s="22"/>
      <c r="F262" s="22"/>
      <c r="G262" s="22"/>
      <c r="H262" s="33" t="n">
        <f aca="false">IF(COUNT($D262:$G262)&lt;4,0,SUM($D262:$G262))</f>
        <v>0</v>
      </c>
      <c r="I262" s="19" t="str">
        <f aca="false">IF($H262=0,"",IF($H262&lt;=8,"Ótimo",IF($H262&lt;=12,"Bom",IF($H262&lt;=16,"Regular",IF($H262&lt;=20,"Alerta","Crítico")))))</f>
        <v/>
      </c>
      <c r="J262" s="20"/>
      <c r="K262" s="20"/>
    </row>
    <row r="263" customFormat="false" ht="15" hidden="false" customHeight="false" outlineLevel="0" collapsed="false">
      <c r="A263" s="21"/>
      <c r="B263" s="33" t="n">
        <f aca="false">IF($A263="",0,INT(($A263-Macrociclo!$C$11)/7)+1)</f>
        <v>0</v>
      </c>
      <c r="C263" s="20"/>
      <c r="D263" s="22"/>
      <c r="E263" s="22"/>
      <c r="F263" s="22"/>
      <c r="G263" s="22"/>
      <c r="H263" s="33" t="n">
        <f aca="false">IF(COUNT($D263:$G263)&lt;4,0,SUM($D263:$G263))</f>
        <v>0</v>
      </c>
      <c r="I263" s="19" t="str">
        <f aca="false">IF($H263=0,"",IF($H263&lt;=8,"Ótimo",IF($H263&lt;=12,"Bom",IF($H263&lt;=16,"Regular",IF($H263&lt;=20,"Alerta","Crítico")))))</f>
        <v/>
      </c>
      <c r="J263" s="20"/>
      <c r="K263" s="20"/>
    </row>
    <row r="264" customFormat="false" ht="15" hidden="false" customHeight="false" outlineLevel="0" collapsed="false">
      <c r="A264" s="21"/>
      <c r="B264" s="33" t="n">
        <f aca="false">IF($A264="",0,INT(($A264-Macrociclo!$C$11)/7)+1)</f>
        <v>0</v>
      </c>
      <c r="C264" s="20"/>
      <c r="D264" s="22"/>
      <c r="E264" s="22"/>
      <c r="F264" s="22"/>
      <c r="G264" s="22"/>
      <c r="H264" s="33" t="n">
        <f aca="false">IF(COUNT($D264:$G264)&lt;4,0,SUM($D264:$G264))</f>
        <v>0</v>
      </c>
      <c r="I264" s="19" t="str">
        <f aca="false">IF($H264=0,"",IF($H264&lt;=8,"Ótimo",IF($H264&lt;=12,"Bom",IF($H264&lt;=16,"Regular",IF($H264&lt;=20,"Alerta","Crítico")))))</f>
        <v/>
      </c>
      <c r="J264" s="20"/>
      <c r="K264" s="20"/>
    </row>
    <row r="265" customFormat="false" ht="15" hidden="false" customHeight="false" outlineLevel="0" collapsed="false">
      <c r="A265" s="21"/>
      <c r="B265" s="33" t="n">
        <f aca="false">IF($A265="",0,INT(($A265-Macrociclo!$C$11)/7)+1)</f>
        <v>0</v>
      </c>
      <c r="C265" s="20"/>
      <c r="D265" s="22"/>
      <c r="E265" s="22"/>
      <c r="F265" s="22"/>
      <c r="G265" s="22"/>
      <c r="H265" s="33" t="n">
        <f aca="false">IF(COUNT($D265:$G265)&lt;4,0,SUM($D265:$G265))</f>
        <v>0</v>
      </c>
      <c r="I265" s="19" t="str">
        <f aca="false">IF($H265=0,"",IF($H265&lt;=8,"Ótimo",IF($H265&lt;=12,"Bom",IF($H265&lt;=16,"Regular",IF($H265&lt;=20,"Alerta","Crítico")))))</f>
        <v/>
      </c>
      <c r="J265" s="20"/>
      <c r="K265" s="20"/>
    </row>
    <row r="266" customFormat="false" ht="15" hidden="false" customHeight="false" outlineLevel="0" collapsed="false">
      <c r="A266" s="21"/>
      <c r="B266" s="33" t="n">
        <f aca="false">IF($A266="",0,INT(($A266-Macrociclo!$C$11)/7)+1)</f>
        <v>0</v>
      </c>
      <c r="C266" s="20"/>
      <c r="D266" s="22"/>
      <c r="E266" s="22"/>
      <c r="F266" s="22"/>
      <c r="G266" s="22"/>
      <c r="H266" s="33" t="n">
        <f aca="false">IF(COUNT($D266:$G266)&lt;4,0,SUM($D266:$G266))</f>
        <v>0</v>
      </c>
      <c r="I266" s="19" t="str">
        <f aca="false">IF($H266=0,"",IF($H266&lt;=8,"Ótimo",IF($H266&lt;=12,"Bom",IF($H266&lt;=16,"Regular",IF($H266&lt;=20,"Alerta","Crítico")))))</f>
        <v/>
      </c>
      <c r="J266" s="20"/>
      <c r="K266" s="20"/>
    </row>
    <row r="267" customFormat="false" ht="15" hidden="false" customHeight="false" outlineLevel="0" collapsed="false">
      <c r="A267" s="21"/>
      <c r="B267" s="33" t="n">
        <f aca="false">IF($A267="",0,INT(($A267-Macrociclo!$C$11)/7)+1)</f>
        <v>0</v>
      </c>
      <c r="C267" s="20"/>
      <c r="D267" s="22"/>
      <c r="E267" s="22"/>
      <c r="F267" s="22"/>
      <c r="G267" s="22"/>
      <c r="H267" s="33" t="n">
        <f aca="false">IF(COUNT($D267:$G267)&lt;4,0,SUM($D267:$G267))</f>
        <v>0</v>
      </c>
      <c r="I267" s="19" t="str">
        <f aca="false">IF($H267=0,"",IF($H267&lt;=8,"Ótimo",IF($H267&lt;=12,"Bom",IF($H267&lt;=16,"Regular",IF($H267&lt;=20,"Alerta","Crítico")))))</f>
        <v/>
      </c>
      <c r="J267" s="20"/>
      <c r="K267" s="20"/>
    </row>
    <row r="268" customFormat="false" ht="15" hidden="false" customHeight="false" outlineLevel="0" collapsed="false">
      <c r="A268" s="21"/>
      <c r="B268" s="33" t="n">
        <f aca="false">IF($A268="",0,INT(($A268-Macrociclo!$C$11)/7)+1)</f>
        <v>0</v>
      </c>
      <c r="C268" s="20"/>
      <c r="D268" s="22"/>
      <c r="E268" s="22"/>
      <c r="F268" s="22"/>
      <c r="G268" s="22"/>
      <c r="H268" s="33" t="n">
        <f aca="false">IF(COUNT($D268:$G268)&lt;4,0,SUM($D268:$G268))</f>
        <v>0</v>
      </c>
      <c r="I268" s="19" t="str">
        <f aca="false">IF($H268=0,"",IF($H268&lt;=8,"Ótimo",IF($H268&lt;=12,"Bom",IF($H268&lt;=16,"Regular",IF($H268&lt;=20,"Alerta","Crítico")))))</f>
        <v/>
      </c>
      <c r="J268" s="20"/>
      <c r="K268" s="20"/>
    </row>
    <row r="269" customFormat="false" ht="15" hidden="false" customHeight="false" outlineLevel="0" collapsed="false">
      <c r="A269" s="21"/>
      <c r="B269" s="33" t="n">
        <f aca="false">IF($A269="",0,INT(($A269-Macrociclo!$C$11)/7)+1)</f>
        <v>0</v>
      </c>
      <c r="C269" s="20"/>
      <c r="D269" s="22"/>
      <c r="E269" s="22"/>
      <c r="F269" s="22"/>
      <c r="G269" s="22"/>
      <c r="H269" s="33" t="n">
        <f aca="false">IF(COUNT($D269:$G269)&lt;4,0,SUM($D269:$G269))</f>
        <v>0</v>
      </c>
      <c r="I269" s="19" t="str">
        <f aca="false">IF($H269=0,"",IF($H269&lt;=8,"Ótimo",IF($H269&lt;=12,"Bom",IF($H269&lt;=16,"Regular",IF($H269&lt;=20,"Alerta","Crítico")))))</f>
        <v/>
      </c>
      <c r="J269" s="20"/>
      <c r="K269" s="20"/>
    </row>
    <row r="270" customFormat="false" ht="15" hidden="false" customHeight="false" outlineLevel="0" collapsed="false">
      <c r="A270" s="21"/>
      <c r="B270" s="33" t="n">
        <f aca="false">IF($A270="",0,INT(($A270-Macrociclo!$C$11)/7)+1)</f>
        <v>0</v>
      </c>
      <c r="C270" s="20"/>
      <c r="D270" s="22"/>
      <c r="E270" s="22"/>
      <c r="F270" s="22"/>
      <c r="G270" s="22"/>
      <c r="H270" s="33" t="n">
        <f aca="false">IF(COUNT($D270:$G270)&lt;4,0,SUM($D270:$G270))</f>
        <v>0</v>
      </c>
      <c r="I270" s="19" t="str">
        <f aca="false">IF($H270=0,"",IF($H270&lt;=8,"Ótimo",IF($H270&lt;=12,"Bom",IF($H270&lt;=16,"Regular",IF($H270&lt;=20,"Alerta","Crítico")))))</f>
        <v/>
      </c>
      <c r="J270" s="20"/>
      <c r="K270" s="20"/>
    </row>
    <row r="271" customFormat="false" ht="15" hidden="false" customHeight="false" outlineLevel="0" collapsed="false">
      <c r="A271" s="21"/>
      <c r="B271" s="33" t="n">
        <f aca="false">IF($A271="",0,INT(($A271-Macrociclo!$C$11)/7)+1)</f>
        <v>0</v>
      </c>
      <c r="C271" s="20"/>
      <c r="D271" s="22"/>
      <c r="E271" s="22"/>
      <c r="F271" s="22"/>
      <c r="G271" s="22"/>
      <c r="H271" s="33" t="n">
        <f aca="false">IF(COUNT($D271:$G271)&lt;4,0,SUM($D271:$G271))</f>
        <v>0</v>
      </c>
      <c r="I271" s="19" t="str">
        <f aca="false">IF($H271=0,"",IF($H271&lt;=8,"Ótimo",IF($H271&lt;=12,"Bom",IF($H271&lt;=16,"Regular",IF($H271&lt;=20,"Alerta","Crítico")))))</f>
        <v/>
      </c>
      <c r="J271" s="20"/>
      <c r="K271" s="20"/>
    </row>
    <row r="272" customFormat="false" ht="15" hidden="false" customHeight="false" outlineLevel="0" collapsed="false">
      <c r="A272" s="21"/>
      <c r="B272" s="33" t="n">
        <f aca="false">IF($A272="",0,INT(($A272-Macrociclo!$C$11)/7)+1)</f>
        <v>0</v>
      </c>
      <c r="C272" s="20"/>
      <c r="D272" s="22"/>
      <c r="E272" s="22"/>
      <c r="F272" s="22"/>
      <c r="G272" s="22"/>
      <c r="H272" s="33" t="n">
        <f aca="false">IF(COUNT($D272:$G272)&lt;4,0,SUM($D272:$G272))</f>
        <v>0</v>
      </c>
      <c r="I272" s="19" t="str">
        <f aca="false">IF($H272=0,"",IF($H272&lt;=8,"Ótimo",IF($H272&lt;=12,"Bom",IF($H272&lt;=16,"Regular",IF($H272&lt;=20,"Alerta","Crítico")))))</f>
        <v/>
      </c>
      <c r="J272" s="20"/>
      <c r="K272" s="20"/>
    </row>
    <row r="273" customFormat="false" ht="15" hidden="false" customHeight="false" outlineLevel="0" collapsed="false">
      <c r="A273" s="21"/>
      <c r="B273" s="33" t="n">
        <f aca="false">IF($A273="",0,INT(($A273-Macrociclo!$C$11)/7)+1)</f>
        <v>0</v>
      </c>
      <c r="C273" s="20"/>
      <c r="D273" s="22"/>
      <c r="E273" s="22"/>
      <c r="F273" s="22"/>
      <c r="G273" s="22"/>
      <c r="H273" s="33" t="n">
        <f aca="false">IF(COUNT($D273:$G273)&lt;4,0,SUM($D273:$G273))</f>
        <v>0</v>
      </c>
      <c r="I273" s="19" t="str">
        <f aca="false">IF($H273=0,"",IF($H273&lt;=8,"Ótimo",IF($H273&lt;=12,"Bom",IF($H273&lt;=16,"Regular",IF($H273&lt;=20,"Alerta","Crítico")))))</f>
        <v/>
      </c>
      <c r="J273" s="20"/>
      <c r="K273" s="20"/>
    </row>
    <row r="274" customFormat="false" ht="15" hidden="false" customHeight="false" outlineLevel="0" collapsed="false">
      <c r="A274" s="21"/>
      <c r="B274" s="33" t="n">
        <f aca="false">IF($A274="",0,INT(($A274-Macrociclo!$C$11)/7)+1)</f>
        <v>0</v>
      </c>
      <c r="C274" s="20"/>
      <c r="D274" s="22"/>
      <c r="E274" s="22"/>
      <c r="F274" s="22"/>
      <c r="G274" s="22"/>
      <c r="H274" s="33" t="n">
        <f aca="false">IF(COUNT($D274:$G274)&lt;4,0,SUM($D274:$G274))</f>
        <v>0</v>
      </c>
      <c r="I274" s="19" t="str">
        <f aca="false">IF($H274=0,"",IF($H274&lt;=8,"Ótimo",IF($H274&lt;=12,"Bom",IF($H274&lt;=16,"Regular",IF($H274&lt;=20,"Alerta","Crítico")))))</f>
        <v/>
      </c>
      <c r="J274" s="20"/>
      <c r="K274" s="20"/>
    </row>
    <row r="275" customFormat="false" ht="15" hidden="false" customHeight="false" outlineLevel="0" collapsed="false">
      <c r="A275" s="21"/>
      <c r="B275" s="33" t="n">
        <f aca="false">IF($A275="",0,INT(($A275-Macrociclo!$C$11)/7)+1)</f>
        <v>0</v>
      </c>
      <c r="C275" s="20"/>
      <c r="D275" s="22"/>
      <c r="E275" s="22"/>
      <c r="F275" s="22"/>
      <c r="G275" s="22"/>
      <c r="H275" s="33" t="n">
        <f aca="false">IF(COUNT($D275:$G275)&lt;4,0,SUM($D275:$G275))</f>
        <v>0</v>
      </c>
      <c r="I275" s="19" t="str">
        <f aca="false">IF($H275=0,"",IF($H275&lt;=8,"Ótimo",IF($H275&lt;=12,"Bom",IF($H275&lt;=16,"Regular",IF($H275&lt;=20,"Alerta","Crítico")))))</f>
        <v/>
      </c>
      <c r="J275" s="20"/>
      <c r="K275" s="20"/>
    </row>
    <row r="276" customFormat="false" ht="15" hidden="false" customHeight="false" outlineLevel="0" collapsed="false">
      <c r="A276" s="21"/>
      <c r="B276" s="33" t="n">
        <f aca="false">IF($A276="",0,INT(($A276-Macrociclo!$C$11)/7)+1)</f>
        <v>0</v>
      </c>
      <c r="C276" s="20"/>
      <c r="D276" s="22"/>
      <c r="E276" s="22"/>
      <c r="F276" s="22"/>
      <c r="G276" s="22"/>
      <c r="H276" s="33" t="n">
        <f aca="false">IF(COUNT($D276:$G276)&lt;4,0,SUM($D276:$G276))</f>
        <v>0</v>
      </c>
      <c r="I276" s="19" t="str">
        <f aca="false">IF($H276=0,"",IF($H276&lt;=8,"Ótimo",IF($H276&lt;=12,"Bom",IF($H276&lt;=16,"Regular",IF($H276&lt;=20,"Alerta","Crítico")))))</f>
        <v/>
      </c>
      <c r="J276" s="20"/>
      <c r="K276" s="20"/>
    </row>
    <row r="277" customFormat="false" ht="15" hidden="false" customHeight="false" outlineLevel="0" collapsed="false">
      <c r="A277" s="21"/>
      <c r="B277" s="33" t="n">
        <f aca="false">IF($A277="",0,INT(($A277-Macrociclo!$C$11)/7)+1)</f>
        <v>0</v>
      </c>
      <c r="C277" s="20"/>
      <c r="D277" s="22"/>
      <c r="E277" s="22"/>
      <c r="F277" s="22"/>
      <c r="G277" s="22"/>
      <c r="H277" s="33" t="n">
        <f aca="false">IF(COUNT($D277:$G277)&lt;4,0,SUM($D277:$G277))</f>
        <v>0</v>
      </c>
      <c r="I277" s="19" t="str">
        <f aca="false">IF($H277=0,"",IF($H277&lt;=8,"Ótimo",IF($H277&lt;=12,"Bom",IF($H277&lt;=16,"Regular",IF($H277&lt;=20,"Alerta","Crítico")))))</f>
        <v/>
      </c>
      <c r="J277" s="20"/>
      <c r="K277" s="20"/>
    </row>
    <row r="278" customFormat="false" ht="15" hidden="false" customHeight="false" outlineLevel="0" collapsed="false">
      <c r="A278" s="21"/>
      <c r="B278" s="33" t="n">
        <f aca="false">IF($A278="",0,INT(($A278-Macrociclo!$C$11)/7)+1)</f>
        <v>0</v>
      </c>
      <c r="C278" s="20"/>
      <c r="D278" s="22"/>
      <c r="E278" s="22"/>
      <c r="F278" s="22"/>
      <c r="G278" s="22"/>
      <c r="H278" s="33" t="n">
        <f aca="false">IF(COUNT($D278:$G278)&lt;4,0,SUM($D278:$G278))</f>
        <v>0</v>
      </c>
      <c r="I278" s="19" t="str">
        <f aca="false">IF($H278=0,"",IF($H278&lt;=8,"Ótimo",IF($H278&lt;=12,"Bom",IF($H278&lt;=16,"Regular",IF($H278&lt;=20,"Alerta","Crítico")))))</f>
        <v/>
      </c>
      <c r="J278" s="20"/>
      <c r="K278" s="20"/>
    </row>
    <row r="279" customFormat="false" ht="15" hidden="false" customHeight="false" outlineLevel="0" collapsed="false">
      <c r="A279" s="21"/>
      <c r="B279" s="33" t="n">
        <f aca="false">IF($A279="",0,INT(($A279-Macrociclo!$C$11)/7)+1)</f>
        <v>0</v>
      </c>
      <c r="C279" s="20"/>
      <c r="D279" s="22"/>
      <c r="E279" s="22"/>
      <c r="F279" s="22"/>
      <c r="G279" s="22"/>
      <c r="H279" s="33" t="n">
        <f aca="false">IF(COUNT($D279:$G279)&lt;4,0,SUM($D279:$G279))</f>
        <v>0</v>
      </c>
      <c r="I279" s="19" t="str">
        <f aca="false">IF($H279=0,"",IF($H279&lt;=8,"Ótimo",IF($H279&lt;=12,"Bom",IF($H279&lt;=16,"Regular",IF($H279&lt;=20,"Alerta","Crítico")))))</f>
        <v/>
      </c>
      <c r="J279" s="20"/>
      <c r="K279" s="20"/>
    </row>
    <row r="280" customFormat="false" ht="15" hidden="false" customHeight="false" outlineLevel="0" collapsed="false">
      <c r="A280" s="21"/>
      <c r="B280" s="33" t="n">
        <f aca="false">IF($A280="",0,INT(($A280-Macrociclo!$C$11)/7)+1)</f>
        <v>0</v>
      </c>
      <c r="C280" s="20"/>
      <c r="D280" s="22"/>
      <c r="E280" s="22"/>
      <c r="F280" s="22"/>
      <c r="G280" s="22"/>
      <c r="H280" s="33" t="n">
        <f aca="false">IF(COUNT($D280:$G280)&lt;4,0,SUM($D280:$G280))</f>
        <v>0</v>
      </c>
      <c r="I280" s="19" t="str">
        <f aca="false">IF($H280=0,"",IF($H280&lt;=8,"Ótimo",IF($H280&lt;=12,"Bom",IF($H280&lt;=16,"Regular",IF($H280&lt;=20,"Alerta","Crítico")))))</f>
        <v/>
      </c>
      <c r="J280" s="20"/>
      <c r="K280" s="20"/>
    </row>
    <row r="281" customFormat="false" ht="15" hidden="false" customHeight="false" outlineLevel="0" collapsed="false">
      <c r="A281" s="21"/>
      <c r="B281" s="33" t="n">
        <f aca="false">IF($A281="",0,INT(($A281-Macrociclo!$C$11)/7)+1)</f>
        <v>0</v>
      </c>
      <c r="C281" s="20"/>
      <c r="D281" s="22"/>
      <c r="E281" s="22"/>
      <c r="F281" s="22"/>
      <c r="G281" s="22"/>
      <c r="H281" s="33" t="n">
        <f aca="false">IF(COUNT($D281:$G281)&lt;4,0,SUM($D281:$G281))</f>
        <v>0</v>
      </c>
      <c r="I281" s="19" t="str">
        <f aca="false">IF($H281=0,"",IF($H281&lt;=8,"Ótimo",IF($H281&lt;=12,"Bom",IF($H281&lt;=16,"Regular",IF($H281&lt;=20,"Alerta","Crítico")))))</f>
        <v/>
      </c>
      <c r="J281" s="20"/>
      <c r="K281" s="20"/>
    </row>
    <row r="282" customFormat="false" ht="15" hidden="false" customHeight="false" outlineLevel="0" collapsed="false">
      <c r="A282" s="21"/>
      <c r="B282" s="33" t="n">
        <f aca="false">IF($A282="",0,INT(($A282-Macrociclo!$C$11)/7)+1)</f>
        <v>0</v>
      </c>
      <c r="C282" s="20"/>
      <c r="D282" s="22"/>
      <c r="E282" s="22"/>
      <c r="F282" s="22"/>
      <c r="G282" s="22"/>
      <c r="H282" s="33" t="n">
        <f aca="false">IF(COUNT($D282:$G282)&lt;4,0,SUM($D282:$G282))</f>
        <v>0</v>
      </c>
      <c r="I282" s="19" t="str">
        <f aca="false">IF($H282=0,"",IF($H282&lt;=8,"Ótimo",IF($H282&lt;=12,"Bom",IF($H282&lt;=16,"Regular",IF($H282&lt;=20,"Alerta","Crítico")))))</f>
        <v/>
      </c>
      <c r="J282" s="20"/>
      <c r="K282" s="20"/>
    </row>
    <row r="283" customFormat="false" ht="15" hidden="false" customHeight="false" outlineLevel="0" collapsed="false">
      <c r="A283" s="21"/>
      <c r="B283" s="33" t="n">
        <f aca="false">IF($A283="",0,INT(($A283-Macrociclo!$C$11)/7)+1)</f>
        <v>0</v>
      </c>
      <c r="C283" s="20"/>
      <c r="D283" s="22"/>
      <c r="E283" s="22"/>
      <c r="F283" s="22"/>
      <c r="G283" s="22"/>
      <c r="H283" s="33" t="n">
        <f aca="false">IF(COUNT($D283:$G283)&lt;4,0,SUM($D283:$G283))</f>
        <v>0</v>
      </c>
      <c r="I283" s="19" t="str">
        <f aca="false">IF($H283=0,"",IF($H283&lt;=8,"Ótimo",IF($H283&lt;=12,"Bom",IF($H283&lt;=16,"Regular",IF($H283&lt;=20,"Alerta","Crítico")))))</f>
        <v/>
      </c>
      <c r="J283" s="20"/>
      <c r="K283" s="20"/>
    </row>
    <row r="284" customFormat="false" ht="15" hidden="false" customHeight="false" outlineLevel="0" collapsed="false">
      <c r="A284" s="21"/>
      <c r="B284" s="33" t="n">
        <f aca="false">IF($A284="",0,INT(($A284-Macrociclo!$C$11)/7)+1)</f>
        <v>0</v>
      </c>
      <c r="C284" s="20"/>
      <c r="D284" s="22"/>
      <c r="E284" s="22"/>
      <c r="F284" s="22"/>
      <c r="G284" s="22"/>
      <c r="H284" s="33" t="n">
        <f aca="false">IF(COUNT($D284:$G284)&lt;4,0,SUM($D284:$G284))</f>
        <v>0</v>
      </c>
      <c r="I284" s="19" t="str">
        <f aca="false">IF($H284=0,"",IF($H284&lt;=8,"Ótimo",IF($H284&lt;=12,"Bom",IF($H284&lt;=16,"Regular",IF($H284&lt;=20,"Alerta","Crítico")))))</f>
        <v/>
      </c>
      <c r="J284" s="20"/>
      <c r="K284" s="20"/>
    </row>
    <row r="285" customFormat="false" ht="15" hidden="false" customHeight="false" outlineLevel="0" collapsed="false">
      <c r="A285" s="21"/>
      <c r="B285" s="33" t="n">
        <f aca="false">IF($A285="",0,INT(($A285-Macrociclo!$C$11)/7)+1)</f>
        <v>0</v>
      </c>
      <c r="C285" s="20"/>
      <c r="D285" s="22"/>
      <c r="E285" s="22"/>
      <c r="F285" s="22"/>
      <c r="G285" s="22"/>
      <c r="H285" s="33" t="n">
        <f aca="false">IF(COUNT($D285:$G285)&lt;4,0,SUM($D285:$G285))</f>
        <v>0</v>
      </c>
      <c r="I285" s="19" t="str">
        <f aca="false">IF($H285=0,"",IF($H285&lt;=8,"Ótimo",IF($H285&lt;=12,"Bom",IF($H285&lt;=16,"Regular",IF($H285&lt;=20,"Alerta","Crítico")))))</f>
        <v/>
      </c>
      <c r="J285" s="20"/>
      <c r="K285" s="20"/>
    </row>
    <row r="286" customFormat="false" ht="15" hidden="false" customHeight="false" outlineLevel="0" collapsed="false">
      <c r="A286" s="21"/>
      <c r="B286" s="33" t="n">
        <f aca="false">IF($A286="",0,INT(($A286-Macrociclo!$C$11)/7)+1)</f>
        <v>0</v>
      </c>
      <c r="C286" s="20"/>
      <c r="D286" s="22"/>
      <c r="E286" s="22"/>
      <c r="F286" s="22"/>
      <c r="G286" s="22"/>
      <c r="H286" s="33" t="n">
        <f aca="false">IF(COUNT($D286:$G286)&lt;4,0,SUM($D286:$G286))</f>
        <v>0</v>
      </c>
      <c r="I286" s="19" t="str">
        <f aca="false">IF($H286=0,"",IF($H286&lt;=8,"Ótimo",IF($H286&lt;=12,"Bom",IF($H286&lt;=16,"Regular",IF($H286&lt;=20,"Alerta","Crítico")))))</f>
        <v/>
      </c>
      <c r="J286" s="20"/>
      <c r="K286" s="20"/>
    </row>
    <row r="287" customFormat="false" ht="15" hidden="false" customHeight="false" outlineLevel="0" collapsed="false">
      <c r="A287" s="21"/>
      <c r="B287" s="33" t="n">
        <f aca="false">IF($A287="",0,INT(($A287-Macrociclo!$C$11)/7)+1)</f>
        <v>0</v>
      </c>
      <c r="C287" s="20"/>
      <c r="D287" s="22"/>
      <c r="E287" s="22"/>
      <c r="F287" s="22"/>
      <c r="G287" s="22"/>
      <c r="H287" s="33" t="n">
        <f aca="false">IF(COUNT($D287:$G287)&lt;4,0,SUM($D287:$G287))</f>
        <v>0</v>
      </c>
      <c r="I287" s="19" t="str">
        <f aca="false">IF($H287=0,"",IF($H287&lt;=8,"Ótimo",IF($H287&lt;=12,"Bom",IF($H287&lt;=16,"Regular",IF($H287&lt;=20,"Alerta","Crítico")))))</f>
        <v/>
      </c>
      <c r="J287" s="20"/>
      <c r="K287" s="20"/>
    </row>
    <row r="288" customFormat="false" ht="15" hidden="false" customHeight="false" outlineLevel="0" collapsed="false">
      <c r="A288" s="21"/>
      <c r="B288" s="33" t="n">
        <f aca="false">IF($A288="",0,INT(($A288-Macrociclo!$C$11)/7)+1)</f>
        <v>0</v>
      </c>
      <c r="C288" s="20"/>
      <c r="D288" s="22"/>
      <c r="E288" s="22"/>
      <c r="F288" s="22"/>
      <c r="G288" s="22"/>
      <c r="H288" s="33" t="n">
        <f aca="false">IF(COUNT($D288:$G288)&lt;4,0,SUM($D288:$G288))</f>
        <v>0</v>
      </c>
      <c r="I288" s="19" t="str">
        <f aca="false">IF($H288=0,"",IF($H288&lt;=8,"Ótimo",IF($H288&lt;=12,"Bom",IF($H288&lt;=16,"Regular",IF($H288&lt;=20,"Alerta","Crítico")))))</f>
        <v/>
      </c>
      <c r="J288" s="20"/>
      <c r="K288" s="20"/>
    </row>
    <row r="289" customFormat="false" ht="15" hidden="false" customHeight="false" outlineLevel="0" collapsed="false">
      <c r="A289" s="21"/>
      <c r="B289" s="33" t="n">
        <f aca="false">IF($A289="",0,INT(($A289-Macrociclo!$C$11)/7)+1)</f>
        <v>0</v>
      </c>
      <c r="C289" s="20"/>
      <c r="D289" s="22"/>
      <c r="E289" s="22"/>
      <c r="F289" s="22"/>
      <c r="G289" s="22"/>
      <c r="H289" s="33" t="n">
        <f aca="false">IF(COUNT($D289:$G289)&lt;4,0,SUM($D289:$G289))</f>
        <v>0</v>
      </c>
      <c r="I289" s="19" t="str">
        <f aca="false">IF($H289=0,"",IF($H289&lt;=8,"Ótimo",IF($H289&lt;=12,"Bom",IF($H289&lt;=16,"Regular",IF($H289&lt;=20,"Alerta","Crítico")))))</f>
        <v/>
      </c>
      <c r="J289" s="20"/>
      <c r="K289" s="20"/>
    </row>
    <row r="290" customFormat="false" ht="15" hidden="false" customHeight="false" outlineLevel="0" collapsed="false">
      <c r="A290" s="21"/>
      <c r="B290" s="33" t="n">
        <f aca="false">IF($A290="",0,INT(($A290-Macrociclo!$C$11)/7)+1)</f>
        <v>0</v>
      </c>
      <c r="C290" s="20"/>
      <c r="D290" s="22"/>
      <c r="E290" s="22"/>
      <c r="F290" s="22"/>
      <c r="G290" s="22"/>
      <c r="H290" s="33" t="n">
        <f aca="false">IF(COUNT($D290:$G290)&lt;4,0,SUM($D290:$G290))</f>
        <v>0</v>
      </c>
      <c r="I290" s="19" t="str">
        <f aca="false">IF($H290=0,"",IF($H290&lt;=8,"Ótimo",IF($H290&lt;=12,"Bom",IF($H290&lt;=16,"Regular",IF($H290&lt;=20,"Alerta","Crítico")))))</f>
        <v/>
      </c>
      <c r="J290" s="20"/>
      <c r="K290" s="20"/>
    </row>
    <row r="291" customFormat="false" ht="15" hidden="false" customHeight="false" outlineLevel="0" collapsed="false">
      <c r="A291" s="21"/>
      <c r="B291" s="33" t="n">
        <f aca="false">IF($A291="",0,INT(($A291-Macrociclo!$C$11)/7)+1)</f>
        <v>0</v>
      </c>
      <c r="C291" s="20"/>
      <c r="D291" s="22"/>
      <c r="E291" s="22"/>
      <c r="F291" s="22"/>
      <c r="G291" s="22"/>
      <c r="H291" s="33" t="n">
        <f aca="false">IF(COUNT($D291:$G291)&lt;4,0,SUM($D291:$G291))</f>
        <v>0</v>
      </c>
      <c r="I291" s="19" t="str">
        <f aca="false">IF($H291=0,"",IF($H291&lt;=8,"Ótimo",IF($H291&lt;=12,"Bom",IF($H291&lt;=16,"Regular",IF($H291&lt;=20,"Alerta","Crítico")))))</f>
        <v/>
      </c>
      <c r="J291" s="20"/>
      <c r="K291" s="20"/>
    </row>
    <row r="292" customFormat="false" ht="15" hidden="false" customHeight="false" outlineLevel="0" collapsed="false">
      <c r="A292" s="21"/>
      <c r="B292" s="33" t="n">
        <f aca="false">IF($A292="",0,INT(($A292-Macrociclo!$C$11)/7)+1)</f>
        <v>0</v>
      </c>
      <c r="C292" s="20"/>
      <c r="D292" s="22"/>
      <c r="E292" s="22"/>
      <c r="F292" s="22"/>
      <c r="G292" s="22"/>
      <c r="H292" s="33" t="n">
        <f aca="false">IF(COUNT($D292:$G292)&lt;4,0,SUM($D292:$G292))</f>
        <v>0</v>
      </c>
      <c r="I292" s="19" t="str">
        <f aca="false">IF($H292=0,"",IF($H292&lt;=8,"Ótimo",IF($H292&lt;=12,"Bom",IF($H292&lt;=16,"Regular",IF($H292&lt;=20,"Alerta","Crítico")))))</f>
        <v/>
      </c>
      <c r="J292" s="20"/>
      <c r="K292" s="20"/>
    </row>
    <row r="293" customFormat="false" ht="15" hidden="false" customHeight="false" outlineLevel="0" collapsed="false">
      <c r="A293" s="21"/>
      <c r="B293" s="33" t="n">
        <f aca="false">IF($A293="",0,INT(($A293-Macrociclo!$C$11)/7)+1)</f>
        <v>0</v>
      </c>
      <c r="C293" s="20"/>
      <c r="D293" s="22"/>
      <c r="E293" s="22"/>
      <c r="F293" s="22"/>
      <c r="G293" s="22"/>
      <c r="H293" s="33" t="n">
        <f aca="false">IF(COUNT($D293:$G293)&lt;4,0,SUM($D293:$G293))</f>
        <v>0</v>
      </c>
      <c r="I293" s="19" t="str">
        <f aca="false">IF($H293=0,"",IF($H293&lt;=8,"Ótimo",IF($H293&lt;=12,"Bom",IF($H293&lt;=16,"Regular",IF($H293&lt;=20,"Alerta","Crítico")))))</f>
        <v/>
      </c>
      <c r="J293" s="20"/>
      <c r="K293" s="20"/>
    </row>
    <row r="294" customFormat="false" ht="15" hidden="false" customHeight="false" outlineLevel="0" collapsed="false">
      <c r="A294" s="21"/>
      <c r="B294" s="33" t="n">
        <f aca="false">IF($A294="",0,INT(($A294-Macrociclo!$C$11)/7)+1)</f>
        <v>0</v>
      </c>
      <c r="C294" s="20"/>
      <c r="D294" s="22"/>
      <c r="E294" s="22"/>
      <c r="F294" s="22"/>
      <c r="G294" s="22"/>
      <c r="H294" s="33" t="n">
        <f aca="false">IF(COUNT($D294:$G294)&lt;4,0,SUM($D294:$G294))</f>
        <v>0</v>
      </c>
      <c r="I294" s="19" t="str">
        <f aca="false">IF($H294=0,"",IF($H294&lt;=8,"Ótimo",IF($H294&lt;=12,"Bom",IF($H294&lt;=16,"Regular",IF($H294&lt;=20,"Alerta","Crítico")))))</f>
        <v/>
      </c>
      <c r="J294" s="20"/>
      <c r="K294" s="20"/>
    </row>
    <row r="295" customFormat="false" ht="15" hidden="false" customHeight="false" outlineLevel="0" collapsed="false">
      <c r="A295" s="21"/>
      <c r="B295" s="33" t="n">
        <f aca="false">IF($A295="",0,INT(($A295-Macrociclo!$C$11)/7)+1)</f>
        <v>0</v>
      </c>
      <c r="C295" s="20"/>
      <c r="D295" s="22"/>
      <c r="E295" s="22"/>
      <c r="F295" s="22"/>
      <c r="G295" s="22"/>
      <c r="H295" s="33" t="n">
        <f aca="false">IF(COUNT($D295:$G295)&lt;4,0,SUM($D295:$G295))</f>
        <v>0</v>
      </c>
      <c r="I295" s="19" t="str">
        <f aca="false">IF($H295=0,"",IF($H295&lt;=8,"Ótimo",IF($H295&lt;=12,"Bom",IF($H295&lt;=16,"Regular",IF($H295&lt;=20,"Alerta","Crítico")))))</f>
        <v/>
      </c>
      <c r="J295" s="20"/>
      <c r="K295" s="20"/>
    </row>
    <row r="296" customFormat="false" ht="15" hidden="false" customHeight="false" outlineLevel="0" collapsed="false">
      <c r="A296" s="21"/>
      <c r="B296" s="33" t="n">
        <f aca="false">IF($A296="",0,INT(($A296-Macrociclo!$C$11)/7)+1)</f>
        <v>0</v>
      </c>
      <c r="C296" s="20"/>
      <c r="D296" s="22"/>
      <c r="E296" s="22"/>
      <c r="F296" s="22"/>
      <c r="G296" s="22"/>
      <c r="H296" s="33" t="n">
        <f aca="false">IF(COUNT($D296:$G296)&lt;4,0,SUM($D296:$G296))</f>
        <v>0</v>
      </c>
      <c r="I296" s="19" t="str">
        <f aca="false">IF($H296=0,"",IF($H296&lt;=8,"Ótimo",IF($H296&lt;=12,"Bom",IF($H296&lt;=16,"Regular",IF($H296&lt;=20,"Alerta","Crítico")))))</f>
        <v/>
      </c>
      <c r="J296" s="20"/>
      <c r="K296" s="20"/>
    </row>
    <row r="297" customFormat="false" ht="15" hidden="false" customHeight="false" outlineLevel="0" collapsed="false">
      <c r="A297" s="21"/>
      <c r="B297" s="33" t="n">
        <f aca="false">IF($A297="",0,INT(($A297-Macrociclo!$C$11)/7)+1)</f>
        <v>0</v>
      </c>
      <c r="C297" s="20"/>
      <c r="D297" s="22"/>
      <c r="E297" s="22"/>
      <c r="F297" s="22"/>
      <c r="G297" s="22"/>
      <c r="H297" s="33" t="n">
        <f aca="false">IF(COUNT($D297:$G297)&lt;4,0,SUM($D297:$G297))</f>
        <v>0</v>
      </c>
      <c r="I297" s="19" t="str">
        <f aca="false">IF($H297=0,"",IF($H297&lt;=8,"Ótimo",IF($H297&lt;=12,"Bom",IF($H297&lt;=16,"Regular",IF($H297&lt;=20,"Alerta","Crítico")))))</f>
        <v/>
      </c>
      <c r="J297" s="20"/>
      <c r="K297" s="20"/>
    </row>
    <row r="298" customFormat="false" ht="15" hidden="false" customHeight="false" outlineLevel="0" collapsed="false">
      <c r="A298" s="21"/>
      <c r="B298" s="33" t="n">
        <f aca="false">IF($A298="",0,INT(($A298-Macrociclo!$C$11)/7)+1)</f>
        <v>0</v>
      </c>
      <c r="C298" s="20"/>
      <c r="D298" s="22"/>
      <c r="E298" s="22"/>
      <c r="F298" s="22"/>
      <c r="G298" s="22"/>
      <c r="H298" s="33" t="n">
        <f aca="false">IF(COUNT($D298:$G298)&lt;4,0,SUM($D298:$G298))</f>
        <v>0</v>
      </c>
      <c r="I298" s="19" t="str">
        <f aca="false">IF($H298=0,"",IF($H298&lt;=8,"Ótimo",IF($H298&lt;=12,"Bom",IF($H298&lt;=16,"Regular",IF($H298&lt;=20,"Alerta","Crítico")))))</f>
        <v/>
      </c>
      <c r="J298" s="20"/>
      <c r="K298" s="20"/>
    </row>
    <row r="299" customFormat="false" ht="15" hidden="false" customHeight="false" outlineLevel="0" collapsed="false">
      <c r="A299" s="21"/>
      <c r="B299" s="33" t="n">
        <f aca="false">IF($A299="",0,INT(($A299-Macrociclo!$C$11)/7)+1)</f>
        <v>0</v>
      </c>
      <c r="C299" s="20"/>
      <c r="D299" s="22"/>
      <c r="E299" s="22"/>
      <c r="F299" s="22"/>
      <c r="G299" s="22"/>
      <c r="H299" s="33" t="n">
        <f aca="false">IF(COUNT($D299:$G299)&lt;4,0,SUM($D299:$G299))</f>
        <v>0</v>
      </c>
      <c r="I299" s="19" t="str">
        <f aca="false">IF($H299=0,"",IF($H299&lt;=8,"Ótimo",IF($H299&lt;=12,"Bom",IF($H299&lt;=16,"Regular",IF($H299&lt;=20,"Alerta","Crítico")))))</f>
        <v/>
      </c>
      <c r="J299" s="20"/>
      <c r="K299" s="20"/>
    </row>
    <row r="300" customFormat="false" ht="15" hidden="false" customHeight="false" outlineLevel="0" collapsed="false">
      <c r="A300" s="21"/>
      <c r="B300" s="33" t="n">
        <f aca="false">IF($A300="",0,INT(($A300-Macrociclo!$C$11)/7)+1)</f>
        <v>0</v>
      </c>
      <c r="C300" s="20"/>
      <c r="D300" s="22"/>
      <c r="E300" s="22"/>
      <c r="F300" s="22"/>
      <c r="G300" s="22"/>
      <c r="H300" s="33" t="n">
        <f aca="false">IF(COUNT($D300:$G300)&lt;4,0,SUM($D300:$G300))</f>
        <v>0</v>
      </c>
      <c r="I300" s="19" t="str">
        <f aca="false">IF($H300=0,"",IF($H300&lt;=8,"Ótimo",IF($H300&lt;=12,"Bom",IF($H300&lt;=16,"Regular",IF($H300&lt;=20,"Alerta","Crítico")))))</f>
        <v/>
      </c>
      <c r="J300" s="20"/>
      <c r="K300" s="20"/>
    </row>
    <row r="301" customFormat="false" ht="15" hidden="false" customHeight="false" outlineLevel="0" collapsed="false">
      <c r="A301" s="21"/>
      <c r="B301" s="33" t="n">
        <f aca="false">IF($A301="",0,INT(($A301-Macrociclo!$C$11)/7)+1)</f>
        <v>0</v>
      </c>
      <c r="C301" s="20"/>
      <c r="D301" s="22"/>
      <c r="E301" s="22"/>
      <c r="F301" s="22"/>
      <c r="G301" s="22"/>
      <c r="H301" s="33" t="n">
        <f aca="false">IF(COUNT($D301:$G301)&lt;4,0,SUM($D301:$G301))</f>
        <v>0</v>
      </c>
      <c r="I301" s="19" t="str">
        <f aca="false">IF($H301=0,"",IF($H301&lt;=8,"Ótimo",IF($H301&lt;=12,"Bom",IF($H301&lt;=16,"Regular",IF($H301&lt;=20,"Alerta","Crítico")))))</f>
        <v/>
      </c>
      <c r="J301" s="20"/>
      <c r="K301" s="20"/>
    </row>
    <row r="302" customFormat="false" ht="15" hidden="false" customHeight="false" outlineLevel="0" collapsed="false">
      <c r="A302" s="21"/>
      <c r="B302" s="33" t="n">
        <f aca="false">IF($A302="",0,INT(($A302-Macrociclo!$C$11)/7)+1)</f>
        <v>0</v>
      </c>
      <c r="C302" s="20"/>
      <c r="D302" s="22"/>
      <c r="E302" s="22"/>
      <c r="F302" s="22"/>
      <c r="G302" s="22"/>
      <c r="H302" s="33" t="n">
        <f aca="false">IF(COUNT($D302:$G302)&lt;4,0,SUM($D302:$G302))</f>
        <v>0</v>
      </c>
      <c r="I302" s="19" t="str">
        <f aca="false">IF($H302=0,"",IF($H302&lt;=8,"Ótimo",IF($H302&lt;=12,"Bom",IF($H302&lt;=16,"Regular",IF($H302&lt;=20,"Alerta","Crítico")))))</f>
        <v/>
      </c>
      <c r="J302" s="20"/>
      <c r="K302" s="20"/>
    </row>
    <row r="303" customFormat="false" ht="15" hidden="false" customHeight="false" outlineLevel="0" collapsed="false">
      <c r="A303" s="21"/>
      <c r="B303" s="33" t="n">
        <f aca="false">IF($A303="",0,INT(($A303-Macrociclo!$C$11)/7)+1)</f>
        <v>0</v>
      </c>
      <c r="C303" s="20"/>
      <c r="D303" s="22"/>
      <c r="E303" s="22"/>
      <c r="F303" s="22"/>
      <c r="G303" s="22"/>
      <c r="H303" s="33" t="n">
        <f aca="false">IF(COUNT($D303:$G303)&lt;4,0,SUM($D303:$G303))</f>
        <v>0</v>
      </c>
      <c r="I303" s="19" t="str">
        <f aca="false">IF($H303=0,"",IF($H303&lt;=8,"Ótimo",IF($H303&lt;=12,"Bom",IF($H303&lt;=16,"Regular",IF($H303&lt;=20,"Alerta","Crítico")))))</f>
        <v/>
      </c>
      <c r="J303" s="20"/>
      <c r="K303" s="20"/>
    </row>
    <row r="304" customFormat="false" ht="15" hidden="false" customHeight="false" outlineLevel="0" collapsed="false">
      <c r="A304" s="21"/>
      <c r="B304" s="33" t="n">
        <f aca="false">IF($A304="",0,INT(($A304-Macrociclo!$C$11)/7)+1)</f>
        <v>0</v>
      </c>
      <c r="C304" s="20"/>
      <c r="D304" s="22"/>
      <c r="E304" s="22"/>
      <c r="F304" s="22"/>
      <c r="G304" s="22"/>
      <c r="H304" s="33" t="n">
        <f aca="false">IF(COUNT($D304:$G304)&lt;4,0,SUM($D304:$G304))</f>
        <v>0</v>
      </c>
      <c r="I304" s="19" t="str">
        <f aca="false">IF($H304=0,"",IF($H304&lt;=8,"Ótimo",IF($H304&lt;=12,"Bom",IF($H304&lt;=16,"Regular",IF($H304&lt;=20,"Alerta","Crítico")))))</f>
        <v/>
      </c>
      <c r="J304" s="20"/>
      <c r="K304" s="20"/>
    </row>
    <row r="305" customFormat="false" ht="15" hidden="false" customHeight="false" outlineLevel="0" collapsed="false">
      <c r="A305" s="21"/>
      <c r="B305" s="33" t="n">
        <f aca="false">IF($A305="",0,INT(($A305-Macrociclo!$C$11)/7)+1)</f>
        <v>0</v>
      </c>
      <c r="C305" s="20"/>
      <c r="D305" s="22"/>
      <c r="E305" s="22"/>
      <c r="F305" s="22"/>
      <c r="G305" s="22"/>
      <c r="H305" s="33" t="n">
        <f aca="false">IF(COUNT($D305:$G305)&lt;4,0,SUM($D305:$G305))</f>
        <v>0</v>
      </c>
      <c r="I305" s="19" t="str">
        <f aca="false">IF($H305=0,"",IF($H305&lt;=8,"Ótimo",IF($H305&lt;=12,"Bom",IF($H305&lt;=16,"Regular",IF($H305&lt;=20,"Alerta","Crítico")))))</f>
        <v/>
      </c>
      <c r="J305" s="20"/>
      <c r="K305" s="20"/>
    </row>
    <row r="306" customFormat="false" ht="15" hidden="false" customHeight="false" outlineLevel="0" collapsed="false">
      <c r="A306" s="21"/>
      <c r="B306" s="33" t="n">
        <f aca="false">IF($A306="",0,INT(($A306-Macrociclo!$C$11)/7)+1)</f>
        <v>0</v>
      </c>
      <c r="C306" s="20"/>
      <c r="D306" s="22"/>
      <c r="E306" s="22"/>
      <c r="F306" s="22"/>
      <c r="G306" s="22"/>
      <c r="H306" s="33" t="n">
        <f aca="false">IF(COUNT($D306:$G306)&lt;4,0,SUM($D306:$G306))</f>
        <v>0</v>
      </c>
      <c r="I306" s="19" t="str">
        <f aca="false">IF($H306=0,"",IF($H306&lt;=8,"Ótimo",IF($H306&lt;=12,"Bom",IF($H306&lt;=16,"Regular",IF($H306&lt;=20,"Alerta","Crítico")))))</f>
        <v/>
      </c>
      <c r="J306" s="20"/>
      <c r="K306" s="20"/>
    </row>
    <row r="307" customFormat="false" ht="15" hidden="false" customHeight="false" outlineLevel="0" collapsed="false">
      <c r="A307" s="21"/>
      <c r="B307" s="33" t="n">
        <f aca="false">IF($A307="",0,INT(($A307-Macrociclo!$C$11)/7)+1)</f>
        <v>0</v>
      </c>
      <c r="C307" s="20"/>
      <c r="D307" s="22"/>
      <c r="E307" s="22"/>
      <c r="F307" s="22"/>
      <c r="G307" s="22"/>
      <c r="H307" s="33" t="n">
        <f aca="false">IF(COUNT($D307:$G307)&lt;4,0,SUM($D307:$G307))</f>
        <v>0</v>
      </c>
      <c r="I307" s="19" t="str">
        <f aca="false">IF($H307=0,"",IF($H307&lt;=8,"Ótimo",IF($H307&lt;=12,"Bom",IF($H307&lt;=16,"Regular",IF($H307&lt;=20,"Alerta","Crítico")))))</f>
        <v/>
      </c>
      <c r="J307" s="20"/>
      <c r="K307" s="20"/>
    </row>
    <row r="308" customFormat="false" ht="15" hidden="false" customHeight="false" outlineLevel="0" collapsed="false">
      <c r="A308" s="21"/>
      <c r="B308" s="33" t="n">
        <f aca="false">IF($A308="",0,INT(($A308-Macrociclo!$C$11)/7)+1)</f>
        <v>0</v>
      </c>
      <c r="C308" s="20"/>
      <c r="D308" s="22"/>
      <c r="E308" s="22"/>
      <c r="F308" s="22"/>
      <c r="G308" s="22"/>
      <c r="H308" s="33" t="n">
        <f aca="false">IF(COUNT($D308:$G308)&lt;4,0,SUM($D308:$G308))</f>
        <v>0</v>
      </c>
      <c r="I308" s="19" t="str">
        <f aca="false">IF($H308=0,"",IF($H308&lt;=8,"Ótimo",IF($H308&lt;=12,"Bom",IF($H308&lt;=16,"Regular",IF($H308&lt;=20,"Alerta","Crítico")))))</f>
        <v/>
      </c>
      <c r="J308" s="20"/>
      <c r="K308" s="20"/>
    </row>
    <row r="309" customFormat="false" ht="15" hidden="false" customHeight="false" outlineLevel="0" collapsed="false">
      <c r="A309" s="21"/>
      <c r="B309" s="33" t="n">
        <f aca="false">IF($A309="",0,INT(($A309-Macrociclo!$C$11)/7)+1)</f>
        <v>0</v>
      </c>
      <c r="C309" s="20"/>
      <c r="D309" s="22"/>
      <c r="E309" s="22"/>
      <c r="F309" s="22"/>
      <c r="G309" s="22"/>
      <c r="H309" s="33" t="n">
        <f aca="false">IF(COUNT($D309:$G309)&lt;4,0,SUM($D309:$G309))</f>
        <v>0</v>
      </c>
      <c r="I309" s="19" t="str">
        <f aca="false">IF($H309=0,"",IF($H309&lt;=8,"Ótimo",IF($H309&lt;=12,"Bom",IF($H309&lt;=16,"Regular",IF($H309&lt;=20,"Alerta","Crítico")))))</f>
        <v/>
      </c>
      <c r="J309" s="20"/>
      <c r="K309" s="20"/>
    </row>
    <row r="310" customFormat="false" ht="15" hidden="false" customHeight="false" outlineLevel="0" collapsed="false">
      <c r="A310" s="21"/>
      <c r="B310" s="33" t="n">
        <f aca="false">IF($A310="",0,INT(($A310-Macrociclo!$C$11)/7)+1)</f>
        <v>0</v>
      </c>
      <c r="C310" s="20"/>
      <c r="D310" s="22"/>
      <c r="E310" s="22"/>
      <c r="F310" s="22"/>
      <c r="G310" s="22"/>
      <c r="H310" s="33" t="n">
        <f aca="false">IF(COUNT($D310:$G310)&lt;4,0,SUM($D310:$G310))</f>
        <v>0</v>
      </c>
      <c r="I310" s="19" t="str">
        <f aca="false">IF($H310=0,"",IF($H310&lt;=8,"Ótimo",IF($H310&lt;=12,"Bom",IF($H310&lt;=16,"Regular",IF($H310&lt;=20,"Alerta","Crítico")))))</f>
        <v/>
      </c>
      <c r="J310" s="20"/>
      <c r="K310" s="20"/>
    </row>
    <row r="311" customFormat="false" ht="15" hidden="false" customHeight="false" outlineLevel="0" collapsed="false">
      <c r="A311" s="21"/>
      <c r="B311" s="33" t="n">
        <f aca="false">IF($A311="",0,INT(($A311-Macrociclo!$C$11)/7)+1)</f>
        <v>0</v>
      </c>
      <c r="C311" s="20"/>
      <c r="D311" s="22"/>
      <c r="E311" s="22"/>
      <c r="F311" s="22"/>
      <c r="G311" s="22"/>
      <c r="H311" s="33" t="n">
        <f aca="false">IF(COUNT($D311:$G311)&lt;4,0,SUM($D311:$G311))</f>
        <v>0</v>
      </c>
      <c r="I311" s="19" t="str">
        <f aca="false">IF($H311=0,"",IF($H311&lt;=8,"Ótimo",IF($H311&lt;=12,"Bom",IF($H311&lt;=16,"Regular",IF($H311&lt;=20,"Alerta","Crítico")))))</f>
        <v/>
      </c>
      <c r="J311" s="20"/>
      <c r="K311" s="20"/>
    </row>
    <row r="312" customFormat="false" ht="15" hidden="false" customHeight="false" outlineLevel="0" collapsed="false">
      <c r="A312" s="21"/>
      <c r="B312" s="33" t="n">
        <f aca="false">IF($A312="",0,INT(($A312-Macrociclo!$C$11)/7)+1)</f>
        <v>0</v>
      </c>
      <c r="C312" s="20"/>
      <c r="D312" s="22"/>
      <c r="E312" s="22"/>
      <c r="F312" s="22"/>
      <c r="G312" s="22"/>
      <c r="H312" s="33" t="n">
        <f aca="false">IF(COUNT($D312:$G312)&lt;4,0,SUM($D312:$G312))</f>
        <v>0</v>
      </c>
      <c r="I312" s="19" t="str">
        <f aca="false">IF($H312=0,"",IF($H312&lt;=8,"Ótimo",IF($H312&lt;=12,"Bom",IF($H312&lt;=16,"Regular",IF($H312&lt;=20,"Alerta","Crítico")))))</f>
        <v/>
      </c>
      <c r="J312" s="20"/>
      <c r="K312" s="20"/>
    </row>
    <row r="313" customFormat="false" ht="15" hidden="false" customHeight="false" outlineLevel="0" collapsed="false">
      <c r="A313" s="21"/>
      <c r="B313" s="33" t="n">
        <f aca="false">IF($A313="",0,INT(($A313-Macrociclo!$C$11)/7)+1)</f>
        <v>0</v>
      </c>
      <c r="C313" s="20"/>
      <c r="D313" s="22"/>
      <c r="E313" s="22"/>
      <c r="F313" s="22"/>
      <c r="G313" s="22"/>
      <c r="H313" s="33" t="n">
        <f aca="false">IF(COUNT($D313:$G313)&lt;4,0,SUM($D313:$G313))</f>
        <v>0</v>
      </c>
      <c r="I313" s="19" t="str">
        <f aca="false">IF($H313=0,"",IF($H313&lt;=8,"Ótimo",IF($H313&lt;=12,"Bom",IF($H313&lt;=16,"Regular",IF($H313&lt;=20,"Alerta","Crítico")))))</f>
        <v/>
      </c>
      <c r="J313" s="20"/>
      <c r="K313" s="20"/>
    </row>
    <row r="314" customFormat="false" ht="15" hidden="false" customHeight="false" outlineLevel="0" collapsed="false">
      <c r="A314" s="21"/>
      <c r="B314" s="33" t="n">
        <f aca="false">IF($A314="",0,INT(($A314-Macrociclo!$C$11)/7)+1)</f>
        <v>0</v>
      </c>
      <c r="C314" s="20"/>
      <c r="D314" s="22"/>
      <c r="E314" s="22"/>
      <c r="F314" s="22"/>
      <c r="G314" s="22"/>
      <c r="H314" s="33" t="n">
        <f aca="false">IF(COUNT($D314:$G314)&lt;4,0,SUM($D314:$G314))</f>
        <v>0</v>
      </c>
      <c r="I314" s="19" t="str">
        <f aca="false">IF($H314=0,"",IF($H314&lt;=8,"Ótimo",IF($H314&lt;=12,"Bom",IF($H314&lt;=16,"Regular",IF($H314&lt;=20,"Alerta","Crítico")))))</f>
        <v/>
      </c>
      <c r="J314" s="20"/>
      <c r="K314" s="20"/>
    </row>
    <row r="315" customFormat="false" ht="15" hidden="false" customHeight="false" outlineLevel="0" collapsed="false">
      <c r="A315" s="21"/>
      <c r="B315" s="33" t="n">
        <f aca="false">IF($A315="",0,INT(($A315-Macrociclo!$C$11)/7)+1)</f>
        <v>0</v>
      </c>
      <c r="C315" s="20"/>
      <c r="D315" s="22"/>
      <c r="E315" s="22"/>
      <c r="F315" s="22"/>
      <c r="G315" s="22"/>
      <c r="H315" s="33" t="n">
        <f aca="false">IF(COUNT($D315:$G315)&lt;4,0,SUM($D315:$G315))</f>
        <v>0</v>
      </c>
      <c r="I315" s="19" t="str">
        <f aca="false">IF($H315=0,"",IF($H315&lt;=8,"Ótimo",IF($H315&lt;=12,"Bom",IF($H315&lt;=16,"Regular",IF($H315&lt;=20,"Alerta","Crítico")))))</f>
        <v/>
      </c>
      <c r="J315" s="20"/>
      <c r="K315" s="20"/>
    </row>
    <row r="316" customFormat="false" ht="15" hidden="false" customHeight="false" outlineLevel="0" collapsed="false">
      <c r="A316" s="21"/>
      <c r="B316" s="33" t="n">
        <f aca="false">IF($A316="",0,INT(($A316-Macrociclo!$C$11)/7)+1)</f>
        <v>0</v>
      </c>
      <c r="C316" s="20"/>
      <c r="D316" s="22"/>
      <c r="E316" s="22"/>
      <c r="F316" s="22"/>
      <c r="G316" s="22"/>
      <c r="H316" s="33" t="n">
        <f aca="false">IF(COUNT($D316:$G316)&lt;4,0,SUM($D316:$G316))</f>
        <v>0</v>
      </c>
      <c r="I316" s="19" t="str">
        <f aca="false">IF($H316=0,"",IF($H316&lt;=8,"Ótimo",IF($H316&lt;=12,"Bom",IF($H316&lt;=16,"Regular",IF($H316&lt;=20,"Alerta","Crítico")))))</f>
        <v/>
      </c>
      <c r="J316" s="20"/>
      <c r="K316" s="20"/>
    </row>
    <row r="317" customFormat="false" ht="15" hidden="false" customHeight="false" outlineLevel="0" collapsed="false">
      <c r="A317" s="21"/>
      <c r="B317" s="33" t="n">
        <f aca="false">IF($A317="",0,INT(($A317-Macrociclo!$C$11)/7)+1)</f>
        <v>0</v>
      </c>
      <c r="C317" s="20"/>
      <c r="D317" s="22"/>
      <c r="E317" s="22"/>
      <c r="F317" s="22"/>
      <c r="G317" s="22"/>
      <c r="H317" s="33" t="n">
        <f aca="false">IF(COUNT($D317:$G317)&lt;4,0,SUM($D317:$G317))</f>
        <v>0</v>
      </c>
      <c r="I317" s="19" t="str">
        <f aca="false">IF($H317=0,"",IF($H317&lt;=8,"Ótimo",IF($H317&lt;=12,"Bom",IF($H317&lt;=16,"Regular",IF($H317&lt;=20,"Alerta","Crítico")))))</f>
        <v/>
      </c>
      <c r="J317" s="20"/>
      <c r="K317" s="20"/>
    </row>
    <row r="318" customFormat="false" ht="15" hidden="false" customHeight="false" outlineLevel="0" collapsed="false">
      <c r="A318" s="21"/>
      <c r="B318" s="33" t="n">
        <f aca="false">IF($A318="",0,INT(($A318-Macrociclo!$C$11)/7)+1)</f>
        <v>0</v>
      </c>
      <c r="C318" s="20"/>
      <c r="D318" s="22"/>
      <c r="E318" s="22"/>
      <c r="F318" s="22"/>
      <c r="G318" s="22"/>
      <c r="H318" s="33" t="n">
        <f aca="false">IF(COUNT($D318:$G318)&lt;4,0,SUM($D318:$G318))</f>
        <v>0</v>
      </c>
      <c r="I318" s="19" t="str">
        <f aca="false">IF($H318=0,"",IF($H318&lt;=8,"Ótimo",IF($H318&lt;=12,"Bom",IF($H318&lt;=16,"Regular",IF($H318&lt;=20,"Alerta","Crítico")))))</f>
        <v/>
      </c>
      <c r="J318" s="20"/>
      <c r="K318" s="20"/>
    </row>
    <row r="319" customFormat="false" ht="15" hidden="false" customHeight="false" outlineLevel="0" collapsed="false">
      <c r="A319" s="21"/>
      <c r="B319" s="33" t="n">
        <f aca="false">IF($A319="",0,INT(($A319-Macrociclo!$C$11)/7)+1)</f>
        <v>0</v>
      </c>
      <c r="C319" s="20"/>
      <c r="D319" s="22"/>
      <c r="E319" s="22"/>
      <c r="F319" s="22"/>
      <c r="G319" s="22"/>
      <c r="H319" s="33" t="n">
        <f aca="false">IF(COUNT($D319:$G319)&lt;4,0,SUM($D319:$G319))</f>
        <v>0</v>
      </c>
      <c r="I319" s="19" t="str">
        <f aca="false">IF($H319=0,"",IF($H319&lt;=8,"Ótimo",IF($H319&lt;=12,"Bom",IF($H319&lt;=16,"Regular",IF($H319&lt;=20,"Alerta","Crítico")))))</f>
        <v/>
      </c>
      <c r="J319" s="20"/>
      <c r="K319" s="20"/>
    </row>
    <row r="320" customFormat="false" ht="15" hidden="false" customHeight="false" outlineLevel="0" collapsed="false">
      <c r="A320" s="21"/>
      <c r="B320" s="33" t="n">
        <f aca="false">IF($A320="",0,INT(($A320-Macrociclo!$C$11)/7)+1)</f>
        <v>0</v>
      </c>
      <c r="C320" s="20"/>
      <c r="D320" s="22"/>
      <c r="E320" s="22"/>
      <c r="F320" s="22"/>
      <c r="G320" s="22"/>
      <c r="H320" s="33" t="n">
        <f aca="false">IF(COUNT($D320:$G320)&lt;4,0,SUM($D320:$G320))</f>
        <v>0</v>
      </c>
      <c r="I320" s="19" t="str">
        <f aca="false">IF($H320=0,"",IF($H320&lt;=8,"Ótimo",IF($H320&lt;=12,"Bom",IF($H320&lt;=16,"Regular",IF($H320&lt;=20,"Alerta","Crítico")))))</f>
        <v/>
      </c>
      <c r="J320" s="20"/>
      <c r="K320" s="20"/>
    </row>
    <row r="321" customFormat="false" ht="15" hidden="false" customHeight="false" outlineLevel="0" collapsed="false">
      <c r="A321" s="21"/>
      <c r="B321" s="33" t="n">
        <f aca="false">IF($A321="",0,INT(($A321-Macrociclo!$C$11)/7)+1)</f>
        <v>0</v>
      </c>
      <c r="C321" s="20"/>
      <c r="D321" s="22"/>
      <c r="E321" s="22"/>
      <c r="F321" s="22"/>
      <c r="G321" s="22"/>
      <c r="H321" s="33" t="n">
        <f aca="false">IF(COUNT($D321:$G321)&lt;4,0,SUM($D321:$G321))</f>
        <v>0</v>
      </c>
      <c r="I321" s="19" t="str">
        <f aca="false">IF($H321=0,"",IF($H321&lt;=8,"Ótimo",IF($H321&lt;=12,"Bom",IF($H321&lt;=16,"Regular",IF($H321&lt;=20,"Alerta","Crítico")))))</f>
        <v/>
      </c>
      <c r="J321" s="20"/>
      <c r="K321" s="20"/>
    </row>
    <row r="322" customFormat="false" ht="15" hidden="false" customHeight="false" outlineLevel="0" collapsed="false">
      <c r="A322" s="21"/>
      <c r="B322" s="33" t="n">
        <f aca="false">IF($A322="",0,INT(($A322-Macrociclo!$C$11)/7)+1)</f>
        <v>0</v>
      </c>
      <c r="C322" s="20"/>
      <c r="D322" s="22"/>
      <c r="E322" s="22"/>
      <c r="F322" s="22"/>
      <c r="G322" s="22"/>
      <c r="H322" s="33" t="n">
        <f aca="false">IF(COUNT($D322:$G322)&lt;4,0,SUM($D322:$G322))</f>
        <v>0</v>
      </c>
      <c r="I322" s="19" t="str">
        <f aca="false">IF($H322=0,"",IF($H322&lt;=8,"Ótimo",IF($H322&lt;=12,"Bom",IF($H322&lt;=16,"Regular",IF($H322&lt;=20,"Alerta","Crítico")))))</f>
        <v/>
      </c>
      <c r="J322" s="20"/>
      <c r="K322" s="20"/>
    </row>
    <row r="323" customFormat="false" ht="15" hidden="false" customHeight="false" outlineLevel="0" collapsed="false">
      <c r="A323" s="21"/>
      <c r="B323" s="33" t="n">
        <f aca="false">IF($A323="",0,INT(($A323-Macrociclo!$C$11)/7)+1)</f>
        <v>0</v>
      </c>
      <c r="C323" s="20"/>
      <c r="D323" s="22"/>
      <c r="E323" s="22"/>
      <c r="F323" s="22"/>
      <c r="G323" s="22"/>
      <c r="H323" s="33" t="n">
        <f aca="false">IF(COUNT($D323:$G323)&lt;4,0,SUM($D323:$G323))</f>
        <v>0</v>
      </c>
      <c r="I323" s="19" t="str">
        <f aca="false">IF($H323=0,"",IF($H323&lt;=8,"Ótimo",IF($H323&lt;=12,"Bom",IF($H323&lt;=16,"Regular",IF($H323&lt;=20,"Alerta","Crítico")))))</f>
        <v/>
      </c>
      <c r="J323" s="20"/>
      <c r="K323" s="20"/>
    </row>
    <row r="324" customFormat="false" ht="15" hidden="false" customHeight="false" outlineLevel="0" collapsed="false">
      <c r="A324" s="21"/>
      <c r="B324" s="33" t="n">
        <f aca="false">IF($A324="",0,INT(($A324-Macrociclo!$C$11)/7)+1)</f>
        <v>0</v>
      </c>
      <c r="C324" s="20"/>
      <c r="D324" s="22"/>
      <c r="E324" s="22"/>
      <c r="F324" s="22"/>
      <c r="G324" s="22"/>
      <c r="H324" s="33" t="n">
        <f aca="false">IF(COUNT($D324:$G324)&lt;4,0,SUM($D324:$G324))</f>
        <v>0</v>
      </c>
      <c r="I324" s="19" t="str">
        <f aca="false">IF($H324=0,"",IF($H324&lt;=8,"Ótimo",IF($H324&lt;=12,"Bom",IF($H324&lt;=16,"Regular",IF($H324&lt;=20,"Alerta","Crítico")))))</f>
        <v/>
      </c>
      <c r="J324" s="20"/>
      <c r="K324" s="20"/>
    </row>
    <row r="325" customFormat="false" ht="15" hidden="false" customHeight="false" outlineLevel="0" collapsed="false">
      <c r="A325" s="21"/>
      <c r="B325" s="33" t="n">
        <f aca="false">IF($A325="",0,INT(($A325-Macrociclo!$C$11)/7)+1)</f>
        <v>0</v>
      </c>
      <c r="C325" s="20"/>
      <c r="D325" s="22"/>
      <c r="E325" s="22"/>
      <c r="F325" s="22"/>
      <c r="G325" s="22"/>
      <c r="H325" s="33" t="n">
        <f aca="false">IF(COUNT($D325:$G325)&lt;4,0,SUM($D325:$G325))</f>
        <v>0</v>
      </c>
      <c r="I325" s="19" t="str">
        <f aca="false">IF($H325=0,"",IF($H325&lt;=8,"Ótimo",IF($H325&lt;=12,"Bom",IF($H325&lt;=16,"Regular",IF($H325&lt;=20,"Alerta","Crítico")))))</f>
        <v/>
      </c>
      <c r="J325" s="20"/>
      <c r="K325" s="20"/>
    </row>
    <row r="326" customFormat="false" ht="15" hidden="false" customHeight="false" outlineLevel="0" collapsed="false">
      <c r="A326" s="21"/>
      <c r="B326" s="33" t="n">
        <f aca="false">IF($A326="",0,INT(($A326-Macrociclo!$C$11)/7)+1)</f>
        <v>0</v>
      </c>
      <c r="C326" s="20"/>
      <c r="D326" s="22"/>
      <c r="E326" s="22"/>
      <c r="F326" s="22"/>
      <c r="G326" s="22"/>
      <c r="H326" s="33" t="n">
        <f aca="false">IF(COUNT($D326:$G326)&lt;4,0,SUM($D326:$G326))</f>
        <v>0</v>
      </c>
      <c r="I326" s="19" t="str">
        <f aca="false">IF($H326=0,"",IF($H326&lt;=8,"Ótimo",IF($H326&lt;=12,"Bom",IF($H326&lt;=16,"Regular",IF($H326&lt;=20,"Alerta","Crítico")))))</f>
        <v/>
      </c>
      <c r="J326" s="20"/>
      <c r="K326" s="20"/>
    </row>
    <row r="327" customFormat="false" ht="15" hidden="false" customHeight="false" outlineLevel="0" collapsed="false">
      <c r="A327" s="21"/>
      <c r="B327" s="33" t="n">
        <f aca="false">IF($A327="",0,INT(($A327-Macrociclo!$C$11)/7)+1)</f>
        <v>0</v>
      </c>
      <c r="C327" s="20"/>
      <c r="D327" s="22"/>
      <c r="E327" s="22"/>
      <c r="F327" s="22"/>
      <c r="G327" s="22"/>
      <c r="H327" s="33" t="n">
        <f aca="false">IF(COUNT($D327:$G327)&lt;4,0,SUM($D327:$G327))</f>
        <v>0</v>
      </c>
      <c r="I327" s="19" t="str">
        <f aca="false">IF($H327=0,"",IF($H327&lt;=8,"Ótimo",IF($H327&lt;=12,"Bom",IF($H327&lt;=16,"Regular",IF($H327&lt;=20,"Alerta","Crítico")))))</f>
        <v/>
      </c>
      <c r="J327" s="20"/>
      <c r="K327" s="20"/>
    </row>
    <row r="328" customFormat="false" ht="15" hidden="false" customHeight="false" outlineLevel="0" collapsed="false">
      <c r="A328" s="21"/>
      <c r="B328" s="33" t="n">
        <f aca="false">IF($A328="",0,INT(($A328-Macrociclo!$C$11)/7)+1)</f>
        <v>0</v>
      </c>
      <c r="C328" s="20"/>
      <c r="D328" s="22"/>
      <c r="E328" s="22"/>
      <c r="F328" s="22"/>
      <c r="G328" s="22"/>
      <c r="H328" s="33" t="n">
        <f aca="false">IF(COUNT($D328:$G328)&lt;4,0,SUM($D328:$G328))</f>
        <v>0</v>
      </c>
      <c r="I328" s="19" t="str">
        <f aca="false">IF($H328=0,"",IF($H328&lt;=8,"Ótimo",IF($H328&lt;=12,"Bom",IF($H328&lt;=16,"Regular",IF($H328&lt;=20,"Alerta","Crítico")))))</f>
        <v/>
      </c>
      <c r="J328" s="20"/>
      <c r="K328" s="20"/>
    </row>
    <row r="329" customFormat="false" ht="15" hidden="false" customHeight="false" outlineLevel="0" collapsed="false">
      <c r="A329" s="21"/>
      <c r="B329" s="33" t="n">
        <f aca="false">IF($A329="",0,INT(($A329-Macrociclo!$C$11)/7)+1)</f>
        <v>0</v>
      </c>
      <c r="C329" s="20"/>
      <c r="D329" s="22"/>
      <c r="E329" s="22"/>
      <c r="F329" s="22"/>
      <c r="G329" s="22"/>
      <c r="H329" s="33" t="n">
        <f aca="false">IF(COUNT($D329:$G329)&lt;4,0,SUM($D329:$G329))</f>
        <v>0</v>
      </c>
      <c r="I329" s="19" t="str">
        <f aca="false">IF($H329=0,"",IF($H329&lt;=8,"Ótimo",IF($H329&lt;=12,"Bom",IF($H329&lt;=16,"Regular",IF($H329&lt;=20,"Alerta","Crítico")))))</f>
        <v/>
      </c>
      <c r="J329" s="20"/>
      <c r="K329" s="20"/>
    </row>
    <row r="330" customFormat="false" ht="15" hidden="false" customHeight="false" outlineLevel="0" collapsed="false">
      <c r="A330" s="21"/>
      <c r="B330" s="33" t="n">
        <f aca="false">IF($A330="",0,INT(($A330-Macrociclo!$C$11)/7)+1)</f>
        <v>0</v>
      </c>
      <c r="C330" s="20"/>
      <c r="D330" s="22"/>
      <c r="E330" s="22"/>
      <c r="F330" s="22"/>
      <c r="G330" s="22"/>
      <c r="H330" s="33" t="n">
        <f aca="false">IF(COUNT($D330:$G330)&lt;4,0,SUM($D330:$G330))</f>
        <v>0</v>
      </c>
      <c r="I330" s="19" t="str">
        <f aca="false">IF($H330=0,"",IF($H330&lt;=8,"Ótimo",IF($H330&lt;=12,"Bom",IF($H330&lt;=16,"Regular",IF($H330&lt;=20,"Alerta","Crítico")))))</f>
        <v/>
      </c>
      <c r="J330" s="20"/>
      <c r="K330" s="20"/>
    </row>
    <row r="331" customFormat="false" ht="15" hidden="false" customHeight="false" outlineLevel="0" collapsed="false">
      <c r="A331" s="21"/>
      <c r="B331" s="33" t="n">
        <f aca="false">IF($A331="",0,INT(($A331-Macrociclo!$C$11)/7)+1)</f>
        <v>0</v>
      </c>
      <c r="C331" s="20"/>
      <c r="D331" s="22"/>
      <c r="E331" s="22"/>
      <c r="F331" s="22"/>
      <c r="G331" s="22"/>
      <c r="H331" s="33" t="n">
        <f aca="false">IF(COUNT($D331:$G331)&lt;4,0,SUM($D331:$G331))</f>
        <v>0</v>
      </c>
      <c r="I331" s="19" t="str">
        <f aca="false">IF($H331=0,"",IF($H331&lt;=8,"Ótimo",IF($H331&lt;=12,"Bom",IF($H331&lt;=16,"Regular",IF($H331&lt;=20,"Alerta","Crítico")))))</f>
        <v/>
      </c>
      <c r="J331" s="20"/>
      <c r="K331" s="20"/>
    </row>
    <row r="332" customFormat="false" ht="15" hidden="false" customHeight="false" outlineLevel="0" collapsed="false">
      <c r="A332" s="21"/>
      <c r="B332" s="33" t="n">
        <f aca="false">IF($A332="",0,INT(($A332-Macrociclo!$C$11)/7)+1)</f>
        <v>0</v>
      </c>
      <c r="C332" s="20"/>
      <c r="D332" s="22"/>
      <c r="E332" s="22"/>
      <c r="F332" s="22"/>
      <c r="G332" s="22"/>
      <c r="H332" s="33" t="n">
        <f aca="false">IF(COUNT($D332:$G332)&lt;4,0,SUM($D332:$G332))</f>
        <v>0</v>
      </c>
      <c r="I332" s="19" t="str">
        <f aca="false">IF($H332=0,"",IF($H332&lt;=8,"Ótimo",IF($H332&lt;=12,"Bom",IF($H332&lt;=16,"Regular",IF($H332&lt;=20,"Alerta","Crítico")))))</f>
        <v/>
      </c>
      <c r="J332" s="20"/>
      <c r="K332" s="20"/>
    </row>
    <row r="333" customFormat="false" ht="15" hidden="false" customHeight="false" outlineLevel="0" collapsed="false">
      <c r="A333" s="21"/>
      <c r="B333" s="33" t="n">
        <f aca="false">IF($A333="",0,INT(($A333-Macrociclo!$C$11)/7)+1)</f>
        <v>0</v>
      </c>
      <c r="C333" s="20"/>
      <c r="D333" s="22"/>
      <c r="E333" s="22"/>
      <c r="F333" s="22"/>
      <c r="G333" s="22"/>
      <c r="H333" s="33" t="n">
        <f aca="false">IF(COUNT($D333:$G333)&lt;4,0,SUM($D333:$G333))</f>
        <v>0</v>
      </c>
      <c r="I333" s="19" t="str">
        <f aca="false">IF($H333=0,"",IF($H333&lt;=8,"Ótimo",IF($H333&lt;=12,"Bom",IF($H333&lt;=16,"Regular",IF($H333&lt;=20,"Alerta","Crítico")))))</f>
        <v/>
      </c>
      <c r="J333" s="20"/>
      <c r="K333" s="20"/>
    </row>
    <row r="334" customFormat="false" ht="15" hidden="false" customHeight="false" outlineLevel="0" collapsed="false">
      <c r="A334" s="21"/>
      <c r="B334" s="33" t="n">
        <f aca="false">IF($A334="",0,INT(($A334-Macrociclo!$C$11)/7)+1)</f>
        <v>0</v>
      </c>
      <c r="C334" s="20"/>
      <c r="D334" s="22"/>
      <c r="E334" s="22"/>
      <c r="F334" s="22"/>
      <c r="G334" s="22"/>
      <c r="H334" s="33" t="n">
        <f aca="false">IF(COUNT($D334:$G334)&lt;4,0,SUM($D334:$G334))</f>
        <v>0</v>
      </c>
      <c r="I334" s="19" t="str">
        <f aca="false">IF($H334=0,"",IF($H334&lt;=8,"Ótimo",IF($H334&lt;=12,"Bom",IF($H334&lt;=16,"Regular",IF($H334&lt;=20,"Alerta","Crítico")))))</f>
        <v/>
      </c>
      <c r="J334" s="20"/>
      <c r="K334" s="20"/>
    </row>
    <row r="335" customFormat="false" ht="15" hidden="false" customHeight="false" outlineLevel="0" collapsed="false">
      <c r="A335" s="21"/>
      <c r="B335" s="33" t="n">
        <f aca="false">IF($A335="",0,INT(($A335-Macrociclo!$C$11)/7)+1)</f>
        <v>0</v>
      </c>
      <c r="C335" s="20"/>
      <c r="D335" s="22"/>
      <c r="E335" s="22"/>
      <c r="F335" s="22"/>
      <c r="G335" s="22"/>
      <c r="H335" s="33" t="n">
        <f aca="false">IF(COUNT($D335:$G335)&lt;4,0,SUM($D335:$G335))</f>
        <v>0</v>
      </c>
      <c r="I335" s="19" t="str">
        <f aca="false">IF($H335=0,"",IF($H335&lt;=8,"Ótimo",IF($H335&lt;=12,"Bom",IF($H335&lt;=16,"Regular",IF($H335&lt;=20,"Alerta","Crítico")))))</f>
        <v/>
      </c>
      <c r="J335" s="20"/>
      <c r="K335" s="20"/>
    </row>
    <row r="336" customFormat="false" ht="15" hidden="false" customHeight="false" outlineLevel="0" collapsed="false">
      <c r="A336" s="21"/>
      <c r="B336" s="33" t="n">
        <f aca="false">IF($A336="",0,INT(($A336-Macrociclo!$C$11)/7)+1)</f>
        <v>0</v>
      </c>
      <c r="C336" s="20"/>
      <c r="D336" s="22"/>
      <c r="E336" s="22"/>
      <c r="F336" s="22"/>
      <c r="G336" s="22"/>
      <c r="H336" s="33" t="n">
        <f aca="false">IF(COUNT($D336:$G336)&lt;4,0,SUM($D336:$G336))</f>
        <v>0</v>
      </c>
      <c r="I336" s="19" t="str">
        <f aca="false">IF($H336=0,"",IF($H336&lt;=8,"Ótimo",IF($H336&lt;=12,"Bom",IF($H336&lt;=16,"Regular",IF($H336&lt;=20,"Alerta","Crítico")))))</f>
        <v/>
      </c>
      <c r="J336" s="20"/>
      <c r="K336" s="20"/>
    </row>
    <row r="337" customFormat="false" ht="15" hidden="false" customHeight="false" outlineLevel="0" collapsed="false">
      <c r="A337" s="21"/>
      <c r="B337" s="33" t="n">
        <f aca="false">IF($A337="",0,INT(($A337-Macrociclo!$C$11)/7)+1)</f>
        <v>0</v>
      </c>
      <c r="C337" s="20"/>
      <c r="D337" s="22"/>
      <c r="E337" s="22"/>
      <c r="F337" s="22"/>
      <c r="G337" s="22"/>
      <c r="H337" s="33" t="n">
        <f aca="false">IF(COUNT($D337:$G337)&lt;4,0,SUM($D337:$G337))</f>
        <v>0</v>
      </c>
      <c r="I337" s="19" t="str">
        <f aca="false">IF($H337=0,"",IF($H337&lt;=8,"Ótimo",IF($H337&lt;=12,"Bom",IF($H337&lt;=16,"Regular",IF($H337&lt;=20,"Alerta","Crítico")))))</f>
        <v/>
      </c>
      <c r="J337" s="20"/>
      <c r="K337" s="20"/>
    </row>
    <row r="338" customFormat="false" ht="15" hidden="false" customHeight="false" outlineLevel="0" collapsed="false">
      <c r="A338" s="21"/>
      <c r="B338" s="33" t="n">
        <f aca="false">IF($A338="",0,INT(($A338-Macrociclo!$C$11)/7)+1)</f>
        <v>0</v>
      </c>
      <c r="C338" s="20"/>
      <c r="D338" s="22"/>
      <c r="E338" s="22"/>
      <c r="F338" s="22"/>
      <c r="G338" s="22"/>
      <c r="H338" s="33" t="n">
        <f aca="false">IF(COUNT($D338:$G338)&lt;4,0,SUM($D338:$G338))</f>
        <v>0</v>
      </c>
      <c r="I338" s="19" t="str">
        <f aca="false">IF($H338=0,"",IF($H338&lt;=8,"Ótimo",IF($H338&lt;=12,"Bom",IF($H338&lt;=16,"Regular",IF($H338&lt;=20,"Alerta","Crítico")))))</f>
        <v/>
      </c>
      <c r="J338" s="20"/>
      <c r="K338" s="20"/>
    </row>
    <row r="339" customFormat="false" ht="15" hidden="false" customHeight="false" outlineLevel="0" collapsed="false">
      <c r="A339" s="21"/>
      <c r="B339" s="33" t="n">
        <f aca="false">IF($A339="",0,INT(($A339-Macrociclo!$C$11)/7)+1)</f>
        <v>0</v>
      </c>
      <c r="C339" s="20"/>
      <c r="D339" s="22"/>
      <c r="E339" s="22"/>
      <c r="F339" s="22"/>
      <c r="G339" s="22"/>
      <c r="H339" s="33" t="n">
        <f aca="false">IF(COUNT($D339:$G339)&lt;4,0,SUM($D339:$G339))</f>
        <v>0</v>
      </c>
      <c r="I339" s="19" t="str">
        <f aca="false">IF($H339=0,"",IF($H339&lt;=8,"Ótimo",IF($H339&lt;=12,"Bom",IF($H339&lt;=16,"Regular",IF($H339&lt;=20,"Alerta","Crítico")))))</f>
        <v/>
      </c>
      <c r="J339" s="20"/>
      <c r="K339" s="20"/>
    </row>
    <row r="340" customFormat="false" ht="15" hidden="false" customHeight="false" outlineLevel="0" collapsed="false">
      <c r="A340" s="21"/>
      <c r="B340" s="33" t="n">
        <f aca="false">IF($A340="",0,INT(($A340-Macrociclo!$C$11)/7)+1)</f>
        <v>0</v>
      </c>
      <c r="C340" s="20"/>
      <c r="D340" s="22"/>
      <c r="E340" s="22"/>
      <c r="F340" s="22"/>
      <c r="G340" s="22"/>
      <c r="H340" s="33" t="n">
        <f aca="false">IF(COUNT($D340:$G340)&lt;4,0,SUM($D340:$G340))</f>
        <v>0</v>
      </c>
      <c r="I340" s="19" t="str">
        <f aca="false">IF($H340=0,"",IF($H340&lt;=8,"Ótimo",IF($H340&lt;=12,"Bom",IF($H340&lt;=16,"Regular",IF($H340&lt;=20,"Alerta","Crítico")))))</f>
        <v/>
      </c>
      <c r="J340" s="20"/>
      <c r="K340" s="20"/>
    </row>
    <row r="341" customFormat="false" ht="15" hidden="false" customHeight="false" outlineLevel="0" collapsed="false">
      <c r="A341" s="21"/>
      <c r="B341" s="33" t="n">
        <f aca="false">IF($A341="",0,INT(($A341-Macrociclo!$C$11)/7)+1)</f>
        <v>0</v>
      </c>
      <c r="C341" s="20"/>
      <c r="D341" s="22"/>
      <c r="E341" s="22"/>
      <c r="F341" s="22"/>
      <c r="G341" s="22"/>
      <c r="H341" s="33" t="n">
        <f aca="false">IF(COUNT($D341:$G341)&lt;4,0,SUM($D341:$G341))</f>
        <v>0</v>
      </c>
      <c r="I341" s="19" t="str">
        <f aca="false">IF($H341=0,"",IF($H341&lt;=8,"Ótimo",IF($H341&lt;=12,"Bom",IF($H341&lt;=16,"Regular",IF($H341&lt;=20,"Alerta","Crítico")))))</f>
        <v/>
      </c>
      <c r="J341" s="20"/>
      <c r="K341" s="20"/>
    </row>
    <row r="342" customFormat="false" ht="15" hidden="false" customHeight="false" outlineLevel="0" collapsed="false">
      <c r="A342" s="21"/>
      <c r="B342" s="33" t="n">
        <f aca="false">IF($A342="",0,INT(($A342-Macrociclo!$C$11)/7)+1)</f>
        <v>0</v>
      </c>
      <c r="C342" s="20"/>
      <c r="D342" s="22"/>
      <c r="E342" s="22"/>
      <c r="F342" s="22"/>
      <c r="G342" s="22"/>
      <c r="H342" s="33" t="n">
        <f aca="false">IF(COUNT($D342:$G342)&lt;4,0,SUM($D342:$G342))</f>
        <v>0</v>
      </c>
      <c r="I342" s="19" t="str">
        <f aca="false">IF($H342=0,"",IF($H342&lt;=8,"Ótimo",IF($H342&lt;=12,"Bom",IF($H342&lt;=16,"Regular",IF($H342&lt;=20,"Alerta","Crítico")))))</f>
        <v/>
      </c>
      <c r="J342" s="20"/>
      <c r="K342" s="20"/>
    </row>
    <row r="343" customFormat="false" ht="15" hidden="false" customHeight="false" outlineLevel="0" collapsed="false">
      <c r="A343" s="21"/>
      <c r="B343" s="33" t="n">
        <f aca="false">IF($A343="",0,INT(($A343-Macrociclo!$C$11)/7)+1)</f>
        <v>0</v>
      </c>
      <c r="C343" s="20"/>
      <c r="D343" s="22"/>
      <c r="E343" s="22"/>
      <c r="F343" s="22"/>
      <c r="G343" s="22"/>
      <c r="H343" s="33" t="n">
        <f aca="false">IF(COUNT($D343:$G343)&lt;4,0,SUM($D343:$G343))</f>
        <v>0</v>
      </c>
      <c r="I343" s="19" t="str">
        <f aca="false">IF($H343=0,"",IF($H343&lt;=8,"Ótimo",IF($H343&lt;=12,"Bom",IF($H343&lt;=16,"Regular",IF($H343&lt;=20,"Alerta","Crítico")))))</f>
        <v/>
      </c>
      <c r="J343" s="20"/>
      <c r="K343" s="20"/>
    </row>
    <row r="344" customFormat="false" ht="15" hidden="false" customHeight="false" outlineLevel="0" collapsed="false">
      <c r="A344" s="21"/>
      <c r="B344" s="33" t="n">
        <f aca="false">IF($A344="",0,INT(($A344-Macrociclo!$C$11)/7)+1)</f>
        <v>0</v>
      </c>
      <c r="C344" s="20"/>
      <c r="D344" s="22"/>
      <c r="E344" s="22"/>
      <c r="F344" s="22"/>
      <c r="G344" s="22"/>
      <c r="H344" s="33" t="n">
        <f aca="false">IF(COUNT($D344:$G344)&lt;4,0,SUM($D344:$G344))</f>
        <v>0</v>
      </c>
      <c r="I344" s="19" t="str">
        <f aca="false">IF($H344=0,"",IF($H344&lt;=8,"Ótimo",IF($H344&lt;=12,"Bom",IF($H344&lt;=16,"Regular",IF($H344&lt;=20,"Alerta","Crítico")))))</f>
        <v/>
      </c>
      <c r="J344" s="20"/>
      <c r="K344" s="20"/>
    </row>
    <row r="345" customFormat="false" ht="15" hidden="false" customHeight="false" outlineLevel="0" collapsed="false">
      <c r="A345" s="21"/>
      <c r="B345" s="33" t="n">
        <f aca="false">IF($A345="",0,INT(($A345-Macrociclo!$C$11)/7)+1)</f>
        <v>0</v>
      </c>
      <c r="C345" s="20"/>
      <c r="D345" s="22"/>
      <c r="E345" s="22"/>
      <c r="F345" s="22"/>
      <c r="G345" s="22"/>
      <c r="H345" s="33" t="n">
        <f aca="false">IF(COUNT($D345:$G345)&lt;4,0,SUM($D345:$G345))</f>
        <v>0</v>
      </c>
      <c r="I345" s="19" t="str">
        <f aca="false">IF($H345=0,"",IF($H345&lt;=8,"Ótimo",IF($H345&lt;=12,"Bom",IF($H345&lt;=16,"Regular",IF($H345&lt;=20,"Alerta","Crítico")))))</f>
        <v/>
      </c>
      <c r="J345" s="20"/>
      <c r="K345" s="20"/>
    </row>
    <row r="346" customFormat="false" ht="15" hidden="false" customHeight="false" outlineLevel="0" collapsed="false">
      <c r="A346" s="21"/>
      <c r="B346" s="33" t="n">
        <f aca="false">IF($A346="",0,INT(($A346-Macrociclo!$C$11)/7)+1)</f>
        <v>0</v>
      </c>
      <c r="C346" s="20"/>
      <c r="D346" s="22"/>
      <c r="E346" s="22"/>
      <c r="F346" s="22"/>
      <c r="G346" s="22"/>
      <c r="H346" s="33" t="n">
        <f aca="false">IF(COUNT($D346:$G346)&lt;4,0,SUM($D346:$G346))</f>
        <v>0</v>
      </c>
      <c r="I346" s="19" t="str">
        <f aca="false">IF($H346=0,"",IF($H346&lt;=8,"Ótimo",IF($H346&lt;=12,"Bom",IF($H346&lt;=16,"Regular",IF($H346&lt;=20,"Alerta","Crítico")))))</f>
        <v/>
      </c>
      <c r="J346" s="20"/>
      <c r="K346" s="20"/>
    </row>
    <row r="347" customFormat="false" ht="15" hidden="false" customHeight="false" outlineLevel="0" collapsed="false">
      <c r="A347" s="21"/>
      <c r="B347" s="33" t="n">
        <f aca="false">IF($A347="",0,INT(($A347-Macrociclo!$C$11)/7)+1)</f>
        <v>0</v>
      </c>
      <c r="C347" s="20"/>
      <c r="D347" s="22"/>
      <c r="E347" s="22"/>
      <c r="F347" s="22"/>
      <c r="G347" s="22"/>
      <c r="H347" s="33" t="n">
        <f aca="false">IF(COUNT($D347:$G347)&lt;4,0,SUM($D347:$G347))</f>
        <v>0</v>
      </c>
      <c r="I347" s="19" t="str">
        <f aca="false">IF($H347=0,"",IF($H347&lt;=8,"Ótimo",IF($H347&lt;=12,"Bom",IF($H347&lt;=16,"Regular",IF($H347&lt;=20,"Alerta","Crítico")))))</f>
        <v/>
      </c>
      <c r="J347" s="20"/>
      <c r="K347" s="20"/>
    </row>
    <row r="348" customFormat="false" ht="15" hidden="false" customHeight="false" outlineLevel="0" collapsed="false">
      <c r="A348" s="21"/>
      <c r="B348" s="33" t="n">
        <f aca="false">IF($A348="",0,INT(($A348-Macrociclo!$C$11)/7)+1)</f>
        <v>0</v>
      </c>
      <c r="C348" s="20"/>
      <c r="D348" s="22"/>
      <c r="E348" s="22"/>
      <c r="F348" s="22"/>
      <c r="G348" s="22"/>
      <c r="H348" s="33" t="n">
        <f aca="false">IF(COUNT($D348:$G348)&lt;4,0,SUM($D348:$G348))</f>
        <v>0</v>
      </c>
      <c r="I348" s="19" t="str">
        <f aca="false">IF($H348=0,"",IF($H348&lt;=8,"Ótimo",IF($H348&lt;=12,"Bom",IF($H348&lt;=16,"Regular",IF($H348&lt;=20,"Alerta","Crítico")))))</f>
        <v/>
      </c>
      <c r="J348" s="20"/>
      <c r="K348" s="20"/>
    </row>
    <row r="349" customFormat="false" ht="15" hidden="false" customHeight="false" outlineLevel="0" collapsed="false">
      <c r="A349" s="21"/>
      <c r="B349" s="33" t="n">
        <f aca="false">IF($A349="",0,INT(($A349-Macrociclo!$C$11)/7)+1)</f>
        <v>0</v>
      </c>
      <c r="C349" s="20"/>
      <c r="D349" s="22"/>
      <c r="E349" s="22"/>
      <c r="F349" s="22"/>
      <c r="G349" s="22"/>
      <c r="H349" s="33" t="n">
        <f aca="false">IF(COUNT($D349:$G349)&lt;4,0,SUM($D349:$G349))</f>
        <v>0</v>
      </c>
      <c r="I349" s="19" t="str">
        <f aca="false">IF($H349=0,"",IF($H349&lt;=8,"Ótimo",IF($H349&lt;=12,"Bom",IF($H349&lt;=16,"Regular",IF($H349&lt;=20,"Alerta","Crítico")))))</f>
        <v/>
      </c>
      <c r="J349" s="20"/>
      <c r="K349" s="20"/>
    </row>
    <row r="350" customFormat="false" ht="15" hidden="false" customHeight="false" outlineLevel="0" collapsed="false">
      <c r="A350" s="21"/>
      <c r="B350" s="33" t="n">
        <f aca="false">IF($A350="",0,INT(($A350-Macrociclo!$C$11)/7)+1)</f>
        <v>0</v>
      </c>
      <c r="C350" s="20"/>
      <c r="D350" s="22"/>
      <c r="E350" s="22"/>
      <c r="F350" s="22"/>
      <c r="G350" s="22"/>
      <c r="H350" s="33" t="n">
        <f aca="false">IF(COUNT($D350:$G350)&lt;4,0,SUM($D350:$G350))</f>
        <v>0</v>
      </c>
      <c r="I350" s="19" t="str">
        <f aca="false">IF($H350=0,"",IF($H350&lt;=8,"Ótimo",IF($H350&lt;=12,"Bom",IF($H350&lt;=16,"Regular",IF($H350&lt;=20,"Alerta","Crítico")))))</f>
        <v/>
      </c>
      <c r="J350" s="20"/>
      <c r="K350" s="20"/>
    </row>
    <row r="351" customFormat="false" ht="15" hidden="false" customHeight="false" outlineLevel="0" collapsed="false">
      <c r="A351" s="21"/>
      <c r="B351" s="33" t="n">
        <f aca="false">IF($A351="",0,INT(($A351-Macrociclo!$C$11)/7)+1)</f>
        <v>0</v>
      </c>
      <c r="C351" s="20"/>
      <c r="D351" s="22"/>
      <c r="E351" s="22"/>
      <c r="F351" s="22"/>
      <c r="G351" s="22"/>
      <c r="H351" s="33" t="n">
        <f aca="false">IF(COUNT($D351:$G351)&lt;4,0,SUM($D351:$G351))</f>
        <v>0</v>
      </c>
      <c r="I351" s="19" t="str">
        <f aca="false">IF($H351=0,"",IF($H351&lt;=8,"Ótimo",IF($H351&lt;=12,"Bom",IF($H351&lt;=16,"Regular",IF($H351&lt;=20,"Alerta","Crítico")))))</f>
        <v/>
      </c>
      <c r="J351" s="20"/>
      <c r="K351" s="20"/>
    </row>
    <row r="352" customFormat="false" ht="15" hidden="false" customHeight="false" outlineLevel="0" collapsed="false">
      <c r="A352" s="21"/>
      <c r="B352" s="33" t="n">
        <f aca="false">IF($A352="",0,INT(($A352-Macrociclo!$C$11)/7)+1)</f>
        <v>0</v>
      </c>
      <c r="C352" s="20"/>
      <c r="D352" s="22"/>
      <c r="E352" s="22"/>
      <c r="F352" s="22"/>
      <c r="G352" s="22"/>
      <c r="H352" s="33" t="n">
        <f aca="false">IF(COUNT($D352:$G352)&lt;4,0,SUM($D352:$G352))</f>
        <v>0</v>
      </c>
      <c r="I352" s="19" t="str">
        <f aca="false">IF($H352=0,"",IF($H352&lt;=8,"Ótimo",IF($H352&lt;=12,"Bom",IF($H352&lt;=16,"Regular",IF($H352&lt;=20,"Alerta","Crítico")))))</f>
        <v/>
      </c>
      <c r="J352" s="20"/>
      <c r="K352" s="20"/>
    </row>
    <row r="353" customFormat="false" ht="15" hidden="false" customHeight="false" outlineLevel="0" collapsed="false">
      <c r="A353" s="21"/>
      <c r="B353" s="33" t="n">
        <f aca="false">IF($A353="",0,INT(($A353-Macrociclo!$C$11)/7)+1)</f>
        <v>0</v>
      </c>
      <c r="C353" s="20"/>
      <c r="D353" s="22"/>
      <c r="E353" s="22"/>
      <c r="F353" s="22"/>
      <c r="G353" s="22"/>
      <c r="H353" s="33" t="n">
        <f aca="false">IF(COUNT($D353:$G353)&lt;4,0,SUM($D353:$G353))</f>
        <v>0</v>
      </c>
      <c r="I353" s="19" t="str">
        <f aca="false">IF($H353=0,"",IF($H353&lt;=8,"Ótimo",IF($H353&lt;=12,"Bom",IF($H353&lt;=16,"Regular",IF($H353&lt;=20,"Alerta","Crítico")))))</f>
        <v/>
      </c>
      <c r="J353" s="20"/>
      <c r="K353" s="20"/>
    </row>
    <row r="354" customFormat="false" ht="15" hidden="false" customHeight="false" outlineLevel="0" collapsed="false">
      <c r="A354" s="21"/>
      <c r="B354" s="33" t="n">
        <f aca="false">IF($A354="",0,INT(($A354-Macrociclo!$C$11)/7)+1)</f>
        <v>0</v>
      </c>
      <c r="C354" s="20"/>
      <c r="D354" s="22"/>
      <c r="E354" s="22"/>
      <c r="F354" s="22"/>
      <c r="G354" s="22"/>
      <c r="H354" s="33" t="n">
        <f aca="false">IF(COUNT($D354:$G354)&lt;4,0,SUM($D354:$G354))</f>
        <v>0</v>
      </c>
      <c r="I354" s="19" t="str">
        <f aca="false">IF($H354=0,"",IF($H354&lt;=8,"Ótimo",IF($H354&lt;=12,"Bom",IF($H354&lt;=16,"Regular",IF($H354&lt;=20,"Alerta","Crítico")))))</f>
        <v/>
      </c>
      <c r="J354" s="20"/>
      <c r="K354" s="20"/>
    </row>
    <row r="355" customFormat="false" ht="15" hidden="false" customHeight="false" outlineLevel="0" collapsed="false">
      <c r="A355" s="21"/>
      <c r="B355" s="33" t="n">
        <f aca="false">IF($A355="",0,INT(($A355-Macrociclo!$C$11)/7)+1)</f>
        <v>0</v>
      </c>
      <c r="C355" s="20"/>
      <c r="D355" s="22"/>
      <c r="E355" s="22"/>
      <c r="F355" s="22"/>
      <c r="G355" s="22"/>
      <c r="H355" s="33" t="n">
        <f aca="false">IF(COUNT($D355:$G355)&lt;4,0,SUM($D355:$G355))</f>
        <v>0</v>
      </c>
      <c r="I355" s="19" t="str">
        <f aca="false">IF($H355=0,"",IF($H355&lt;=8,"Ótimo",IF($H355&lt;=12,"Bom",IF($H355&lt;=16,"Regular",IF($H355&lt;=20,"Alerta","Crítico")))))</f>
        <v/>
      </c>
      <c r="J355" s="20"/>
      <c r="K355" s="20"/>
    </row>
    <row r="356" customFormat="false" ht="15" hidden="false" customHeight="false" outlineLevel="0" collapsed="false">
      <c r="A356" s="21"/>
      <c r="B356" s="33" t="n">
        <f aca="false">IF($A356="",0,INT(($A356-Macrociclo!$C$11)/7)+1)</f>
        <v>0</v>
      </c>
      <c r="C356" s="20"/>
      <c r="D356" s="22"/>
      <c r="E356" s="22"/>
      <c r="F356" s="22"/>
      <c r="G356" s="22"/>
      <c r="H356" s="33" t="n">
        <f aca="false">IF(COUNT($D356:$G356)&lt;4,0,SUM($D356:$G356))</f>
        <v>0</v>
      </c>
      <c r="I356" s="19" t="str">
        <f aca="false">IF($H356=0,"",IF($H356&lt;=8,"Ótimo",IF($H356&lt;=12,"Bom",IF($H356&lt;=16,"Regular",IF($H356&lt;=20,"Alerta","Crítico")))))</f>
        <v/>
      </c>
      <c r="J356" s="20"/>
      <c r="K356" s="20"/>
    </row>
    <row r="357" customFormat="false" ht="15" hidden="false" customHeight="false" outlineLevel="0" collapsed="false">
      <c r="A357" s="21"/>
      <c r="B357" s="33" t="n">
        <f aca="false">IF($A357="",0,INT(($A357-Macrociclo!$C$11)/7)+1)</f>
        <v>0</v>
      </c>
      <c r="C357" s="20"/>
      <c r="D357" s="22"/>
      <c r="E357" s="22"/>
      <c r="F357" s="22"/>
      <c r="G357" s="22"/>
      <c r="H357" s="33" t="n">
        <f aca="false">IF(COUNT($D357:$G357)&lt;4,0,SUM($D357:$G357))</f>
        <v>0</v>
      </c>
      <c r="I357" s="19" t="str">
        <f aca="false">IF($H357=0,"",IF($H357&lt;=8,"Ótimo",IF($H357&lt;=12,"Bom",IF($H357&lt;=16,"Regular",IF($H357&lt;=20,"Alerta","Crítico")))))</f>
        <v/>
      </c>
      <c r="J357" s="20"/>
      <c r="K357" s="20"/>
    </row>
    <row r="358" customFormat="false" ht="15" hidden="false" customHeight="false" outlineLevel="0" collapsed="false">
      <c r="A358" s="21"/>
      <c r="B358" s="33" t="n">
        <f aca="false">IF($A358="",0,INT(($A358-Macrociclo!$C$11)/7)+1)</f>
        <v>0</v>
      </c>
      <c r="C358" s="20"/>
      <c r="D358" s="22"/>
      <c r="E358" s="22"/>
      <c r="F358" s="22"/>
      <c r="G358" s="22"/>
      <c r="H358" s="33" t="n">
        <f aca="false">IF(COUNT($D358:$G358)&lt;4,0,SUM($D358:$G358))</f>
        <v>0</v>
      </c>
      <c r="I358" s="19" t="str">
        <f aca="false">IF($H358=0,"",IF($H358&lt;=8,"Ótimo",IF($H358&lt;=12,"Bom",IF($H358&lt;=16,"Regular",IF($H358&lt;=20,"Alerta","Crítico")))))</f>
        <v/>
      </c>
      <c r="J358" s="20"/>
      <c r="K358" s="20"/>
    </row>
    <row r="359" customFormat="false" ht="15" hidden="false" customHeight="false" outlineLevel="0" collapsed="false">
      <c r="A359" s="21"/>
      <c r="B359" s="33" t="n">
        <f aca="false">IF($A359="",0,INT(($A359-Macrociclo!$C$11)/7)+1)</f>
        <v>0</v>
      </c>
      <c r="C359" s="20"/>
      <c r="D359" s="22"/>
      <c r="E359" s="22"/>
      <c r="F359" s="22"/>
      <c r="G359" s="22"/>
      <c r="H359" s="33" t="n">
        <f aca="false">IF(COUNT($D359:$G359)&lt;4,0,SUM($D359:$G359))</f>
        <v>0</v>
      </c>
      <c r="I359" s="19" t="str">
        <f aca="false">IF($H359=0,"",IF($H359&lt;=8,"Ótimo",IF($H359&lt;=12,"Bom",IF($H359&lt;=16,"Regular",IF($H359&lt;=20,"Alerta","Crítico")))))</f>
        <v/>
      </c>
      <c r="J359" s="20"/>
      <c r="K359" s="20"/>
    </row>
    <row r="360" customFormat="false" ht="15" hidden="false" customHeight="false" outlineLevel="0" collapsed="false">
      <c r="A360" s="21"/>
      <c r="B360" s="33" t="n">
        <f aca="false">IF($A360="",0,INT(($A360-Macrociclo!$C$11)/7)+1)</f>
        <v>0</v>
      </c>
      <c r="C360" s="20"/>
      <c r="D360" s="22"/>
      <c r="E360" s="22"/>
      <c r="F360" s="22"/>
      <c r="G360" s="22"/>
      <c r="H360" s="33" t="n">
        <f aca="false">IF(COUNT($D360:$G360)&lt;4,0,SUM($D360:$G360))</f>
        <v>0</v>
      </c>
      <c r="I360" s="19" t="str">
        <f aca="false">IF($H360=0,"",IF($H360&lt;=8,"Ótimo",IF($H360&lt;=12,"Bom",IF($H360&lt;=16,"Regular",IF($H360&lt;=20,"Alerta","Crítico")))))</f>
        <v/>
      </c>
      <c r="J360" s="20"/>
      <c r="K360" s="20"/>
    </row>
    <row r="361" customFormat="false" ht="15" hidden="false" customHeight="false" outlineLevel="0" collapsed="false">
      <c r="A361" s="21"/>
      <c r="B361" s="33" t="n">
        <f aca="false">IF($A361="",0,INT(($A361-Macrociclo!$C$11)/7)+1)</f>
        <v>0</v>
      </c>
      <c r="C361" s="20"/>
      <c r="D361" s="22"/>
      <c r="E361" s="22"/>
      <c r="F361" s="22"/>
      <c r="G361" s="22"/>
      <c r="H361" s="33" t="n">
        <f aca="false">IF(COUNT($D361:$G361)&lt;4,0,SUM($D361:$G361))</f>
        <v>0</v>
      </c>
      <c r="I361" s="19" t="str">
        <f aca="false">IF($H361=0,"",IF($H361&lt;=8,"Ótimo",IF($H361&lt;=12,"Bom",IF($H361&lt;=16,"Regular",IF($H361&lt;=20,"Alerta","Crítico")))))</f>
        <v/>
      </c>
      <c r="J361" s="20"/>
      <c r="K361" s="20"/>
    </row>
    <row r="362" customFormat="false" ht="15" hidden="false" customHeight="false" outlineLevel="0" collapsed="false">
      <c r="A362" s="21"/>
      <c r="B362" s="33" t="n">
        <f aca="false">IF($A362="",0,INT(($A362-Macrociclo!$C$11)/7)+1)</f>
        <v>0</v>
      </c>
      <c r="C362" s="20"/>
      <c r="D362" s="22"/>
      <c r="E362" s="22"/>
      <c r="F362" s="22"/>
      <c r="G362" s="22"/>
      <c r="H362" s="33" t="n">
        <f aca="false">IF(COUNT($D362:$G362)&lt;4,0,SUM($D362:$G362))</f>
        <v>0</v>
      </c>
      <c r="I362" s="19" t="str">
        <f aca="false">IF($H362=0,"",IF($H362&lt;=8,"Ótimo",IF($H362&lt;=12,"Bom",IF($H362&lt;=16,"Regular",IF($H362&lt;=20,"Alerta","Crítico")))))</f>
        <v/>
      </c>
      <c r="J362" s="20"/>
      <c r="K362" s="20"/>
    </row>
    <row r="363" customFormat="false" ht="15" hidden="false" customHeight="false" outlineLevel="0" collapsed="false">
      <c r="A363" s="21"/>
      <c r="B363" s="33" t="n">
        <f aca="false">IF($A363="",0,INT(($A363-Macrociclo!$C$11)/7)+1)</f>
        <v>0</v>
      </c>
      <c r="C363" s="20"/>
      <c r="D363" s="22"/>
      <c r="E363" s="22"/>
      <c r="F363" s="22"/>
      <c r="G363" s="22"/>
      <c r="H363" s="33" t="n">
        <f aca="false">IF(COUNT($D363:$G363)&lt;4,0,SUM($D363:$G363))</f>
        <v>0</v>
      </c>
      <c r="I363" s="19" t="str">
        <f aca="false">IF($H363=0,"",IF($H363&lt;=8,"Ótimo",IF($H363&lt;=12,"Bom",IF($H363&lt;=16,"Regular",IF($H363&lt;=20,"Alerta","Crítico")))))</f>
        <v/>
      </c>
      <c r="J363" s="20"/>
      <c r="K363" s="20"/>
    </row>
    <row r="364" customFormat="false" ht="15" hidden="false" customHeight="false" outlineLevel="0" collapsed="false">
      <c r="A364" s="21"/>
      <c r="B364" s="33" t="n">
        <f aca="false">IF($A364="",0,INT(($A364-Macrociclo!$C$11)/7)+1)</f>
        <v>0</v>
      </c>
      <c r="C364" s="20"/>
      <c r="D364" s="22"/>
      <c r="E364" s="22"/>
      <c r="F364" s="22"/>
      <c r="G364" s="22"/>
      <c r="H364" s="33" t="n">
        <f aca="false">IF(COUNT($D364:$G364)&lt;4,0,SUM($D364:$G364))</f>
        <v>0</v>
      </c>
      <c r="I364" s="19" t="str">
        <f aca="false">IF($H364=0,"",IF($H364&lt;=8,"Ótimo",IF($H364&lt;=12,"Bom",IF($H364&lt;=16,"Regular",IF($H364&lt;=20,"Alerta","Crítico")))))</f>
        <v/>
      </c>
      <c r="J364" s="20"/>
      <c r="K364" s="20"/>
    </row>
    <row r="365" customFormat="false" ht="15" hidden="false" customHeight="false" outlineLevel="0" collapsed="false">
      <c r="A365" s="21"/>
      <c r="B365" s="33" t="n">
        <f aca="false">IF($A365="",0,INT(($A365-Macrociclo!$C$11)/7)+1)</f>
        <v>0</v>
      </c>
      <c r="C365" s="20"/>
      <c r="D365" s="22"/>
      <c r="E365" s="22"/>
      <c r="F365" s="22"/>
      <c r="G365" s="22"/>
      <c r="H365" s="33" t="n">
        <f aca="false">IF(COUNT($D365:$G365)&lt;4,0,SUM($D365:$G365))</f>
        <v>0</v>
      </c>
      <c r="I365" s="19" t="str">
        <f aca="false">IF($H365=0,"",IF($H365&lt;=8,"Ótimo",IF($H365&lt;=12,"Bom",IF($H365&lt;=16,"Regular",IF($H365&lt;=20,"Alerta","Crítico")))))</f>
        <v/>
      </c>
      <c r="J365" s="20"/>
      <c r="K365" s="20"/>
    </row>
    <row r="366" customFormat="false" ht="15" hidden="false" customHeight="false" outlineLevel="0" collapsed="false">
      <c r="A366" s="21"/>
      <c r="B366" s="33" t="n">
        <f aca="false">IF($A366="",0,INT(($A366-Macrociclo!$C$11)/7)+1)</f>
        <v>0</v>
      </c>
      <c r="C366" s="20"/>
      <c r="D366" s="22"/>
      <c r="E366" s="22"/>
      <c r="F366" s="22"/>
      <c r="G366" s="22"/>
      <c r="H366" s="33" t="n">
        <f aca="false">IF(COUNT($D366:$G366)&lt;4,0,SUM($D366:$G366))</f>
        <v>0</v>
      </c>
      <c r="I366" s="19" t="str">
        <f aca="false">IF($H366=0,"",IF($H366&lt;=8,"Ótimo",IF($H366&lt;=12,"Bom",IF($H366&lt;=16,"Regular",IF($H366&lt;=20,"Alerta","Crítico")))))</f>
        <v/>
      </c>
      <c r="J366" s="20"/>
      <c r="K366" s="20"/>
    </row>
    <row r="367" customFormat="false" ht="15" hidden="false" customHeight="false" outlineLevel="0" collapsed="false">
      <c r="A367" s="21"/>
      <c r="B367" s="33" t="n">
        <f aca="false">IF($A367="",0,INT(($A367-Macrociclo!$C$11)/7)+1)</f>
        <v>0</v>
      </c>
      <c r="C367" s="20"/>
      <c r="D367" s="22"/>
      <c r="E367" s="22"/>
      <c r="F367" s="22"/>
      <c r="G367" s="22"/>
      <c r="H367" s="33" t="n">
        <f aca="false">IF(COUNT($D367:$G367)&lt;4,0,SUM($D367:$G367))</f>
        <v>0</v>
      </c>
      <c r="I367" s="19" t="str">
        <f aca="false">IF($H367=0,"",IF($H367&lt;=8,"Ótimo",IF($H367&lt;=12,"Bom",IF($H367&lt;=16,"Regular",IF($H367&lt;=20,"Alerta","Crítico")))))</f>
        <v/>
      </c>
      <c r="J367" s="20"/>
      <c r="K367" s="20"/>
    </row>
    <row r="368" customFormat="false" ht="15" hidden="false" customHeight="false" outlineLevel="0" collapsed="false">
      <c r="A368" s="21"/>
      <c r="B368" s="33" t="n">
        <f aca="false">IF($A368="",0,INT(($A368-Macrociclo!$C$11)/7)+1)</f>
        <v>0</v>
      </c>
      <c r="C368" s="20"/>
      <c r="D368" s="22"/>
      <c r="E368" s="22"/>
      <c r="F368" s="22"/>
      <c r="G368" s="22"/>
      <c r="H368" s="33" t="n">
        <f aca="false">IF(COUNT($D368:$G368)&lt;4,0,SUM($D368:$G368))</f>
        <v>0</v>
      </c>
      <c r="I368" s="19" t="str">
        <f aca="false">IF($H368=0,"",IF($H368&lt;=8,"Ótimo",IF($H368&lt;=12,"Bom",IF($H368&lt;=16,"Regular",IF($H368&lt;=20,"Alerta","Crítico")))))</f>
        <v/>
      </c>
      <c r="J368" s="20"/>
      <c r="K368" s="20"/>
    </row>
    <row r="369" customFormat="false" ht="15" hidden="false" customHeight="false" outlineLevel="0" collapsed="false">
      <c r="A369" s="21"/>
      <c r="B369" s="33" t="n">
        <f aca="false">IF($A369="",0,INT(($A369-Macrociclo!$C$11)/7)+1)</f>
        <v>0</v>
      </c>
      <c r="C369" s="20"/>
      <c r="D369" s="22"/>
      <c r="E369" s="22"/>
      <c r="F369" s="22"/>
      <c r="G369" s="22"/>
      <c r="H369" s="33" t="n">
        <f aca="false">IF(COUNT($D369:$G369)&lt;4,0,SUM($D369:$G369))</f>
        <v>0</v>
      </c>
      <c r="I369" s="19" t="str">
        <f aca="false">IF($H369=0,"",IF($H369&lt;=8,"Ótimo",IF($H369&lt;=12,"Bom",IF($H369&lt;=16,"Regular",IF($H369&lt;=20,"Alerta","Crítico")))))</f>
        <v/>
      </c>
      <c r="J369" s="20"/>
      <c r="K369" s="20"/>
    </row>
    <row r="370" customFormat="false" ht="15" hidden="false" customHeight="false" outlineLevel="0" collapsed="false">
      <c r="A370" s="21"/>
      <c r="B370" s="33" t="n">
        <f aca="false">IF($A370="",0,INT(($A370-Macrociclo!$C$11)/7)+1)</f>
        <v>0</v>
      </c>
      <c r="C370" s="20"/>
      <c r="D370" s="22"/>
      <c r="E370" s="22"/>
      <c r="F370" s="22"/>
      <c r="G370" s="22"/>
      <c r="H370" s="33" t="n">
        <f aca="false">IF(COUNT($D370:$G370)&lt;4,0,SUM($D370:$G370))</f>
        <v>0</v>
      </c>
      <c r="I370" s="19" t="str">
        <f aca="false">IF($H370=0,"",IF($H370&lt;=8,"Ótimo",IF($H370&lt;=12,"Bom",IF($H370&lt;=16,"Regular",IF($H370&lt;=20,"Alerta","Crítico")))))</f>
        <v/>
      </c>
      <c r="J370" s="20"/>
      <c r="K370" s="20"/>
    </row>
    <row r="371" customFormat="false" ht="15" hidden="false" customHeight="false" outlineLevel="0" collapsed="false">
      <c r="A371" s="21"/>
      <c r="B371" s="33" t="n">
        <f aca="false">IF($A371="",0,INT(($A371-Macrociclo!$C$11)/7)+1)</f>
        <v>0</v>
      </c>
      <c r="C371" s="20"/>
      <c r="D371" s="22"/>
      <c r="E371" s="22"/>
      <c r="F371" s="22"/>
      <c r="G371" s="22"/>
      <c r="H371" s="33" t="n">
        <f aca="false">IF(COUNT($D371:$G371)&lt;4,0,SUM($D371:$G371))</f>
        <v>0</v>
      </c>
      <c r="I371" s="19" t="str">
        <f aca="false">IF($H371=0,"",IF($H371&lt;=8,"Ótimo",IF($H371&lt;=12,"Bom",IF($H371&lt;=16,"Regular",IF($H371&lt;=20,"Alerta","Crítico")))))</f>
        <v/>
      </c>
      <c r="J371" s="20"/>
      <c r="K371" s="20"/>
    </row>
    <row r="372" customFormat="false" ht="15" hidden="false" customHeight="false" outlineLevel="0" collapsed="false">
      <c r="A372" s="21"/>
      <c r="B372" s="33" t="n">
        <f aca="false">IF($A372="",0,INT(($A372-Macrociclo!$C$11)/7)+1)</f>
        <v>0</v>
      </c>
      <c r="C372" s="20"/>
      <c r="D372" s="22"/>
      <c r="E372" s="22"/>
      <c r="F372" s="22"/>
      <c r="G372" s="22"/>
      <c r="H372" s="33" t="n">
        <f aca="false">IF(COUNT($D372:$G372)&lt;4,0,SUM($D372:$G372))</f>
        <v>0</v>
      </c>
      <c r="I372" s="19" t="str">
        <f aca="false">IF($H372=0,"",IF($H372&lt;=8,"Ótimo",IF($H372&lt;=12,"Bom",IF($H372&lt;=16,"Regular",IF($H372&lt;=20,"Alerta","Crítico")))))</f>
        <v/>
      </c>
      <c r="J372" s="20"/>
      <c r="K372" s="20"/>
    </row>
    <row r="373" customFormat="false" ht="15" hidden="false" customHeight="false" outlineLevel="0" collapsed="false">
      <c r="A373" s="21"/>
      <c r="B373" s="33" t="n">
        <f aca="false">IF($A373="",0,INT(($A373-Macrociclo!$C$11)/7)+1)</f>
        <v>0</v>
      </c>
      <c r="C373" s="20"/>
      <c r="D373" s="22"/>
      <c r="E373" s="22"/>
      <c r="F373" s="22"/>
      <c r="G373" s="22"/>
      <c r="H373" s="33" t="n">
        <f aca="false">IF(COUNT($D373:$G373)&lt;4,0,SUM($D373:$G373))</f>
        <v>0</v>
      </c>
      <c r="I373" s="19" t="str">
        <f aca="false">IF($H373=0,"",IF($H373&lt;=8,"Ótimo",IF($H373&lt;=12,"Bom",IF($H373&lt;=16,"Regular",IF($H373&lt;=20,"Alerta","Crítico")))))</f>
        <v/>
      </c>
      <c r="J373" s="20"/>
      <c r="K373" s="20"/>
    </row>
    <row r="374" customFormat="false" ht="15" hidden="false" customHeight="false" outlineLevel="0" collapsed="false">
      <c r="A374" s="21"/>
      <c r="B374" s="33" t="n">
        <f aca="false">IF($A374="",0,INT(($A374-Macrociclo!$C$11)/7)+1)</f>
        <v>0</v>
      </c>
      <c r="C374" s="20"/>
      <c r="D374" s="22"/>
      <c r="E374" s="22"/>
      <c r="F374" s="22"/>
      <c r="G374" s="22"/>
      <c r="H374" s="33" t="n">
        <f aca="false">IF(COUNT($D374:$G374)&lt;4,0,SUM($D374:$G374))</f>
        <v>0</v>
      </c>
      <c r="I374" s="19" t="str">
        <f aca="false">IF($H374=0,"",IF($H374&lt;=8,"Ótimo",IF($H374&lt;=12,"Bom",IF($H374&lt;=16,"Regular",IF($H374&lt;=20,"Alerta","Crítico")))))</f>
        <v/>
      </c>
      <c r="J374" s="20"/>
      <c r="K374" s="20"/>
    </row>
    <row r="375" customFormat="false" ht="15" hidden="false" customHeight="false" outlineLevel="0" collapsed="false">
      <c r="A375" s="21"/>
      <c r="B375" s="33" t="n">
        <f aca="false">IF($A375="",0,INT(($A375-Macrociclo!$C$11)/7)+1)</f>
        <v>0</v>
      </c>
      <c r="C375" s="20"/>
      <c r="D375" s="22"/>
      <c r="E375" s="22"/>
      <c r="F375" s="22"/>
      <c r="G375" s="22"/>
      <c r="H375" s="33" t="n">
        <f aca="false">IF(COUNT($D375:$G375)&lt;4,0,SUM($D375:$G375))</f>
        <v>0</v>
      </c>
      <c r="I375" s="19" t="str">
        <f aca="false">IF($H375=0,"",IF($H375&lt;=8,"Ótimo",IF($H375&lt;=12,"Bom",IF($H375&lt;=16,"Regular",IF($H375&lt;=20,"Alerta","Crítico")))))</f>
        <v/>
      </c>
      <c r="J375" s="20"/>
      <c r="K375" s="20"/>
    </row>
    <row r="376" customFormat="false" ht="15" hidden="false" customHeight="false" outlineLevel="0" collapsed="false">
      <c r="A376" s="21"/>
      <c r="B376" s="33" t="n">
        <f aca="false">IF($A376="",0,INT(($A376-Macrociclo!$C$11)/7)+1)</f>
        <v>0</v>
      </c>
      <c r="C376" s="20"/>
      <c r="D376" s="22"/>
      <c r="E376" s="22"/>
      <c r="F376" s="22"/>
      <c r="G376" s="22"/>
      <c r="H376" s="33" t="n">
        <f aca="false">IF(COUNT($D376:$G376)&lt;4,0,SUM($D376:$G376))</f>
        <v>0</v>
      </c>
      <c r="I376" s="19" t="str">
        <f aca="false">IF($H376=0,"",IF($H376&lt;=8,"Ótimo",IF($H376&lt;=12,"Bom",IF($H376&lt;=16,"Regular",IF($H376&lt;=20,"Alerta","Crítico")))))</f>
        <v/>
      </c>
      <c r="J376" s="20"/>
      <c r="K376" s="20"/>
    </row>
    <row r="377" customFormat="false" ht="15" hidden="false" customHeight="false" outlineLevel="0" collapsed="false">
      <c r="A377" s="21"/>
      <c r="B377" s="33" t="n">
        <f aca="false">IF($A377="",0,INT(($A377-Macrociclo!$C$11)/7)+1)</f>
        <v>0</v>
      </c>
      <c r="C377" s="20"/>
      <c r="D377" s="22"/>
      <c r="E377" s="22"/>
      <c r="F377" s="22"/>
      <c r="G377" s="22"/>
      <c r="H377" s="33" t="n">
        <f aca="false">IF(COUNT($D377:$G377)&lt;4,0,SUM($D377:$G377))</f>
        <v>0</v>
      </c>
      <c r="I377" s="19" t="str">
        <f aca="false">IF($H377=0,"",IF($H377&lt;=8,"Ótimo",IF($H377&lt;=12,"Bom",IF($H377&lt;=16,"Regular",IF($H377&lt;=20,"Alerta","Crítico")))))</f>
        <v/>
      </c>
      <c r="J377" s="20"/>
      <c r="K377" s="20"/>
    </row>
    <row r="378" customFormat="false" ht="15" hidden="false" customHeight="false" outlineLevel="0" collapsed="false">
      <c r="A378" s="21"/>
      <c r="B378" s="33" t="n">
        <f aca="false">IF($A378="",0,INT(($A378-Macrociclo!$C$11)/7)+1)</f>
        <v>0</v>
      </c>
      <c r="C378" s="20"/>
      <c r="D378" s="22"/>
      <c r="E378" s="22"/>
      <c r="F378" s="22"/>
      <c r="G378" s="22"/>
      <c r="H378" s="33" t="n">
        <f aca="false">IF(COUNT($D378:$G378)&lt;4,0,SUM($D378:$G378))</f>
        <v>0</v>
      </c>
      <c r="I378" s="19" t="str">
        <f aca="false">IF($H378=0,"",IF($H378&lt;=8,"Ótimo",IF($H378&lt;=12,"Bom",IF($H378&lt;=16,"Regular",IF($H378&lt;=20,"Alerta","Crítico")))))</f>
        <v/>
      </c>
      <c r="J378" s="20"/>
      <c r="K378" s="20"/>
    </row>
    <row r="379" customFormat="false" ht="15" hidden="false" customHeight="false" outlineLevel="0" collapsed="false">
      <c r="A379" s="21"/>
      <c r="B379" s="33" t="n">
        <f aca="false">IF($A379="",0,INT(($A379-Macrociclo!$C$11)/7)+1)</f>
        <v>0</v>
      </c>
      <c r="C379" s="20"/>
      <c r="D379" s="22"/>
      <c r="E379" s="22"/>
      <c r="F379" s="22"/>
      <c r="G379" s="22"/>
      <c r="H379" s="33" t="n">
        <f aca="false">IF(COUNT($D379:$G379)&lt;4,0,SUM($D379:$G379))</f>
        <v>0</v>
      </c>
      <c r="I379" s="19" t="str">
        <f aca="false">IF($H379=0,"",IF($H379&lt;=8,"Ótimo",IF($H379&lt;=12,"Bom",IF($H379&lt;=16,"Regular",IF($H379&lt;=20,"Alerta","Crítico")))))</f>
        <v/>
      </c>
      <c r="J379" s="20"/>
      <c r="K379" s="20"/>
    </row>
    <row r="380" customFormat="false" ht="15" hidden="false" customHeight="false" outlineLevel="0" collapsed="false">
      <c r="A380" s="21"/>
      <c r="B380" s="33" t="n">
        <f aca="false">IF($A380="",0,INT(($A380-Macrociclo!$C$11)/7)+1)</f>
        <v>0</v>
      </c>
      <c r="C380" s="20"/>
      <c r="D380" s="22"/>
      <c r="E380" s="22"/>
      <c r="F380" s="22"/>
      <c r="G380" s="22"/>
      <c r="H380" s="33" t="n">
        <f aca="false">IF(COUNT($D380:$G380)&lt;4,0,SUM($D380:$G380))</f>
        <v>0</v>
      </c>
      <c r="I380" s="19" t="str">
        <f aca="false">IF($H380=0,"",IF($H380&lt;=8,"Ótimo",IF($H380&lt;=12,"Bom",IF($H380&lt;=16,"Regular",IF($H380&lt;=20,"Alerta","Crítico")))))</f>
        <v/>
      </c>
      <c r="J380" s="20"/>
      <c r="K380" s="20"/>
    </row>
    <row r="381" customFormat="false" ht="15" hidden="false" customHeight="false" outlineLevel="0" collapsed="false">
      <c r="A381" s="21"/>
      <c r="B381" s="33" t="n">
        <f aca="false">IF($A381="",0,INT(($A381-Macrociclo!$C$11)/7)+1)</f>
        <v>0</v>
      </c>
      <c r="C381" s="20"/>
      <c r="D381" s="22"/>
      <c r="E381" s="22"/>
      <c r="F381" s="22"/>
      <c r="G381" s="22"/>
      <c r="H381" s="33" t="n">
        <f aca="false">IF(COUNT($D381:$G381)&lt;4,0,SUM($D381:$G381))</f>
        <v>0</v>
      </c>
      <c r="I381" s="19" t="str">
        <f aca="false">IF($H381=0,"",IF($H381&lt;=8,"Ótimo",IF($H381&lt;=12,"Bom",IF($H381&lt;=16,"Regular",IF($H381&lt;=20,"Alerta","Crítico")))))</f>
        <v/>
      </c>
      <c r="J381" s="20"/>
      <c r="K381" s="20"/>
    </row>
    <row r="382" customFormat="false" ht="15" hidden="false" customHeight="false" outlineLevel="0" collapsed="false">
      <c r="A382" s="21"/>
      <c r="B382" s="33" t="n">
        <f aca="false">IF($A382="",0,INT(($A382-Macrociclo!$C$11)/7)+1)</f>
        <v>0</v>
      </c>
      <c r="C382" s="20"/>
      <c r="D382" s="22"/>
      <c r="E382" s="22"/>
      <c r="F382" s="22"/>
      <c r="G382" s="22"/>
      <c r="H382" s="33" t="n">
        <f aca="false">IF(COUNT($D382:$G382)&lt;4,0,SUM($D382:$G382))</f>
        <v>0</v>
      </c>
      <c r="I382" s="19" t="str">
        <f aca="false">IF($H382=0,"",IF($H382&lt;=8,"Ótimo",IF($H382&lt;=12,"Bom",IF($H382&lt;=16,"Regular",IF($H382&lt;=20,"Alerta","Crítico")))))</f>
        <v/>
      </c>
      <c r="J382" s="20"/>
      <c r="K382" s="20"/>
    </row>
    <row r="383" customFormat="false" ht="15" hidden="false" customHeight="false" outlineLevel="0" collapsed="false">
      <c r="A383" s="21"/>
      <c r="B383" s="33" t="n">
        <f aca="false">IF($A383="",0,INT(($A383-Macrociclo!$C$11)/7)+1)</f>
        <v>0</v>
      </c>
      <c r="C383" s="20"/>
      <c r="D383" s="22"/>
      <c r="E383" s="22"/>
      <c r="F383" s="22"/>
      <c r="G383" s="22"/>
      <c r="H383" s="33" t="n">
        <f aca="false">IF(COUNT($D383:$G383)&lt;4,0,SUM($D383:$G383))</f>
        <v>0</v>
      </c>
      <c r="I383" s="19" t="str">
        <f aca="false">IF($H383=0,"",IF($H383&lt;=8,"Ótimo",IF($H383&lt;=12,"Bom",IF($H383&lt;=16,"Regular",IF($H383&lt;=20,"Alerta","Crítico")))))</f>
        <v/>
      </c>
      <c r="J383" s="20"/>
      <c r="K383" s="20"/>
    </row>
    <row r="384" customFormat="false" ht="15" hidden="false" customHeight="false" outlineLevel="0" collapsed="false">
      <c r="A384" s="21"/>
      <c r="B384" s="33" t="n">
        <f aca="false">IF($A384="",0,INT(($A384-Macrociclo!$C$11)/7)+1)</f>
        <v>0</v>
      </c>
      <c r="C384" s="20"/>
      <c r="D384" s="22"/>
      <c r="E384" s="22"/>
      <c r="F384" s="22"/>
      <c r="G384" s="22"/>
      <c r="H384" s="33" t="n">
        <f aca="false">IF(COUNT($D384:$G384)&lt;4,0,SUM($D384:$G384))</f>
        <v>0</v>
      </c>
      <c r="I384" s="19" t="str">
        <f aca="false">IF($H384=0,"",IF($H384&lt;=8,"Ótimo",IF($H384&lt;=12,"Bom",IF($H384&lt;=16,"Regular",IF($H384&lt;=20,"Alerta","Crítico")))))</f>
        <v/>
      </c>
      <c r="J384" s="20"/>
      <c r="K384" s="20"/>
    </row>
    <row r="385" customFormat="false" ht="15" hidden="false" customHeight="false" outlineLevel="0" collapsed="false">
      <c r="A385" s="21"/>
      <c r="B385" s="33" t="n">
        <f aca="false">IF($A385="",0,INT(($A385-Macrociclo!$C$11)/7)+1)</f>
        <v>0</v>
      </c>
      <c r="C385" s="20"/>
      <c r="D385" s="22"/>
      <c r="E385" s="22"/>
      <c r="F385" s="22"/>
      <c r="G385" s="22"/>
      <c r="H385" s="33" t="n">
        <f aca="false">IF(COUNT($D385:$G385)&lt;4,0,SUM($D385:$G385))</f>
        <v>0</v>
      </c>
      <c r="I385" s="19" t="str">
        <f aca="false">IF($H385=0,"",IF($H385&lt;=8,"Ótimo",IF($H385&lt;=12,"Bom",IF($H385&lt;=16,"Regular",IF($H385&lt;=20,"Alerta","Crítico")))))</f>
        <v/>
      </c>
      <c r="J385" s="20"/>
      <c r="K385" s="20"/>
    </row>
    <row r="386" customFormat="false" ht="15" hidden="false" customHeight="false" outlineLevel="0" collapsed="false">
      <c r="A386" s="21"/>
      <c r="B386" s="33" t="n">
        <f aca="false">IF($A386="",0,INT(($A386-Macrociclo!$C$11)/7)+1)</f>
        <v>0</v>
      </c>
      <c r="C386" s="20"/>
      <c r="D386" s="22"/>
      <c r="E386" s="22"/>
      <c r="F386" s="22"/>
      <c r="G386" s="22"/>
      <c r="H386" s="33" t="n">
        <f aca="false">IF(COUNT($D386:$G386)&lt;4,0,SUM($D386:$G386))</f>
        <v>0</v>
      </c>
      <c r="I386" s="19" t="str">
        <f aca="false">IF($H386=0,"",IF($H386&lt;=8,"Ótimo",IF($H386&lt;=12,"Bom",IF($H386&lt;=16,"Regular",IF($H386&lt;=20,"Alerta","Crítico")))))</f>
        <v/>
      </c>
      <c r="J386" s="20"/>
      <c r="K386" s="20"/>
    </row>
    <row r="387" customFormat="false" ht="15" hidden="false" customHeight="false" outlineLevel="0" collapsed="false">
      <c r="A387" s="21"/>
      <c r="B387" s="33" t="n">
        <f aca="false">IF($A387="",0,INT(($A387-Macrociclo!$C$11)/7)+1)</f>
        <v>0</v>
      </c>
      <c r="C387" s="20"/>
      <c r="D387" s="22"/>
      <c r="E387" s="22"/>
      <c r="F387" s="22"/>
      <c r="G387" s="22"/>
      <c r="H387" s="33" t="n">
        <f aca="false">IF(COUNT($D387:$G387)&lt;4,0,SUM($D387:$G387))</f>
        <v>0</v>
      </c>
      <c r="I387" s="19" t="str">
        <f aca="false">IF($H387=0,"",IF($H387&lt;=8,"Ótimo",IF($H387&lt;=12,"Bom",IF($H387&lt;=16,"Regular",IF($H387&lt;=20,"Alerta","Crítico")))))</f>
        <v/>
      </c>
      <c r="J387" s="20"/>
      <c r="K387" s="20"/>
    </row>
    <row r="388" customFormat="false" ht="15" hidden="false" customHeight="false" outlineLevel="0" collapsed="false">
      <c r="A388" s="21"/>
      <c r="B388" s="33" t="n">
        <f aca="false">IF($A388="",0,INT(($A388-Macrociclo!$C$11)/7)+1)</f>
        <v>0</v>
      </c>
      <c r="C388" s="20"/>
      <c r="D388" s="22"/>
      <c r="E388" s="22"/>
      <c r="F388" s="22"/>
      <c r="G388" s="22"/>
      <c r="H388" s="33" t="n">
        <f aca="false">IF(COUNT($D388:$G388)&lt;4,0,SUM($D388:$G388))</f>
        <v>0</v>
      </c>
      <c r="I388" s="19" t="str">
        <f aca="false">IF($H388=0,"",IF($H388&lt;=8,"Ótimo",IF($H388&lt;=12,"Bom",IF($H388&lt;=16,"Regular",IF($H388&lt;=20,"Alerta","Crítico")))))</f>
        <v/>
      </c>
      <c r="J388" s="20"/>
      <c r="K388" s="20"/>
    </row>
    <row r="389" customFormat="false" ht="15" hidden="false" customHeight="false" outlineLevel="0" collapsed="false">
      <c r="A389" s="21"/>
      <c r="B389" s="33" t="n">
        <f aca="false">IF($A389="",0,INT(($A389-Macrociclo!$C$11)/7)+1)</f>
        <v>0</v>
      </c>
      <c r="C389" s="20"/>
      <c r="D389" s="22"/>
      <c r="E389" s="22"/>
      <c r="F389" s="22"/>
      <c r="G389" s="22"/>
      <c r="H389" s="33" t="n">
        <f aca="false">IF(COUNT($D389:$G389)&lt;4,0,SUM($D389:$G389))</f>
        <v>0</v>
      </c>
      <c r="I389" s="19" t="str">
        <f aca="false">IF($H389=0,"",IF($H389&lt;=8,"Ótimo",IF($H389&lt;=12,"Bom",IF($H389&lt;=16,"Regular",IF($H389&lt;=20,"Alerta","Crítico")))))</f>
        <v/>
      </c>
      <c r="J389" s="20"/>
      <c r="K389" s="20"/>
    </row>
    <row r="390" customFormat="false" ht="15" hidden="false" customHeight="false" outlineLevel="0" collapsed="false">
      <c r="A390" s="21"/>
      <c r="B390" s="33" t="n">
        <f aca="false">IF($A390="",0,INT(($A390-Macrociclo!$C$11)/7)+1)</f>
        <v>0</v>
      </c>
      <c r="C390" s="20"/>
      <c r="D390" s="22"/>
      <c r="E390" s="22"/>
      <c r="F390" s="22"/>
      <c r="G390" s="22"/>
      <c r="H390" s="33" t="n">
        <f aca="false">IF(COUNT($D390:$G390)&lt;4,0,SUM($D390:$G390))</f>
        <v>0</v>
      </c>
      <c r="I390" s="19" t="str">
        <f aca="false">IF($H390=0,"",IF($H390&lt;=8,"Ótimo",IF($H390&lt;=12,"Bom",IF($H390&lt;=16,"Regular",IF($H390&lt;=20,"Alerta","Crítico")))))</f>
        <v/>
      </c>
      <c r="J390" s="20"/>
      <c r="K390" s="20"/>
    </row>
    <row r="391" customFormat="false" ht="15" hidden="false" customHeight="false" outlineLevel="0" collapsed="false">
      <c r="A391" s="21"/>
      <c r="B391" s="33" t="n">
        <f aca="false">IF($A391="",0,INT(($A391-Macrociclo!$C$11)/7)+1)</f>
        <v>0</v>
      </c>
      <c r="C391" s="20"/>
      <c r="D391" s="22"/>
      <c r="E391" s="22"/>
      <c r="F391" s="22"/>
      <c r="G391" s="22"/>
      <c r="H391" s="33" t="n">
        <f aca="false">IF(COUNT($D391:$G391)&lt;4,0,SUM($D391:$G391))</f>
        <v>0</v>
      </c>
      <c r="I391" s="19" t="str">
        <f aca="false">IF($H391=0,"",IF($H391&lt;=8,"Ótimo",IF($H391&lt;=12,"Bom",IF($H391&lt;=16,"Regular",IF($H391&lt;=20,"Alerta","Crítico")))))</f>
        <v/>
      </c>
      <c r="J391" s="20"/>
      <c r="K391" s="20"/>
    </row>
    <row r="392" customFormat="false" ht="15" hidden="false" customHeight="false" outlineLevel="0" collapsed="false">
      <c r="A392" s="21"/>
      <c r="B392" s="33" t="n">
        <f aca="false">IF($A392="",0,INT(($A392-Macrociclo!$C$11)/7)+1)</f>
        <v>0</v>
      </c>
      <c r="C392" s="20"/>
      <c r="D392" s="22"/>
      <c r="E392" s="22"/>
      <c r="F392" s="22"/>
      <c r="G392" s="22"/>
      <c r="H392" s="33" t="n">
        <f aca="false">IF(COUNT($D392:$G392)&lt;4,0,SUM($D392:$G392))</f>
        <v>0</v>
      </c>
      <c r="I392" s="19" t="str">
        <f aca="false">IF($H392=0,"",IF($H392&lt;=8,"Ótimo",IF($H392&lt;=12,"Bom",IF($H392&lt;=16,"Regular",IF($H392&lt;=20,"Alerta","Crítico")))))</f>
        <v/>
      </c>
      <c r="J392" s="20"/>
      <c r="K392" s="20"/>
    </row>
    <row r="393" customFormat="false" ht="15" hidden="false" customHeight="false" outlineLevel="0" collapsed="false">
      <c r="A393" s="21"/>
      <c r="B393" s="33" t="n">
        <f aca="false">IF($A393="",0,INT(($A393-Macrociclo!$C$11)/7)+1)</f>
        <v>0</v>
      </c>
      <c r="C393" s="20"/>
      <c r="D393" s="22"/>
      <c r="E393" s="22"/>
      <c r="F393" s="22"/>
      <c r="G393" s="22"/>
      <c r="H393" s="33" t="n">
        <f aca="false">IF(COUNT($D393:$G393)&lt;4,0,SUM($D393:$G393))</f>
        <v>0</v>
      </c>
      <c r="I393" s="19" t="str">
        <f aca="false">IF($H393=0,"",IF($H393&lt;=8,"Ótimo",IF($H393&lt;=12,"Bom",IF($H393&lt;=16,"Regular",IF($H393&lt;=20,"Alerta","Crítico")))))</f>
        <v/>
      </c>
      <c r="J393" s="20"/>
      <c r="K393" s="20"/>
    </row>
    <row r="394" customFormat="false" ht="15" hidden="false" customHeight="false" outlineLevel="0" collapsed="false">
      <c r="A394" s="21"/>
      <c r="B394" s="33" t="n">
        <f aca="false">IF($A394="",0,INT(($A394-Macrociclo!$C$11)/7)+1)</f>
        <v>0</v>
      </c>
      <c r="C394" s="20"/>
      <c r="D394" s="22"/>
      <c r="E394" s="22"/>
      <c r="F394" s="22"/>
      <c r="G394" s="22"/>
      <c r="H394" s="33" t="n">
        <f aca="false">IF(COUNT($D394:$G394)&lt;4,0,SUM($D394:$G394))</f>
        <v>0</v>
      </c>
      <c r="I394" s="19" t="str">
        <f aca="false">IF($H394=0,"",IF($H394&lt;=8,"Ótimo",IF($H394&lt;=12,"Bom",IF($H394&lt;=16,"Regular",IF($H394&lt;=20,"Alerta","Crítico")))))</f>
        <v/>
      </c>
      <c r="J394" s="20"/>
      <c r="K394" s="20"/>
    </row>
    <row r="395" customFormat="false" ht="15" hidden="false" customHeight="false" outlineLevel="0" collapsed="false">
      <c r="A395" s="21"/>
      <c r="B395" s="33" t="n">
        <f aca="false">IF($A395="",0,INT(($A395-Macrociclo!$C$11)/7)+1)</f>
        <v>0</v>
      </c>
      <c r="C395" s="20"/>
      <c r="D395" s="22"/>
      <c r="E395" s="22"/>
      <c r="F395" s="22"/>
      <c r="G395" s="22"/>
      <c r="H395" s="33" t="n">
        <f aca="false">IF(COUNT($D395:$G395)&lt;4,0,SUM($D395:$G395))</f>
        <v>0</v>
      </c>
      <c r="I395" s="19" t="str">
        <f aca="false">IF($H395=0,"",IF($H395&lt;=8,"Ótimo",IF($H395&lt;=12,"Bom",IF($H395&lt;=16,"Regular",IF($H395&lt;=20,"Alerta","Crítico")))))</f>
        <v/>
      </c>
      <c r="J395" s="20"/>
      <c r="K395" s="20"/>
    </row>
    <row r="396" customFormat="false" ht="15" hidden="false" customHeight="false" outlineLevel="0" collapsed="false">
      <c r="A396" s="21"/>
      <c r="B396" s="33" t="n">
        <f aca="false">IF($A396="",0,INT(($A396-Macrociclo!$C$11)/7)+1)</f>
        <v>0</v>
      </c>
      <c r="C396" s="20"/>
      <c r="D396" s="22"/>
      <c r="E396" s="22"/>
      <c r="F396" s="22"/>
      <c r="G396" s="22"/>
      <c r="H396" s="33" t="n">
        <f aca="false">IF(COUNT($D396:$G396)&lt;4,0,SUM($D396:$G396))</f>
        <v>0</v>
      </c>
      <c r="I396" s="19" t="str">
        <f aca="false">IF($H396=0,"",IF($H396&lt;=8,"Ótimo",IF($H396&lt;=12,"Bom",IF($H396&lt;=16,"Regular",IF($H396&lt;=20,"Alerta","Crítico")))))</f>
        <v/>
      </c>
      <c r="J396" s="20"/>
      <c r="K396" s="20"/>
    </row>
    <row r="397" customFormat="false" ht="15" hidden="false" customHeight="false" outlineLevel="0" collapsed="false">
      <c r="A397" s="21"/>
      <c r="B397" s="33" t="n">
        <f aca="false">IF($A397="",0,INT(($A397-Macrociclo!$C$11)/7)+1)</f>
        <v>0</v>
      </c>
      <c r="C397" s="20"/>
      <c r="D397" s="22"/>
      <c r="E397" s="22"/>
      <c r="F397" s="22"/>
      <c r="G397" s="22"/>
      <c r="H397" s="33" t="n">
        <f aca="false">IF(COUNT($D397:$G397)&lt;4,0,SUM($D397:$G397))</f>
        <v>0</v>
      </c>
      <c r="I397" s="19" t="str">
        <f aca="false">IF($H397=0,"",IF($H397&lt;=8,"Ótimo",IF($H397&lt;=12,"Bom",IF($H397&lt;=16,"Regular",IF($H397&lt;=20,"Alerta","Crítico")))))</f>
        <v/>
      </c>
      <c r="J397" s="20"/>
      <c r="K397" s="20"/>
    </row>
    <row r="398" customFormat="false" ht="15" hidden="false" customHeight="false" outlineLevel="0" collapsed="false">
      <c r="A398" s="21"/>
      <c r="B398" s="33" t="n">
        <f aca="false">IF($A398="",0,INT(($A398-Macrociclo!$C$11)/7)+1)</f>
        <v>0</v>
      </c>
      <c r="C398" s="20"/>
      <c r="D398" s="22"/>
      <c r="E398" s="22"/>
      <c r="F398" s="22"/>
      <c r="G398" s="22"/>
      <c r="H398" s="33" t="n">
        <f aca="false">IF(COUNT($D398:$G398)&lt;4,0,SUM($D398:$G398))</f>
        <v>0</v>
      </c>
      <c r="I398" s="19" t="str">
        <f aca="false">IF($H398=0,"",IF($H398&lt;=8,"Ótimo",IF($H398&lt;=12,"Bom",IF($H398&lt;=16,"Regular",IF($H398&lt;=20,"Alerta","Crítico")))))</f>
        <v/>
      </c>
      <c r="J398" s="20"/>
      <c r="K398" s="20"/>
    </row>
    <row r="399" customFormat="false" ht="15" hidden="false" customHeight="false" outlineLevel="0" collapsed="false">
      <c r="A399" s="21"/>
      <c r="B399" s="33" t="n">
        <f aca="false">IF($A399="",0,INT(($A399-Macrociclo!$C$11)/7)+1)</f>
        <v>0</v>
      </c>
      <c r="C399" s="20"/>
      <c r="D399" s="22"/>
      <c r="E399" s="22"/>
      <c r="F399" s="22"/>
      <c r="G399" s="22"/>
      <c r="H399" s="33" t="n">
        <f aca="false">IF(COUNT($D399:$G399)&lt;4,0,SUM($D399:$G399))</f>
        <v>0</v>
      </c>
      <c r="I399" s="19" t="str">
        <f aca="false">IF($H399=0,"",IF($H399&lt;=8,"Ótimo",IF($H399&lt;=12,"Bom",IF($H399&lt;=16,"Regular",IF($H399&lt;=20,"Alerta","Crítico")))))</f>
        <v/>
      </c>
      <c r="J399" s="20"/>
      <c r="K399" s="20"/>
    </row>
    <row r="400" customFormat="false" ht="15" hidden="false" customHeight="false" outlineLevel="0" collapsed="false">
      <c r="A400" s="21"/>
      <c r="B400" s="33" t="n">
        <f aca="false">IF($A400="",0,INT(($A400-Macrociclo!$C$11)/7)+1)</f>
        <v>0</v>
      </c>
      <c r="C400" s="20"/>
      <c r="D400" s="22"/>
      <c r="E400" s="22"/>
      <c r="F400" s="22"/>
      <c r="G400" s="22"/>
      <c r="H400" s="33" t="n">
        <f aca="false">IF(COUNT($D400:$G400)&lt;4,0,SUM($D400:$G400))</f>
        <v>0</v>
      </c>
      <c r="I400" s="19" t="str">
        <f aca="false">IF($H400=0,"",IF($H400&lt;=8,"Ótimo",IF($H400&lt;=12,"Bom",IF($H400&lt;=16,"Regular",IF($H400&lt;=20,"Alerta","Crítico")))))</f>
        <v/>
      </c>
      <c r="J400" s="20"/>
      <c r="K400" s="20"/>
    </row>
    <row r="401" customFormat="false" ht="15" hidden="false" customHeight="false" outlineLevel="0" collapsed="false">
      <c r="A401" s="21"/>
      <c r="B401" s="33" t="n">
        <f aca="false">IF($A401="",0,INT(($A401-Macrociclo!$C$11)/7)+1)</f>
        <v>0</v>
      </c>
      <c r="C401" s="20"/>
      <c r="D401" s="22"/>
      <c r="E401" s="22"/>
      <c r="F401" s="22"/>
      <c r="G401" s="22"/>
      <c r="H401" s="33" t="n">
        <f aca="false">IF(COUNT($D401:$G401)&lt;4,0,SUM($D401:$G401))</f>
        <v>0</v>
      </c>
      <c r="I401" s="19" t="str">
        <f aca="false">IF($H401=0,"",IF($H401&lt;=8,"Ótimo",IF($H401&lt;=12,"Bom",IF($H401&lt;=16,"Regular",IF($H401&lt;=20,"Alerta","Crítico")))))</f>
        <v/>
      </c>
      <c r="J401" s="20"/>
      <c r="K401" s="20"/>
    </row>
    <row r="402" customFormat="false" ht="15" hidden="false" customHeight="false" outlineLevel="0" collapsed="false">
      <c r="A402" s="21"/>
      <c r="B402" s="33" t="n">
        <f aca="false">IF($A402="",0,INT(($A402-Macrociclo!$C$11)/7)+1)</f>
        <v>0</v>
      </c>
      <c r="C402" s="20"/>
      <c r="D402" s="22"/>
      <c r="E402" s="22"/>
      <c r="F402" s="22"/>
      <c r="G402" s="22"/>
      <c r="H402" s="33" t="n">
        <f aca="false">IF(COUNT($D402:$G402)&lt;4,0,SUM($D402:$G402))</f>
        <v>0</v>
      </c>
      <c r="I402" s="19" t="str">
        <f aca="false">IF($H402=0,"",IF($H402&lt;=8,"Ótimo",IF($H402&lt;=12,"Bom",IF($H402&lt;=16,"Regular",IF($H402&lt;=20,"Alerta","Crítico")))))</f>
        <v/>
      </c>
      <c r="J402" s="20"/>
      <c r="K402" s="20"/>
    </row>
    <row r="403" customFormat="false" ht="15" hidden="false" customHeight="false" outlineLevel="0" collapsed="false">
      <c r="A403" s="21"/>
      <c r="B403" s="33" t="n">
        <f aca="false">IF($A403="",0,INT(($A403-Macrociclo!$C$11)/7)+1)</f>
        <v>0</v>
      </c>
      <c r="C403" s="20"/>
      <c r="D403" s="22"/>
      <c r="E403" s="22"/>
      <c r="F403" s="22"/>
      <c r="G403" s="22"/>
      <c r="H403" s="33" t="n">
        <f aca="false">IF(COUNT($D403:$G403)&lt;4,0,SUM($D403:$G403))</f>
        <v>0</v>
      </c>
      <c r="I403" s="19" t="str">
        <f aca="false">IF($H403=0,"",IF($H403&lt;=8,"Ótimo",IF($H403&lt;=12,"Bom",IF($H403&lt;=16,"Regular",IF($H403&lt;=20,"Alerta","Crítico")))))</f>
        <v/>
      </c>
      <c r="J403" s="20"/>
      <c r="K403" s="20"/>
    </row>
    <row r="404" customFormat="false" ht="15" hidden="false" customHeight="false" outlineLevel="0" collapsed="false">
      <c r="A404" s="21"/>
      <c r="B404" s="33" t="n">
        <f aca="false">IF($A404="",0,INT(($A404-Macrociclo!$C$11)/7)+1)</f>
        <v>0</v>
      </c>
      <c r="C404" s="20"/>
      <c r="D404" s="22"/>
      <c r="E404" s="22"/>
      <c r="F404" s="22"/>
      <c r="G404" s="22"/>
      <c r="H404" s="33" t="n">
        <f aca="false">IF(COUNT($D404:$G404)&lt;4,0,SUM($D404:$G404))</f>
        <v>0</v>
      </c>
      <c r="I404" s="19" t="str">
        <f aca="false">IF($H404=0,"",IF($H404&lt;=8,"Ótimo",IF($H404&lt;=12,"Bom",IF($H404&lt;=16,"Regular",IF($H404&lt;=20,"Alerta","Crítico")))))</f>
        <v/>
      </c>
      <c r="J404" s="20"/>
      <c r="K404" s="20"/>
    </row>
    <row r="405" customFormat="false" ht="15" hidden="false" customHeight="false" outlineLevel="0" collapsed="false">
      <c r="A405" s="21"/>
      <c r="B405" s="33" t="n">
        <f aca="false">IF($A405="",0,INT(($A405-Macrociclo!$C$11)/7)+1)</f>
        <v>0</v>
      </c>
      <c r="C405" s="20"/>
      <c r="D405" s="22"/>
      <c r="E405" s="22"/>
      <c r="F405" s="22"/>
      <c r="G405" s="22"/>
      <c r="H405" s="33" t="n">
        <f aca="false">IF(COUNT($D405:$G405)&lt;4,0,SUM($D405:$G405))</f>
        <v>0</v>
      </c>
      <c r="I405" s="19" t="str">
        <f aca="false">IF($H405=0,"",IF($H405&lt;=8,"Ótimo",IF($H405&lt;=12,"Bom",IF($H405&lt;=16,"Regular",IF($H405&lt;=20,"Alerta","Crítico")))))</f>
        <v/>
      </c>
      <c r="J405" s="20"/>
      <c r="K405" s="20"/>
    </row>
    <row r="406" customFormat="false" ht="15" hidden="false" customHeight="false" outlineLevel="0" collapsed="false">
      <c r="A406" s="21"/>
      <c r="B406" s="33" t="n">
        <f aca="false">IF($A406="",0,INT(($A406-Macrociclo!$C$11)/7)+1)</f>
        <v>0</v>
      </c>
      <c r="C406" s="20"/>
      <c r="D406" s="22"/>
      <c r="E406" s="22"/>
      <c r="F406" s="22"/>
      <c r="G406" s="22"/>
      <c r="H406" s="33" t="n">
        <f aca="false">IF(COUNT($D406:$G406)&lt;4,0,SUM($D406:$G406))</f>
        <v>0</v>
      </c>
      <c r="I406" s="19" t="str">
        <f aca="false">IF($H406=0,"",IF($H406&lt;=8,"Ótimo",IF($H406&lt;=12,"Bom",IF($H406&lt;=16,"Regular",IF($H406&lt;=20,"Alerta","Crítico")))))</f>
        <v/>
      </c>
      <c r="J406" s="20"/>
      <c r="K406" s="20"/>
    </row>
    <row r="407" customFormat="false" ht="15" hidden="false" customHeight="false" outlineLevel="0" collapsed="false">
      <c r="A407" s="21"/>
      <c r="B407" s="33" t="n">
        <f aca="false">IF($A407="",0,INT(($A407-Macrociclo!$C$11)/7)+1)</f>
        <v>0</v>
      </c>
      <c r="C407" s="20"/>
      <c r="D407" s="22"/>
      <c r="E407" s="22"/>
      <c r="F407" s="22"/>
      <c r="G407" s="22"/>
      <c r="H407" s="33" t="n">
        <f aca="false">IF(COUNT($D407:$G407)&lt;4,0,SUM($D407:$G407))</f>
        <v>0</v>
      </c>
      <c r="I407" s="19" t="str">
        <f aca="false">IF($H407=0,"",IF($H407&lt;=8,"Ótimo",IF($H407&lt;=12,"Bom",IF($H407&lt;=16,"Regular",IF($H407&lt;=20,"Alerta","Crítico")))))</f>
        <v/>
      </c>
      <c r="J407" s="20"/>
      <c r="K407" s="20"/>
    </row>
    <row r="408" customFormat="false" ht="15" hidden="false" customHeight="false" outlineLevel="0" collapsed="false">
      <c r="A408" s="21"/>
      <c r="B408" s="33" t="n">
        <f aca="false">IF($A408="",0,INT(($A408-Macrociclo!$C$11)/7)+1)</f>
        <v>0</v>
      </c>
      <c r="C408" s="20"/>
      <c r="D408" s="22"/>
      <c r="E408" s="22"/>
      <c r="F408" s="22"/>
      <c r="G408" s="22"/>
      <c r="H408" s="33" t="n">
        <f aca="false">IF(COUNT($D408:$G408)&lt;4,0,SUM($D408:$G408))</f>
        <v>0</v>
      </c>
      <c r="I408" s="19" t="str">
        <f aca="false">IF($H408=0,"",IF($H408&lt;=8,"Ótimo",IF($H408&lt;=12,"Bom",IF($H408&lt;=16,"Regular",IF($H408&lt;=20,"Alerta","Crítico")))))</f>
        <v/>
      </c>
      <c r="J408" s="20"/>
      <c r="K408" s="20"/>
    </row>
    <row r="409" customFormat="false" ht="15" hidden="false" customHeight="false" outlineLevel="0" collapsed="false">
      <c r="A409" s="21"/>
      <c r="B409" s="33" t="n">
        <f aca="false">IF($A409="",0,INT(($A409-Macrociclo!$C$11)/7)+1)</f>
        <v>0</v>
      </c>
      <c r="C409" s="20"/>
      <c r="D409" s="22"/>
      <c r="E409" s="22"/>
      <c r="F409" s="22"/>
      <c r="G409" s="22"/>
      <c r="H409" s="33" t="n">
        <f aca="false">IF(COUNT($D409:$G409)&lt;4,0,SUM($D409:$G409))</f>
        <v>0</v>
      </c>
      <c r="I409" s="19" t="str">
        <f aca="false">IF($H409=0,"",IF($H409&lt;=8,"Ótimo",IF($H409&lt;=12,"Bom",IF($H409&lt;=16,"Regular",IF($H409&lt;=20,"Alerta","Crítico")))))</f>
        <v/>
      </c>
      <c r="J409" s="20"/>
      <c r="K409" s="20"/>
    </row>
    <row r="410" customFormat="false" ht="15" hidden="false" customHeight="false" outlineLevel="0" collapsed="false">
      <c r="A410" s="21"/>
      <c r="B410" s="33" t="n">
        <f aca="false">IF($A410="",0,INT(($A410-Macrociclo!$C$11)/7)+1)</f>
        <v>0</v>
      </c>
      <c r="C410" s="20"/>
      <c r="D410" s="22"/>
      <c r="E410" s="22"/>
      <c r="F410" s="22"/>
      <c r="G410" s="22"/>
      <c r="H410" s="33" t="n">
        <f aca="false">IF(COUNT($D410:$G410)&lt;4,0,SUM($D410:$G410))</f>
        <v>0</v>
      </c>
      <c r="I410" s="19" t="str">
        <f aca="false">IF($H410=0,"",IF($H410&lt;=8,"Ótimo",IF($H410&lt;=12,"Bom",IF($H410&lt;=16,"Regular",IF($H410&lt;=20,"Alerta","Crítico")))))</f>
        <v/>
      </c>
      <c r="J410" s="20"/>
      <c r="K410" s="20"/>
    </row>
    <row r="411" customFormat="false" ht="15" hidden="false" customHeight="false" outlineLevel="0" collapsed="false">
      <c r="A411" s="21"/>
      <c r="B411" s="33" t="n">
        <f aca="false">IF($A411="",0,INT(($A411-Macrociclo!$C$11)/7)+1)</f>
        <v>0</v>
      </c>
      <c r="C411" s="20"/>
      <c r="D411" s="22"/>
      <c r="E411" s="22"/>
      <c r="F411" s="22"/>
      <c r="G411" s="22"/>
      <c r="H411" s="33" t="n">
        <f aca="false">IF(COUNT($D411:$G411)&lt;4,0,SUM($D411:$G411))</f>
        <v>0</v>
      </c>
      <c r="I411" s="19" t="str">
        <f aca="false">IF($H411=0,"",IF($H411&lt;=8,"Ótimo",IF($H411&lt;=12,"Bom",IF($H411&lt;=16,"Regular",IF($H411&lt;=20,"Alerta","Crítico")))))</f>
        <v/>
      </c>
      <c r="J411" s="20"/>
      <c r="K411" s="20"/>
    </row>
    <row r="412" customFormat="false" ht="15" hidden="false" customHeight="false" outlineLevel="0" collapsed="false">
      <c r="A412" s="21"/>
      <c r="B412" s="33" t="n">
        <f aca="false">IF($A412="",0,INT(($A412-Macrociclo!$C$11)/7)+1)</f>
        <v>0</v>
      </c>
      <c r="C412" s="20"/>
      <c r="D412" s="22"/>
      <c r="E412" s="22"/>
      <c r="F412" s="22"/>
      <c r="G412" s="22"/>
      <c r="H412" s="33" t="n">
        <f aca="false">IF(COUNT($D412:$G412)&lt;4,0,SUM($D412:$G412))</f>
        <v>0</v>
      </c>
      <c r="I412" s="19" t="str">
        <f aca="false">IF($H412=0,"",IF($H412&lt;=8,"Ótimo",IF($H412&lt;=12,"Bom",IF($H412&lt;=16,"Regular",IF($H412&lt;=20,"Alerta","Crítico")))))</f>
        <v/>
      </c>
      <c r="J412" s="20"/>
      <c r="K412" s="20"/>
    </row>
    <row r="413" customFormat="false" ht="15" hidden="false" customHeight="false" outlineLevel="0" collapsed="false">
      <c r="A413" s="21"/>
      <c r="B413" s="33" t="n">
        <f aca="false">IF($A413="",0,INT(($A413-Macrociclo!$C$11)/7)+1)</f>
        <v>0</v>
      </c>
      <c r="C413" s="20"/>
      <c r="D413" s="22"/>
      <c r="E413" s="22"/>
      <c r="F413" s="22"/>
      <c r="G413" s="22"/>
      <c r="H413" s="33" t="n">
        <f aca="false">IF(COUNT($D413:$G413)&lt;4,0,SUM($D413:$G413))</f>
        <v>0</v>
      </c>
      <c r="I413" s="19" t="str">
        <f aca="false">IF($H413=0,"",IF($H413&lt;=8,"Ótimo",IF($H413&lt;=12,"Bom",IF($H413&lt;=16,"Regular",IF($H413&lt;=20,"Alerta","Crítico")))))</f>
        <v/>
      </c>
      <c r="J413" s="20"/>
      <c r="K413" s="20"/>
    </row>
    <row r="414" customFormat="false" ht="15" hidden="false" customHeight="false" outlineLevel="0" collapsed="false">
      <c r="A414" s="21"/>
      <c r="B414" s="33" t="n">
        <f aca="false">IF($A414="",0,INT(($A414-Macrociclo!$C$11)/7)+1)</f>
        <v>0</v>
      </c>
      <c r="C414" s="20"/>
      <c r="D414" s="22"/>
      <c r="E414" s="22"/>
      <c r="F414" s="22"/>
      <c r="G414" s="22"/>
      <c r="H414" s="33" t="n">
        <f aca="false">IF(COUNT($D414:$G414)&lt;4,0,SUM($D414:$G414))</f>
        <v>0</v>
      </c>
      <c r="I414" s="19" t="str">
        <f aca="false">IF($H414=0,"",IF($H414&lt;=8,"Ótimo",IF($H414&lt;=12,"Bom",IF($H414&lt;=16,"Regular",IF($H414&lt;=20,"Alerta","Crítico")))))</f>
        <v/>
      </c>
      <c r="J414" s="20"/>
      <c r="K414" s="20"/>
    </row>
    <row r="415" customFormat="false" ht="15" hidden="false" customHeight="false" outlineLevel="0" collapsed="false">
      <c r="A415" s="21"/>
      <c r="B415" s="33" t="n">
        <f aca="false">IF($A415="",0,INT(($A415-Macrociclo!$C$11)/7)+1)</f>
        <v>0</v>
      </c>
      <c r="C415" s="20"/>
      <c r="D415" s="22"/>
      <c r="E415" s="22"/>
      <c r="F415" s="22"/>
      <c r="G415" s="22"/>
      <c r="H415" s="33" t="n">
        <f aca="false">IF(COUNT($D415:$G415)&lt;4,0,SUM($D415:$G415))</f>
        <v>0</v>
      </c>
      <c r="I415" s="19" t="str">
        <f aca="false">IF($H415=0,"",IF($H415&lt;=8,"Ótimo",IF($H415&lt;=12,"Bom",IF($H415&lt;=16,"Regular",IF($H415&lt;=20,"Alerta","Crítico")))))</f>
        <v/>
      </c>
      <c r="J415" s="20"/>
      <c r="K415" s="20"/>
    </row>
    <row r="416" customFormat="false" ht="15" hidden="false" customHeight="false" outlineLevel="0" collapsed="false">
      <c r="A416" s="21"/>
      <c r="B416" s="33" t="n">
        <f aca="false">IF($A416="",0,INT(($A416-Macrociclo!$C$11)/7)+1)</f>
        <v>0</v>
      </c>
      <c r="C416" s="20"/>
      <c r="D416" s="22"/>
      <c r="E416" s="22"/>
      <c r="F416" s="22"/>
      <c r="G416" s="22"/>
      <c r="H416" s="33" t="n">
        <f aca="false">IF(COUNT($D416:$G416)&lt;4,0,SUM($D416:$G416))</f>
        <v>0</v>
      </c>
      <c r="I416" s="19" t="str">
        <f aca="false">IF($H416=0,"",IF($H416&lt;=8,"Ótimo",IF($H416&lt;=12,"Bom",IF($H416&lt;=16,"Regular",IF($H416&lt;=20,"Alerta","Crítico")))))</f>
        <v/>
      </c>
      <c r="J416" s="20"/>
      <c r="K416" s="20"/>
    </row>
    <row r="417" customFormat="false" ht="15" hidden="false" customHeight="false" outlineLevel="0" collapsed="false">
      <c r="A417" s="21"/>
      <c r="B417" s="33" t="n">
        <f aca="false">IF($A417="",0,INT(($A417-Macrociclo!$C$11)/7)+1)</f>
        <v>0</v>
      </c>
      <c r="C417" s="20"/>
      <c r="D417" s="22"/>
      <c r="E417" s="22"/>
      <c r="F417" s="22"/>
      <c r="G417" s="22"/>
      <c r="H417" s="33" t="n">
        <f aca="false">IF(COUNT($D417:$G417)&lt;4,0,SUM($D417:$G417))</f>
        <v>0</v>
      </c>
      <c r="I417" s="19" t="str">
        <f aca="false">IF($H417=0,"",IF($H417&lt;=8,"Ótimo",IF($H417&lt;=12,"Bom",IF($H417&lt;=16,"Regular",IF($H417&lt;=20,"Alerta","Crítico")))))</f>
        <v/>
      </c>
      <c r="J417" s="20"/>
      <c r="K417" s="20"/>
    </row>
    <row r="418" customFormat="false" ht="15" hidden="false" customHeight="false" outlineLevel="0" collapsed="false">
      <c r="A418" s="21"/>
      <c r="B418" s="33" t="n">
        <f aca="false">IF($A418="",0,INT(($A418-Macrociclo!$C$11)/7)+1)</f>
        <v>0</v>
      </c>
      <c r="C418" s="20"/>
      <c r="D418" s="22"/>
      <c r="E418" s="22"/>
      <c r="F418" s="22"/>
      <c r="G418" s="22"/>
      <c r="H418" s="33" t="n">
        <f aca="false">IF(COUNT($D418:$G418)&lt;4,0,SUM($D418:$G418))</f>
        <v>0</v>
      </c>
      <c r="I418" s="19" t="str">
        <f aca="false">IF($H418=0,"",IF($H418&lt;=8,"Ótimo",IF($H418&lt;=12,"Bom",IF($H418&lt;=16,"Regular",IF($H418&lt;=20,"Alerta","Crítico")))))</f>
        <v/>
      </c>
      <c r="J418" s="20"/>
      <c r="K418" s="20"/>
    </row>
    <row r="419" customFormat="false" ht="15" hidden="false" customHeight="false" outlineLevel="0" collapsed="false">
      <c r="A419" s="21"/>
      <c r="B419" s="33" t="n">
        <f aca="false">IF($A419="",0,INT(($A419-Macrociclo!$C$11)/7)+1)</f>
        <v>0</v>
      </c>
      <c r="C419" s="20"/>
      <c r="D419" s="22"/>
      <c r="E419" s="22"/>
      <c r="F419" s="22"/>
      <c r="G419" s="22"/>
      <c r="H419" s="33" t="n">
        <f aca="false">IF(COUNT($D419:$G419)&lt;4,0,SUM($D419:$G419))</f>
        <v>0</v>
      </c>
      <c r="I419" s="19" t="str">
        <f aca="false">IF($H419=0,"",IF($H419&lt;=8,"Ótimo",IF($H419&lt;=12,"Bom",IF($H419&lt;=16,"Regular",IF($H419&lt;=20,"Alerta","Crítico")))))</f>
        <v/>
      </c>
      <c r="J419" s="20"/>
      <c r="K419" s="20"/>
    </row>
    <row r="420" customFormat="false" ht="15" hidden="false" customHeight="false" outlineLevel="0" collapsed="false">
      <c r="A420" s="21"/>
      <c r="B420" s="33" t="n">
        <f aca="false">IF($A420="",0,INT(($A420-Macrociclo!$C$11)/7)+1)</f>
        <v>0</v>
      </c>
      <c r="C420" s="20"/>
      <c r="D420" s="22"/>
      <c r="E420" s="22"/>
      <c r="F420" s="22"/>
      <c r="G420" s="22"/>
      <c r="H420" s="33" t="n">
        <f aca="false">IF(COUNT($D420:$G420)&lt;4,0,SUM($D420:$G420))</f>
        <v>0</v>
      </c>
      <c r="I420" s="19" t="str">
        <f aca="false">IF($H420=0,"",IF($H420&lt;=8,"Ótimo",IF($H420&lt;=12,"Bom",IF($H420&lt;=16,"Regular",IF($H420&lt;=20,"Alerta","Crítico")))))</f>
        <v/>
      </c>
      <c r="J420" s="20"/>
      <c r="K420" s="20"/>
    </row>
    <row r="421" customFormat="false" ht="15" hidden="false" customHeight="false" outlineLevel="0" collapsed="false">
      <c r="A421" s="21"/>
      <c r="B421" s="33" t="n">
        <f aca="false">IF($A421="",0,INT(($A421-Macrociclo!$C$11)/7)+1)</f>
        <v>0</v>
      </c>
      <c r="C421" s="20"/>
      <c r="D421" s="22"/>
      <c r="E421" s="22"/>
      <c r="F421" s="22"/>
      <c r="G421" s="22"/>
      <c r="H421" s="33" t="n">
        <f aca="false">IF(COUNT($D421:$G421)&lt;4,0,SUM($D421:$G421))</f>
        <v>0</v>
      </c>
      <c r="I421" s="19" t="str">
        <f aca="false">IF($H421=0,"",IF($H421&lt;=8,"Ótimo",IF($H421&lt;=12,"Bom",IF($H421&lt;=16,"Regular",IF($H421&lt;=20,"Alerta","Crítico")))))</f>
        <v/>
      </c>
      <c r="J421" s="20"/>
      <c r="K421" s="20"/>
    </row>
    <row r="422" customFormat="false" ht="15" hidden="false" customHeight="false" outlineLevel="0" collapsed="false">
      <c r="A422" s="21"/>
      <c r="B422" s="33" t="n">
        <f aca="false">IF($A422="",0,INT(($A422-Macrociclo!$C$11)/7)+1)</f>
        <v>0</v>
      </c>
      <c r="C422" s="20"/>
      <c r="D422" s="22"/>
      <c r="E422" s="22"/>
      <c r="F422" s="22"/>
      <c r="G422" s="22"/>
      <c r="H422" s="33" t="n">
        <f aca="false">IF(COUNT($D422:$G422)&lt;4,0,SUM($D422:$G422))</f>
        <v>0</v>
      </c>
      <c r="I422" s="19" t="str">
        <f aca="false">IF($H422=0,"",IF($H422&lt;=8,"Ótimo",IF($H422&lt;=12,"Bom",IF($H422&lt;=16,"Regular",IF($H422&lt;=20,"Alerta","Crítico")))))</f>
        <v/>
      </c>
      <c r="J422" s="20"/>
      <c r="K422" s="20"/>
    </row>
    <row r="423" customFormat="false" ht="15" hidden="false" customHeight="false" outlineLevel="0" collapsed="false">
      <c r="A423" s="21"/>
      <c r="B423" s="33" t="n">
        <f aca="false">IF($A423="",0,INT(($A423-Macrociclo!$C$11)/7)+1)</f>
        <v>0</v>
      </c>
      <c r="C423" s="20"/>
      <c r="D423" s="22"/>
      <c r="E423" s="22"/>
      <c r="F423" s="22"/>
      <c r="G423" s="22"/>
      <c r="H423" s="33" t="n">
        <f aca="false">IF(COUNT($D423:$G423)&lt;4,0,SUM($D423:$G423))</f>
        <v>0</v>
      </c>
      <c r="I423" s="19" t="str">
        <f aca="false">IF($H423=0,"",IF($H423&lt;=8,"Ótimo",IF($H423&lt;=12,"Bom",IF($H423&lt;=16,"Regular",IF($H423&lt;=20,"Alerta","Crítico")))))</f>
        <v/>
      </c>
      <c r="J423" s="20"/>
      <c r="K423" s="20"/>
    </row>
    <row r="424" customFormat="false" ht="15" hidden="false" customHeight="false" outlineLevel="0" collapsed="false">
      <c r="A424" s="21"/>
      <c r="B424" s="33" t="n">
        <f aca="false">IF($A424="",0,INT(($A424-Macrociclo!$C$11)/7)+1)</f>
        <v>0</v>
      </c>
      <c r="C424" s="20"/>
      <c r="D424" s="22"/>
      <c r="E424" s="22"/>
      <c r="F424" s="22"/>
      <c r="G424" s="22"/>
      <c r="H424" s="33" t="n">
        <f aca="false">IF(COUNT($D424:$G424)&lt;4,0,SUM($D424:$G424))</f>
        <v>0</v>
      </c>
      <c r="I424" s="19" t="str">
        <f aca="false">IF($H424=0,"",IF($H424&lt;=8,"Ótimo",IF($H424&lt;=12,"Bom",IF($H424&lt;=16,"Regular",IF($H424&lt;=20,"Alerta","Crítico")))))</f>
        <v/>
      </c>
      <c r="J424" s="20"/>
      <c r="K424" s="20"/>
    </row>
    <row r="425" customFormat="false" ht="15" hidden="false" customHeight="false" outlineLevel="0" collapsed="false">
      <c r="A425" s="21"/>
      <c r="B425" s="33" t="n">
        <f aca="false">IF($A425="",0,INT(($A425-Macrociclo!$C$11)/7)+1)</f>
        <v>0</v>
      </c>
      <c r="C425" s="20"/>
      <c r="D425" s="22"/>
      <c r="E425" s="22"/>
      <c r="F425" s="22"/>
      <c r="G425" s="22"/>
      <c r="H425" s="33" t="n">
        <f aca="false">IF(COUNT($D425:$G425)&lt;4,0,SUM($D425:$G425))</f>
        <v>0</v>
      </c>
      <c r="I425" s="19" t="str">
        <f aca="false">IF($H425=0,"",IF($H425&lt;=8,"Ótimo",IF($H425&lt;=12,"Bom",IF($H425&lt;=16,"Regular",IF($H425&lt;=20,"Alerta","Crítico")))))</f>
        <v/>
      </c>
      <c r="J425" s="20"/>
      <c r="K425" s="20"/>
    </row>
    <row r="426" customFormat="false" ht="15" hidden="false" customHeight="false" outlineLevel="0" collapsed="false">
      <c r="A426" s="21"/>
      <c r="B426" s="33" t="n">
        <f aca="false">IF($A426="",0,INT(($A426-Macrociclo!$C$11)/7)+1)</f>
        <v>0</v>
      </c>
      <c r="C426" s="20"/>
      <c r="D426" s="22"/>
      <c r="E426" s="22"/>
      <c r="F426" s="22"/>
      <c r="G426" s="22"/>
      <c r="H426" s="33" t="n">
        <f aca="false">IF(COUNT($D426:$G426)&lt;4,0,SUM($D426:$G426))</f>
        <v>0</v>
      </c>
      <c r="I426" s="19" t="str">
        <f aca="false">IF($H426=0,"",IF($H426&lt;=8,"Ótimo",IF($H426&lt;=12,"Bom",IF($H426&lt;=16,"Regular",IF($H426&lt;=20,"Alerta","Crítico")))))</f>
        <v/>
      </c>
      <c r="J426" s="20"/>
      <c r="K426" s="20"/>
    </row>
    <row r="427" customFormat="false" ht="15" hidden="false" customHeight="false" outlineLevel="0" collapsed="false">
      <c r="A427" s="21"/>
      <c r="B427" s="33" t="n">
        <f aca="false">IF($A427="",0,INT(($A427-Macrociclo!$C$11)/7)+1)</f>
        <v>0</v>
      </c>
      <c r="C427" s="20"/>
      <c r="D427" s="22"/>
      <c r="E427" s="22"/>
      <c r="F427" s="22"/>
      <c r="G427" s="22"/>
      <c r="H427" s="33" t="n">
        <f aca="false">IF(COUNT($D427:$G427)&lt;4,0,SUM($D427:$G427))</f>
        <v>0</v>
      </c>
      <c r="I427" s="19" t="str">
        <f aca="false">IF($H427=0,"",IF($H427&lt;=8,"Ótimo",IF($H427&lt;=12,"Bom",IF($H427&lt;=16,"Regular",IF($H427&lt;=20,"Alerta","Crítico")))))</f>
        <v/>
      </c>
      <c r="J427" s="20"/>
      <c r="K427" s="20"/>
    </row>
    <row r="428" customFormat="false" ht="15" hidden="false" customHeight="false" outlineLevel="0" collapsed="false">
      <c r="A428" s="21"/>
      <c r="B428" s="33" t="n">
        <f aca="false">IF($A428="",0,INT(($A428-Macrociclo!$C$11)/7)+1)</f>
        <v>0</v>
      </c>
      <c r="C428" s="20"/>
      <c r="D428" s="22"/>
      <c r="E428" s="22"/>
      <c r="F428" s="22"/>
      <c r="G428" s="22"/>
      <c r="H428" s="33" t="n">
        <f aca="false">IF(COUNT($D428:$G428)&lt;4,0,SUM($D428:$G428))</f>
        <v>0</v>
      </c>
      <c r="I428" s="19" t="str">
        <f aca="false">IF($H428=0,"",IF($H428&lt;=8,"Ótimo",IF($H428&lt;=12,"Bom",IF($H428&lt;=16,"Regular",IF($H428&lt;=20,"Alerta","Crítico")))))</f>
        <v/>
      </c>
      <c r="J428" s="20"/>
      <c r="K428" s="20"/>
    </row>
    <row r="429" customFormat="false" ht="15" hidden="false" customHeight="false" outlineLevel="0" collapsed="false">
      <c r="A429" s="21"/>
      <c r="B429" s="33" t="n">
        <f aca="false">IF($A429="",0,INT(($A429-Macrociclo!$C$11)/7)+1)</f>
        <v>0</v>
      </c>
      <c r="C429" s="20"/>
      <c r="D429" s="22"/>
      <c r="E429" s="22"/>
      <c r="F429" s="22"/>
      <c r="G429" s="22"/>
      <c r="H429" s="33" t="n">
        <f aca="false">IF(COUNT($D429:$G429)&lt;4,0,SUM($D429:$G429))</f>
        <v>0</v>
      </c>
      <c r="I429" s="19" t="str">
        <f aca="false">IF($H429=0,"",IF($H429&lt;=8,"Ótimo",IF($H429&lt;=12,"Bom",IF($H429&lt;=16,"Regular",IF($H429&lt;=20,"Alerta","Crítico")))))</f>
        <v/>
      </c>
      <c r="J429" s="20"/>
      <c r="K429" s="20"/>
    </row>
    <row r="430" customFormat="false" ht="15" hidden="false" customHeight="false" outlineLevel="0" collapsed="false">
      <c r="A430" s="21"/>
      <c r="B430" s="33" t="n">
        <f aca="false">IF($A430="",0,INT(($A430-Macrociclo!$C$11)/7)+1)</f>
        <v>0</v>
      </c>
      <c r="C430" s="20"/>
      <c r="D430" s="22"/>
      <c r="E430" s="22"/>
      <c r="F430" s="22"/>
      <c r="G430" s="22"/>
      <c r="H430" s="33" t="n">
        <f aca="false">IF(COUNT($D430:$G430)&lt;4,0,SUM($D430:$G430))</f>
        <v>0</v>
      </c>
      <c r="I430" s="19" t="str">
        <f aca="false">IF($H430=0,"",IF($H430&lt;=8,"Ótimo",IF($H430&lt;=12,"Bom",IF($H430&lt;=16,"Regular",IF($H430&lt;=20,"Alerta","Crítico")))))</f>
        <v/>
      </c>
      <c r="J430" s="20"/>
      <c r="K430" s="20"/>
    </row>
    <row r="431" customFormat="false" ht="15" hidden="false" customHeight="false" outlineLevel="0" collapsed="false">
      <c r="A431" s="21"/>
      <c r="B431" s="33" t="n">
        <f aca="false">IF($A431="",0,INT(($A431-Macrociclo!$C$11)/7)+1)</f>
        <v>0</v>
      </c>
      <c r="C431" s="20"/>
      <c r="D431" s="22"/>
      <c r="E431" s="22"/>
      <c r="F431" s="22"/>
      <c r="G431" s="22"/>
      <c r="H431" s="33" t="n">
        <f aca="false">IF(COUNT($D431:$G431)&lt;4,0,SUM($D431:$G431))</f>
        <v>0</v>
      </c>
      <c r="I431" s="19" t="str">
        <f aca="false">IF($H431=0,"",IF($H431&lt;=8,"Ótimo",IF($H431&lt;=12,"Bom",IF($H431&lt;=16,"Regular",IF($H431&lt;=20,"Alerta","Crítico")))))</f>
        <v/>
      </c>
      <c r="J431" s="20"/>
      <c r="K431" s="20"/>
    </row>
    <row r="432" customFormat="false" ht="15" hidden="false" customHeight="false" outlineLevel="0" collapsed="false">
      <c r="A432" s="21"/>
      <c r="B432" s="33" t="n">
        <f aca="false">IF($A432="",0,INT(($A432-Macrociclo!$C$11)/7)+1)</f>
        <v>0</v>
      </c>
      <c r="C432" s="20"/>
      <c r="D432" s="22"/>
      <c r="E432" s="22"/>
      <c r="F432" s="22"/>
      <c r="G432" s="22"/>
      <c r="H432" s="33" t="n">
        <f aca="false">IF(COUNT($D432:$G432)&lt;4,0,SUM($D432:$G432))</f>
        <v>0</v>
      </c>
      <c r="I432" s="19" t="str">
        <f aca="false">IF($H432=0,"",IF($H432&lt;=8,"Ótimo",IF($H432&lt;=12,"Bom",IF($H432&lt;=16,"Regular",IF($H432&lt;=20,"Alerta","Crítico")))))</f>
        <v/>
      </c>
      <c r="J432" s="20"/>
      <c r="K432" s="20"/>
    </row>
    <row r="433" customFormat="false" ht="15" hidden="false" customHeight="false" outlineLevel="0" collapsed="false">
      <c r="A433" s="21"/>
      <c r="B433" s="33" t="n">
        <f aca="false">IF($A433="",0,INT(($A433-Macrociclo!$C$11)/7)+1)</f>
        <v>0</v>
      </c>
      <c r="C433" s="20"/>
      <c r="D433" s="22"/>
      <c r="E433" s="22"/>
      <c r="F433" s="22"/>
      <c r="G433" s="22"/>
      <c r="H433" s="33" t="n">
        <f aca="false">IF(COUNT($D433:$G433)&lt;4,0,SUM($D433:$G433))</f>
        <v>0</v>
      </c>
      <c r="I433" s="19" t="str">
        <f aca="false">IF($H433=0,"",IF($H433&lt;=8,"Ótimo",IF($H433&lt;=12,"Bom",IF($H433&lt;=16,"Regular",IF($H433&lt;=20,"Alerta","Crítico")))))</f>
        <v/>
      </c>
      <c r="J433" s="20"/>
      <c r="K433" s="20"/>
    </row>
    <row r="434" customFormat="false" ht="15" hidden="false" customHeight="false" outlineLevel="0" collapsed="false">
      <c r="A434" s="21"/>
      <c r="B434" s="33" t="n">
        <f aca="false">IF($A434="",0,INT(($A434-Macrociclo!$C$11)/7)+1)</f>
        <v>0</v>
      </c>
      <c r="C434" s="20"/>
      <c r="D434" s="22"/>
      <c r="E434" s="22"/>
      <c r="F434" s="22"/>
      <c r="G434" s="22"/>
      <c r="H434" s="33" t="n">
        <f aca="false">IF(COUNT($D434:$G434)&lt;4,0,SUM($D434:$G434))</f>
        <v>0</v>
      </c>
      <c r="I434" s="19" t="str">
        <f aca="false">IF($H434=0,"",IF($H434&lt;=8,"Ótimo",IF($H434&lt;=12,"Bom",IF($H434&lt;=16,"Regular",IF($H434&lt;=20,"Alerta","Crítico")))))</f>
        <v/>
      </c>
      <c r="J434" s="20"/>
      <c r="K434" s="20"/>
    </row>
    <row r="435" customFormat="false" ht="15" hidden="false" customHeight="false" outlineLevel="0" collapsed="false">
      <c r="A435" s="21"/>
      <c r="B435" s="33" t="n">
        <f aca="false">IF($A435="",0,INT(($A435-Macrociclo!$C$11)/7)+1)</f>
        <v>0</v>
      </c>
      <c r="C435" s="20"/>
      <c r="D435" s="22"/>
      <c r="E435" s="22"/>
      <c r="F435" s="22"/>
      <c r="G435" s="22"/>
      <c r="H435" s="33" t="n">
        <f aca="false">IF(COUNT($D435:$G435)&lt;4,0,SUM($D435:$G435))</f>
        <v>0</v>
      </c>
      <c r="I435" s="19" t="str">
        <f aca="false">IF($H435=0,"",IF($H435&lt;=8,"Ótimo",IF($H435&lt;=12,"Bom",IF($H435&lt;=16,"Regular",IF($H435&lt;=20,"Alerta","Crítico")))))</f>
        <v/>
      </c>
      <c r="J435" s="20"/>
      <c r="K435" s="20"/>
    </row>
    <row r="436" customFormat="false" ht="15" hidden="false" customHeight="false" outlineLevel="0" collapsed="false">
      <c r="A436" s="21"/>
      <c r="B436" s="33" t="n">
        <f aca="false">IF($A436="",0,INT(($A436-Macrociclo!$C$11)/7)+1)</f>
        <v>0</v>
      </c>
      <c r="C436" s="20"/>
      <c r="D436" s="22"/>
      <c r="E436" s="22"/>
      <c r="F436" s="22"/>
      <c r="G436" s="22"/>
      <c r="H436" s="33" t="n">
        <f aca="false">IF(COUNT($D436:$G436)&lt;4,0,SUM($D436:$G436))</f>
        <v>0</v>
      </c>
      <c r="I436" s="19" t="str">
        <f aca="false">IF($H436=0,"",IF($H436&lt;=8,"Ótimo",IF($H436&lt;=12,"Bom",IF($H436&lt;=16,"Regular",IF($H436&lt;=20,"Alerta","Crítico")))))</f>
        <v/>
      </c>
      <c r="J436" s="20"/>
      <c r="K436" s="20"/>
    </row>
    <row r="437" customFormat="false" ht="15" hidden="false" customHeight="false" outlineLevel="0" collapsed="false">
      <c r="A437" s="21"/>
      <c r="B437" s="33" t="n">
        <f aca="false">IF($A437="",0,INT(($A437-Macrociclo!$C$11)/7)+1)</f>
        <v>0</v>
      </c>
      <c r="C437" s="20"/>
      <c r="D437" s="22"/>
      <c r="E437" s="22"/>
      <c r="F437" s="22"/>
      <c r="G437" s="22"/>
      <c r="H437" s="33" t="n">
        <f aca="false">IF(COUNT($D437:$G437)&lt;4,0,SUM($D437:$G437))</f>
        <v>0</v>
      </c>
      <c r="I437" s="19" t="str">
        <f aca="false">IF($H437=0,"",IF($H437&lt;=8,"Ótimo",IF($H437&lt;=12,"Bom",IF($H437&lt;=16,"Regular",IF($H437&lt;=20,"Alerta","Crítico")))))</f>
        <v/>
      </c>
      <c r="J437" s="20"/>
      <c r="K437" s="20"/>
    </row>
    <row r="438" customFormat="false" ht="15" hidden="false" customHeight="false" outlineLevel="0" collapsed="false">
      <c r="A438" s="21"/>
      <c r="B438" s="33" t="n">
        <f aca="false">IF($A438="",0,INT(($A438-Macrociclo!$C$11)/7)+1)</f>
        <v>0</v>
      </c>
      <c r="C438" s="20"/>
      <c r="D438" s="22"/>
      <c r="E438" s="22"/>
      <c r="F438" s="22"/>
      <c r="G438" s="22"/>
      <c r="H438" s="33" t="n">
        <f aca="false">IF(COUNT($D438:$G438)&lt;4,0,SUM($D438:$G438))</f>
        <v>0</v>
      </c>
      <c r="I438" s="19" t="str">
        <f aca="false">IF($H438=0,"",IF($H438&lt;=8,"Ótimo",IF($H438&lt;=12,"Bom",IF($H438&lt;=16,"Regular",IF($H438&lt;=20,"Alerta","Crítico")))))</f>
        <v/>
      </c>
      <c r="J438" s="20"/>
      <c r="K438" s="20"/>
    </row>
    <row r="439" customFormat="false" ht="15" hidden="false" customHeight="false" outlineLevel="0" collapsed="false">
      <c r="A439" s="21"/>
      <c r="B439" s="33" t="n">
        <f aca="false">IF($A439="",0,INT(($A439-Macrociclo!$C$11)/7)+1)</f>
        <v>0</v>
      </c>
      <c r="C439" s="20"/>
      <c r="D439" s="22"/>
      <c r="E439" s="22"/>
      <c r="F439" s="22"/>
      <c r="G439" s="22"/>
      <c r="H439" s="33" t="n">
        <f aca="false">IF(COUNT($D439:$G439)&lt;4,0,SUM($D439:$G439))</f>
        <v>0</v>
      </c>
      <c r="I439" s="19" t="str">
        <f aca="false">IF($H439=0,"",IF($H439&lt;=8,"Ótimo",IF($H439&lt;=12,"Bom",IF($H439&lt;=16,"Regular",IF($H439&lt;=20,"Alerta","Crítico")))))</f>
        <v/>
      </c>
      <c r="J439" s="20"/>
      <c r="K439" s="20"/>
    </row>
    <row r="440" customFormat="false" ht="15" hidden="false" customHeight="false" outlineLevel="0" collapsed="false">
      <c r="A440" s="21"/>
      <c r="B440" s="33" t="n">
        <f aca="false">IF($A440="",0,INT(($A440-Macrociclo!$C$11)/7)+1)</f>
        <v>0</v>
      </c>
      <c r="C440" s="20"/>
      <c r="D440" s="22"/>
      <c r="E440" s="22"/>
      <c r="F440" s="22"/>
      <c r="G440" s="22"/>
      <c r="H440" s="33" t="n">
        <f aca="false">IF(COUNT($D440:$G440)&lt;4,0,SUM($D440:$G440))</f>
        <v>0</v>
      </c>
      <c r="I440" s="19" t="str">
        <f aca="false">IF($H440=0,"",IF($H440&lt;=8,"Ótimo",IF($H440&lt;=12,"Bom",IF($H440&lt;=16,"Regular",IF($H440&lt;=20,"Alerta","Crítico")))))</f>
        <v/>
      </c>
      <c r="J440" s="20"/>
      <c r="K440" s="20"/>
    </row>
    <row r="441" customFormat="false" ht="15" hidden="false" customHeight="false" outlineLevel="0" collapsed="false">
      <c r="A441" s="21"/>
      <c r="B441" s="33" t="n">
        <f aca="false">IF($A441="",0,INT(($A441-Macrociclo!$C$11)/7)+1)</f>
        <v>0</v>
      </c>
      <c r="C441" s="20"/>
      <c r="D441" s="22"/>
      <c r="E441" s="22"/>
      <c r="F441" s="22"/>
      <c r="G441" s="22"/>
      <c r="H441" s="33" t="n">
        <f aca="false">IF(COUNT($D441:$G441)&lt;4,0,SUM($D441:$G441))</f>
        <v>0</v>
      </c>
      <c r="I441" s="19" t="str">
        <f aca="false">IF($H441=0,"",IF($H441&lt;=8,"Ótimo",IF($H441&lt;=12,"Bom",IF($H441&lt;=16,"Regular",IF($H441&lt;=20,"Alerta","Crítico")))))</f>
        <v/>
      </c>
      <c r="J441" s="20"/>
      <c r="K441" s="20"/>
    </row>
    <row r="442" customFormat="false" ht="15" hidden="false" customHeight="false" outlineLevel="0" collapsed="false">
      <c r="A442" s="21"/>
      <c r="B442" s="33" t="n">
        <f aca="false">IF($A442="",0,INT(($A442-Macrociclo!$C$11)/7)+1)</f>
        <v>0</v>
      </c>
      <c r="C442" s="20"/>
      <c r="D442" s="22"/>
      <c r="E442" s="22"/>
      <c r="F442" s="22"/>
      <c r="G442" s="22"/>
      <c r="H442" s="33" t="n">
        <f aca="false">IF(COUNT($D442:$G442)&lt;4,0,SUM($D442:$G442))</f>
        <v>0</v>
      </c>
      <c r="I442" s="19" t="str">
        <f aca="false">IF($H442=0,"",IF($H442&lt;=8,"Ótimo",IF($H442&lt;=12,"Bom",IF($H442&lt;=16,"Regular",IF($H442&lt;=20,"Alerta","Crítico")))))</f>
        <v/>
      </c>
      <c r="J442" s="20"/>
      <c r="K442" s="20"/>
    </row>
    <row r="443" customFormat="false" ht="15" hidden="false" customHeight="false" outlineLevel="0" collapsed="false">
      <c r="A443" s="21"/>
      <c r="B443" s="33" t="n">
        <f aca="false">IF($A443="",0,INT(($A443-Macrociclo!$C$11)/7)+1)</f>
        <v>0</v>
      </c>
      <c r="C443" s="20"/>
      <c r="D443" s="22"/>
      <c r="E443" s="22"/>
      <c r="F443" s="22"/>
      <c r="G443" s="22"/>
      <c r="H443" s="33" t="n">
        <f aca="false">IF(COUNT($D443:$G443)&lt;4,0,SUM($D443:$G443))</f>
        <v>0</v>
      </c>
      <c r="I443" s="19" t="str">
        <f aca="false">IF($H443=0,"",IF($H443&lt;=8,"Ótimo",IF($H443&lt;=12,"Bom",IF($H443&lt;=16,"Regular",IF($H443&lt;=20,"Alerta","Crítico")))))</f>
        <v/>
      </c>
      <c r="J443" s="20"/>
      <c r="K443" s="20"/>
    </row>
    <row r="444" customFormat="false" ht="15" hidden="false" customHeight="false" outlineLevel="0" collapsed="false">
      <c r="A444" s="21"/>
      <c r="B444" s="33" t="n">
        <f aca="false">IF($A444="",0,INT(($A444-Macrociclo!$C$11)/7)+1)</f>
        <v>0</v>
      </c>
      <c r="C444" s="20"/>
      <c r="D444" s="22"/>
      <c r="E444" s="22"/>
      <c r="F444" s="22"/>
      <c r="G444" s="22"/>
      <c r="H444" s="33" t="n">
        <f aca="false">IF(COUNT($D444:$G444)&lt;4,0,SUM($D444:$G444))</f>
        <v>0</v>
      </c>
      <c r="I444" s="19" t="str">
        <f aca="false">IF($H444=0,"",IF($H444&lt;=8,"Ótimo",IF($H444&lt;=12,"Bom",IF($H444&lt;=16,"Regular",IF($H444&lt;=20,"Alerta","Crítico")))))</f>
        <v/>
      </c>
      <c r="J444" s="20"/>
      <c r="K444" s="20"/>
    </row>
    <row r="445" customFormat="false" ht="15" hidden="false" customHeight="false" outlineLevel="0" collapsed="false">
      <c r="A445" s="21"/>
      <c r="B445" s="33" t="n">
        <f aca="false">IF($A445="",0,INT(($A445-Macrociclo!$C$11)/7)+1)</f>
        <v>0</v>
      </c>
      <c r="C445" s="20"/>
      <c r="D445" s="22"/>
      <c r="E445" s="22"/>
      <c r="F445" s="22"/>
      <c r="G445" s="22"/>
      <c r="H445" s="33" t="n">
        <f aca="false">IF(COUNT($D445:$G445)&lt;4,0,SUM($D445:$G445))</f>
        <v>0</v>
      </c>
      <c r="I445" s="19" t="str">
        <f aca="false">IF($H445=0,"",IF($H445&lt;=8,"Ótimo",IF($H445&lt;=12,"Bom",IF($H445&lt;=16,"Regular",IF($H445&lt;=20,"Alerta","Crítico")))))</f>
        <v/>
      </c>
      <c r="J445" s="20"/>
      <c r="K445" s="20"/>
    </row>
    <row r="446" customFormat="false" ht="15" hidden="false" customHeight="false" outlineLevel="0" collapsed="false">
      <c r="A446" s="21"/>
      <c r="B446" s="33" t="n">
        <f aca="false">IF($A446="",0,INT(($A446-Macrociclo!$C$11)/7)+1)</f>
        <v>0</v>
      </c>
      <c r="C446" s="20"/>
      <c r="D446" s="22"/>
      <c r="E446" s="22"/>
      <c r="F446" s="22"/>
      <c r="G446" s="22"/>
      <c r="H446" s="33" t="n">
        <f aca="false">IF(COUNT($D446:$G446)&lt;4,0,SUM($D446:$G446))</f>
        <v>0</v>
      </c>
      <c r="I446" s="19" t="str">
        <f aca="false">IF($H446=0,"",IF($H446&lt;=8,"Ótimo",IF($H446&lt;=12,"Bom",IF($H446&lt;=16,"Regular",IF($H446&lt;=20,"Alerta","Crítico")))))</f>
        <v/>
      </c>
      <c r="J446" s="20"/>
      <c r="K446" s="20"/>
    </row>
    <row r="447" customFormat="false" ht="15" hidden="false" customHeight="false" outlineLevel="0" collapsed="false">
      <c r="A447" s="21"/>
      <c r="B447" s="33" t="n">
        <f aca="false">IF($A447="",0,INT(($A447-Macrociclo!$C$11)/7)+1)</f>
        <v>0</v>
      </c>
      <c r="C447" s="20"/>
      <c r="D447" s="22"/>
      <c r="E447" s="22"/>
      <c r="F447" s="22"/>
      <c r="G447" s="22"/>
      <c r="H447" s="33" t="n">
        <f aca="false">IF(COUNT($D447:$G447)&lt;4,0,SUM($D447:$G447))</f>
        <v>0</v>
      </c>
      <c r="I447" s="19" t="str">
        <f aca="false">IF($H447=0,"",IF($H447&lt;=8,"Ótimo",IF($H447&lt;=12,"Bom",IF($H447&lt;=16,"Regular",IF($H447&lt;=20,"Alerta","Crítico")))))</f>
        <v/>
      </c>
      <c r="J447" s="20"/>
      <c r="K447" s="20"/>
    </row>
    <row r="448" customFormat="false" ht="15" hidden="false" customHeight="false" outlineLevel="0" collapsed="false">
      <c r="A448" s="21"/>
      <c r="B448" s="33" t="n">
        <f aca="false">IF($A448="",0,INT(($A448-Macrociclo!$C$11)/7)+1)</f>
        <v>0</v>
      </c>
      <c r="C448" s="20"/>
      <c r="D448" s="22"/>
      <c r="E448" s="22"/>
      <c r="F448" s="22"/>
      <c r="G448" s="22"/>
      <c r="H448" s="33" t="n">
        <f aca="false">IF(COUNT($D448:$G448)&lt;4,0,SUM($D448:$G448))</f>
        <v>0</v>
      </c>
      <c r="I448" s="19" t="str">
        <f aca="false">IF($H448=0,"",IF($H448&lt;=8,"Ótimo",IF($H448&lt;=12,"Bom",IF($H448&lt;=16,"Regular",IF($H448&lt;=20,"Alerta","Crítico")))))</f>
        <v/>
      </c>
      <c r="J448" s="20"/>
      <c r="K448" s="20"/>
    </row>
    <row r="449" customFormat="false" ht="15" hidden="false" customHeight="false" outlineLevel="0" collapsed="false">
      <c r="A449" s="21"/>
      <c r="B449" s="33" t="n">
        <f aca="false">IF($A449="",0,INT(($A449-Macrociclo!$C$11)/7)+1)</f>
        <v>0</v>
      </c>
      <c r="C449" s="20"/>
      <c r="D449" s="22"/>
      <c r="E449" s="22"/>
      <c r="F449" s="22"/>
      <c r="G449" s="22"/>
      <c r="H449" s="33" t="n">
        <f aca="false">IF(COUNT($D449:$G449)&lt;4,0,SUM($D449:$G449))</f>
        <v>0</v>
      </c>
      <c r="I449" s="19" t="str">
        <f aca="false">IF($H449=0,"",IF($H449&lt;=8,"Ótimo",IF($H449&lt;=12,"Bom",IF($H449&lt;=16,"Regular",IF($H449&lt;=20,"Alerta","Crítico")))))</f>
        <v/>
      </c>
      <c r="J449" s="20"/>
      <c r="K449" s="20"/>
    </row>
    <row r="450" customFormat="false" ht="15" hidden="false" customHeight="false" outlineLevel="0" collapsed="false">
      <c r="A450" s="21"/>
      <c r="B450" s="33" t="n">
        <f aca="false">IF($A450="",0,INT(($A450-Macrociclo!$C$11)/7)+1)</f>
        <v>0</v>
      </c>
      <c r="C450" s="20"/>
      <c r="D450" s="22"/>
      <c r="E450" s="22"/>
      <c r="F450" s="22"/>
      <c r="G450" s="22"/>
      <c r="H450" s="33" t="n">
        <f aca="false">IF(COUNT($D450:$G450)&lt;4,0,SUM($D450:$G450))</f>
        <v>0</v>
      </c>
      <c r="I450" s="19" t="str">
        <f aca="false">IF($H450=0,"",IF($H450&lt;=8,"Ótimo",IF($H450&lt;=12,"Bom",IF($H450&lt;=16,"Regular",IF($H450&lt;=20,"Alerta","Crítico")))))</f>
        <v/>
      </c>
      <c r="J450" s="20"/>
      <c r="K450" s="20"/>
    </row>
    <row r="451" customFormat="false" ht="15" hidden="false" customHeight="false" outlineLevel="0" collapsed="false">
      <c r="A451" s="21"/>
      <c r="B451" s="33" t="n">
        <f aca="false">IF($A451="",0,INT(($A451-Macrociclo!$C$11)/7)+1)</f>
        <v>0</v>
      </c>
      <c r="C451" s="20"/>
      <c r="D451" s="22"/>
      <c r="E451" s="22"/>
      <c r="F451" s="22"/>
      <c r="G451" s="22"/>
      <c r="H451" s="33" t="n">
        <f aca="false">IF(COUNT($D451:$G451)&lt;4,0,SUM($D451:$G451))</f>
        <v>0</v>
      </c>
      <c r="I451" s="19" t="str">
        <f aca="false">IF($H451=0,"",IF($H451&lt;=8,"Ótimo",IF($H451&lt;=12,"Bom",IF($H451&lt;=16,"Regular",IF($H451&lt;=20,"Alerta","Crítico")))))</f>
        <v/>
      </c>
      <c r="J451" s="20"/>
      <c r="K451" s="20"/>
    </row>
    <row r="452" customFormat="false" ht="15" hidden="false" customHeight="false" outlineLevel="0" collapsed="false">
      <c r="A452" s="21"/>
      <c r="B452" s="33" t="n">
        <f aca="false">IF($A452="",0,INT(($A452-Macrociclo!$C$11)/7)+1)</f>
        <v>0</v>
      </c>
      <c r="C452" s="20"/>
      <c r="D452" s="22"/>
      <c r="E452" s="22"/>
      <c r="F452" s="22"/>
      <c r="G452" s="22"/>
      <c r="H452" s="33" t="n">
        <f aca="false">IF(COUNT($D452:$G452)&lt;4,0,SUM($D452:$G452))</f>
        <v>0</v>
      </c>
      <c r="I452" s="19" t="str">
        <f aca="false">IF($H452=0,"",IF($H452&lt;=8,"Ótimo",IF($H452&lt;=12,"Bom",IF($H452&lt;=16,"Regular",IF($H452&lt;=20,"Alerta","Crítico")))))</f>
        <v/>
      </c>
      <c r="J452" s="20"/>
      <c r="K452" s="20"/>
    </row>
    <row r="453" customFormat="false" ht="15" hidden="false" customHeight="false" outlineLevel="0" collapsed="false">
      <c r="A453" s="21"/>
      <c r="B453" s="33" t="n">
        <f aca="false">IF($A453="",0,INT(($A453-Macrociclo!$C$11)/7)+1)</f>
        <v>0</v>
      </c>
      <c r="C453" s="20"/>
      <c r="D453" s="22"/>
      <c r="E453" s="22"/>
      <c r="F453" s="22"/>
      <c r="G453" s="22"/>
      <c r="H453" s="33" t="n">
        <f aca="false">IF(COUNT($D453:$G453)&lt;4,0,SUM($D453:$G453))</f>
        <v>0</v>
      </c>
      <c r="I453" s="19" t="str">
        <f aca="false">IF($H453=0,"",IF($H453&lt;=8,"Ótimo",IF($H453&lt;=12,"Bom",IF($H453&lt;=16,"Regular",IF($H453&lt;=20,"Alerta","Crítico")))))</f>
        <v/>
      </c>
      <c r="J453" s="20"/>
      <c r="K453" s="20"/>
    </row>
    <row r="454" customFormat="false" ht="15" hidden="false" customHeight="false" outlineLevel="0" collapsed="false">
      <c r="A454" s="21"/>
      <c r="B454" s="33" t="n">
        <f aca="false">IF($A454="",0,INT(($A454-Macrociclo!$C$11)/7)+1)</f>
        <v>0</v>
      </c>
      <c r="C454" s="20"/>
      <c r="D454" s="22"/>
      <c r="E454" s="22"/>
      <c r="F454" s="22"/>
      <c r="G454" s="22"/>
      <c r="H454" s="33" t="n">
        <f aca="false">IF(COUNT($D454:$G454)&lt;4,0,SUM($D454:$G454))</f>
        <v>0</v>
      </c>
      <c r="I454" s="19" t="str">
        <f aca="false">IF($H454=0,"",IF($H454&lt;=8,"Ótimo",IF($H454&lt;=12,"Bom",IF($H454&lt;=16,"Regular",IF($H454&lt;=20,"Alerta","Crítico")))))</f>
        <v/>
      </c>
      <c r="J454" s="20"/>
      <c r="K454" s="20"/>
    </row>
    <row r="455" customFormat="false" ht="15" hidden="false" customHeight="false" outlineLevel="0" collapsed="false">
      <c r="A455" s="21"/>
      <c r="B455" s="33" t="n">
        <f aca="false">IF($A455="",0,INT(($A455-Macrociclo!$C$11)/7)+1)</f>
        <v>0</v>
      </c>
      <c r="C455" s="20"/>
      <c r="D455" s="22"/>
      <c r="E455" s="22"/>
      <c r="F455" s="22"/>
      <c r="G455" s="22"/>
      <c r="H455" s="33" t="n">
        <f aca="false">IF(COUNT($D455:$G455)&lt;4,0,SUM($D455:$G455))</f>
        <v>0</v>
      </c>
      <c r="I455" s="19" t="str">
        <f aca="false">IF($H455=0,"",IF($H455&lt;=8,"Ótimo",IF($H455&lt;=12,"Bom",IF($H455&lt;=16,"Regular",IF($H455&lt;=20,"Alerta","Crítico")))))</f>
        <v/>
      </c>
      <c r="J455" s="20"/>
      <c r="K455" s="20"/>
    </row>
    <row r="456" customFormat="false" ht="15" hidden="false" customHeight="false" outlineLevel="0" collapsed="false">
      <c r="A456" s="21"/>
      <c r="B456" s="33" t="n">
        <f aca="false">IF($A456="",0,INT(($A456-Macrociclo!$C$11)/7)+1)</f>
        <v>0</v>
      </c>
      <c r="C456" s="20"/>
      <c r="D456" s="22"/>
      <c r="E456" s="22"/>
      <c r="F456" s="22"/>
      <c r="G456" s="22"/>
      <c r="H456" s="33" t="n">
        <f aca="false">IF(COUNT($D456:$G456)&lt;4,0,SUM($D456:$G456))</f>
        <v>0</v>
      </c>
      <c r="I456" s="19" t="str">
        <f aca="false">IF($H456=0,"",IF($H456&lt;=8,"Ótimo",IF($H456&lt;=12,"Bom",IF($H456&lt;=16,"Regular",IF($H456&lt;=20,"Alerta","Crítico")))))</f>
        <v/>
      </c>
      <c r="J456" s="20"/>
      <c r="K456" s="20"/>
    </row>
    <row r="457" customFormat="false" ht="15" hidden="false" customHeight="false" outlineLevel="0" collapsed="false">
      <c r="A457" s="21"/>
      <c r="B457" s="33" t="n">
        <f aca="false">IF($A457="",0,INT(($A457-Macrociclo!$C$11)/7)+1)</f>
        <v>0</v>
      </c>
      <c r="C457" s="20"/>
      <c r="D457" s="22"/>
      <c r="E457" s="22"/>
      <c r="F457" s="22"/>
      <c r="G457" s="22"/>
      <c r="H457" s="33" t="n">
        <f aca="false">IF(COUNT($D457:$G457)&lt;4,0,SUM($D457:$G457))</f>
        <v>0</v>
      </c>
      <c r="I457" s="19" t="str">
        <f aca="false">IF($H457=0,"",IF($H457&lt;=8,"Ótimo",IF($H457&lt;=12,"Bom",IF($H457&lt;=16,"Regular",IF($H457&lt;=20,"Alerta","Crítico")))))</f>
        <v/>
      </c>
      <c r="J457" s="20"/>
      <c r="K457" s="20"/>
    </row>
    <row r="458" customFormat="false" ht="15" hidden="false" customHeight="false" outlineLevel="0" collapsed="false">
      <c r="A458" s="21"/>
      <c r="B458" s="33" t="n">
        <f aca="false">IF($A458="",0,INT(($A458-Macrociclo!$C$11)/7)+1)</f>
        <v>0</v>
      </c>
      <c r="C458" s="20"/>
      <c r="D458" s="22"/>
      <c r="E458" s="22"/>
      <c r="F458" s="22"/>
      <c r="G458" s="22"/>
      <c r="H458" s="33" t="n">
        <f aca="false">IF(COUNT($D458:$G458)&lt;4,0,SUM($D458:$G458))</f>
        <v>0</v>
      </c>
      <c r="I458" s="19" t="str">
        <f aca="false">IF($H458=0,"",IF($H458&lt;=8,"Ótimo",IF($H458&lt;=12,"Bom",IF($H458&lt;=16,"Regular",IF($H458&lt;=20,"Alerta","Crítico")))))</f>
        <v/>
      </c>
      <c r="J458" s="20"/>
      <c r="K458" s="20"/>
    </row>
    <row r="459" customFormat="false" ht="15" hidden="false" customHeight="false" outlineLevel="0" collapsed="false">
      <c r="A459" s="21"/>
      <c r="B459" s="33" t="n">
        <f aca="false">IF($A459="",0,INT(($A459-Macrociclo!$C$11)/7)+1)</f>
        <v>0</v>
      </c>
      <c r="C459" s="20"/>
      <c r="D459" s="22"/>
      <c r="E459" s="22"/>
      <c r="F459" s="22"/>
      <c r="G459" s="22"/>
      <c r="H459" s="33" t="n">
        <f aca="false">IF(COUNT($D459:$G459)&lt;4,0,SUM($D459:$G459))</f>
        <v>0</v>
      </c>
      <c r="I459" s="19" t="str">
        <f aca="false">IF($H459=0,"",IF($H459&lt;=8,"Ótimo",IF($H459&lt;=12,"Bom",IF($H459&lt;=16,"Regular",IF($H459&lt;=20,"Alerta","Crítico")))))</f>
        <v/>
      </c>
      <c r="J459" s="20"/>
      <c r="K459" s="20"/>
    </row>
    <row r="460" customFormat="false" ht="15" hidden="false" customHeight="false" outlineLevel="0" collapsed="false">
      <c r="A460" s="21"/>
      <c r="B460" s="33" t="n">
        <f aca="false">IF($A460="",0,INT(($A460-Macrociclo!$C$11)/7)+1)</f>
        <v>0</v>
      </c>
      <c r="C460" s="20"/>
      <c r="D460" s="22"/>
      <c r="E460" s="22"/>
      <c r="F460" s="22"/>
      <c r="G460" s="22"/>
      <c r="H460" s="33" t="n">
        <f aca="false">IF(COUNT($D460:$G460)&lt;4,0,SUM($D460:$G460))</f>
        <v>0</v>
      </c>
      <c r="I460" s="19" t="str">
        <f aca="false">IF($H460=0,"",IF($H460&lt;=8,"Ótimo",IF($H460&lt;=12,"Bom",IF($H460&lt;=16,"Regular",IF($H460&lt;=20,"Alerta","Crítico")))))</f>
        <v/>
      </c>
      <c r="J460" s="20"/>
      <c r="K460" s="20"/>
    </row>
    <row r="461" customFormat="false" ht="15" hidden="false" customHeight="false" outlineLevel="0" collapsed="false">
      <c r="A461" s="21"/>
      <c r="B461" s="33" t="n">
        <f aca="false">IF($A461="",0,INT(($A461-Macrociclo!$C$11)/7)+1)</f>
        <v>0</v>
      </c>
      <c r="C461" s="20"/>
      <c r="D461" s="22"/>
      <c r="E461" s="22"/>
      <c r="F461" s="22"/>
      <c r="G461" s="22"/>
      <c r="H461" s="33" t="n">
        <f aca="false">IF(COUNT($D461:$G461)&lt;4,0,SUM($D461:$G461))</f>
        <v>0</v>
      </c>
      <c r="I461" s="19" t="str">
        <f aca="false">IF($H461=0,"",IF($H461&lt;=8,"Ótimo",IF($H461&lt;=12,"Bom",IF($H461&lt;=16,"Regular",IF($H461&lt;=20,"Alerta","Crítico")))))</f>
        <v/>
      </c>
      <c r="J461" s="20"/>
      <c r="K461" s="20"/>
    </row>
    <row r="462" customFormat="false" ht="15" hidden="false" customHeight="false" outlineLevel="0" collapsed="false">
      <c r="A462" s="21"/>
      <c r="B462" s="33" t="n">
        <f aca="false">IF($A462="",0,INT(($A462-Macrociclo!$C$11)/7)+1)</f>
        <v>0</v>
      </c>
      <c r="C462" s="20"/>
      <c r="D462" s="22"/>
      <c r="E462" s="22"/>
      <c r="F462" s="22"/>
      <c r="G462" s="22"/>
      <c r="H462" s="33" t="n">
        <f aca="false">IF(COUNT($D462:$G462)&lt;4,0,SUM($D462:$G462))</f>
        <v>0</v>
      </c>
      <c r="I462" s="19" t="str">
        <f aca="false">IF($H462=0,"",IF($H462&lt;=8,"Ótimo",IF($H462&lt;=12,"Bom",IF($H462&lt;=16,"Regular",IF($H462&lt;=20,"Alerta","Crítico")))))</f>
        <v/>
      </c>
      <c r="J462" s="20"/>
      <c r="K462" s="20"/>
    </row>
    <row r="463" customFormat="false" ht="15" hidden="false" customHeight="false" outlineLevel="0" collapsed="false">
      <c r="A463" s="21"/>
      <c r="B463" s="33" t="n">
        <f aca="false">IF($A463="",0,INT(($A463-Macrociclo!$C$11)/7)+1)</f>
        <v>0</v>
      </c>
      <c r="C463" s="20"/>
      <c r="D463" s="22"/>
      <c r="E463" s="22"/>
      <c r="F463" s="22"/>
      <c r="G463" s="22"/>
      <c r="H463" s="33" t="n">
        <f aca="false">IF(COUNT($D463:$G463)&lt;4,0,SUM($D463:$G463))</f>
        <v>0</v>
      </c>
      <c r="I463" s="19" t="str">
        <f aca="false">IF($H463=0,"",IF($H463&lt;=8,"Ótimo",IF($H463&lt;=12,"Bom",IF($H463&lt;=16,"Regular",IF($H463&lt;=20,"Alerta","Crítico")))))</f>
        <v/>
      </c>
      <c r="J463" s="20"/>
      <c r="K463" s="20"/>
    </row>
    <row r="464" customFormat="false" ht="15" hidden="false" customHeight="false" outlineLevel="0" collapsed="false">
      <c r="A464" s="21"/>
      <c r="B464" s="33" t="n">
        <f aca="false">IF($A464="",0,INT(($A464-Macrociclo!$C$11)/7)+1)</f>
        <v>0</v>
      </c>
      <c r="C464" s="20"/>
      <c r="D464" s="22"/>
      <c r="E464" s="22"/>
      <c r="F464" s="22"/>
      <c r="G464" s="22"/>
      <c r="H464" s="33" t="n">
        <f aca="false">IF(COUNT($D464:$G464)&lt;4,0,SUM($D464:$G464))</f>
        <v>0</v>
      </c>
      <c r="I464" s="19" t="str">
        <f aca="false">IF($H464=0,"",IF($H464&lt;=8,"Ótimo",IF($H464&lt;=12,"Bom",IF($H464&lt;=16,"Regular",IF($H464&lt;=20,"Alerta","Crítico")))))</f>
        <v/>
      </c>
      <c r="J464" s="20"/>
      <c r="K464" s="20"/>
    </row>
    <row r="465" customFormat="false" ht="15" hidden="false" customHeight="false" outlineLevel="0" collapsed="false">
      <c r="A465" s="21"/>
      <c r="B465" s="33" t="n">
        <f aca="false">IF($A465="",0,INT(($A465-Macrociclo!$C$11)/7)+1)</f>
        <v>0</v>
      </c>
      <c r="C465" s="20"/>
      <c r="D465" s="22"/>
      <c r="E465" s="22"/>
      <c r="F465" s="22"/>
      <c r="G465" s="22"/>
      <c r="H465" s="33" t="n">
        <f aca="false">IF(COUNT($D465:$G465)&lt;4,0,SUM($D465:$G465))</f>
        <v>0</v>
      </c>
      <c r="I465" s="19" t="str">
        <f aca="false">IF($H465=0,"",IF($H465&lt;=8,"Ótimo",IF($H465&lt;=12,"Bom",IF($H465&lt;=16,"Regular",IF($H465&lt;=20,"Alerta","Crítico")))))</f>
        <v/>
      </c>
      <c r="J465" s="20"/>
      <c r="K465" s="20"/>
    </row>
    <row r="466" customFormat="false" ht="15" hidden="false" customHeight="false" outlineLevel="0" collapsed="false">
      <c r="A466" s="21"/>
      <c r="B466" s="33" t="n">
        <f aca="false">IF($A466="",0,INT(($A466-Macrociclo!$C$11)/7)+1)</f>
        <v>0</v>
      </c>
      <c r="C466" s="20"/>
      <c r="D466" s="22"/>
      <c r="E466" s="22"/>
      <c r="F466" s="22"/>
      <c r="G466" s="22"/>
      <c r="H466" s="33" t="n">
        <f aca="false">IF(COUNT($D466:$G466)&lt;4,0,SUM($D466:$G466))</f>
        <v>0</v>
      </c>
      <c r="I466" s="19" t="str">
        <f aca="false">IF($H466=0,"",IF($H466&lt;=8,"Ótimo",IF($H466&lt;=12,"Bom",IF($H466&lt;=16,"Regular",IF($H466&lt;=20,"Alerta","Crítico")))))</f>
        <v/>
      </c>
      <c r="J466" s="20"/>
      <c r="K466" s="20"/>
    </row>
    <row r="467" customFormat="false" ht="15" hidden="false" customHeight="false" outlineLevel="0" collapsed="false">
      <c r="A467" s="21"/>
      <c r="B467" s="33" t="n">
        <f aca="false">IF($A467="",0,INT(($A467-Macrociclo!$C$11)/7)+1)</f>
        <v>0</v>
      </c>
      <c r="C467" s="20"/>
      <c r="D467" s="22"/>
      <c r="E467" s="22"/>
      <c r="F467" s="22"/>
      <c r="G467" s="22"/>
      <c r="H467" s="33" t="n">
        <f aca="false">IF(COUNT($D467:$G467)&lt;4,0,SUM($D467:$G467))</f>
        <v>0</v>
      </c>
      <c r="I467" s="19" t="str">
        <f aca="false">IF($H467=0,"",IF($H467&lt;=8,"Ótimo",IF($H467&lt;=12,"Bom",IF($H467&lt;=16,"Regular",IF($H467&lt;=20,"Alerta","Crítico")))))</f>
        <v/>
      </c>
      <c r="J467" s="20"/>
      <c r="K467" s="20"/>
    </row>
    <row r="468" customFormat="false" ht="15" hidden="false" customHeight="false" outlineLevel="0" collapsed="false">
      <c r="A468" s="21"/>
      <c r="B468" s="33" t="n">
        <f aca="false">IF($A468="",0,INT(($A468-Macrociclo!$C$11)/7)+1)</f>
        <v>0</v>
      </c>
      <c r="C468" s="20"/>
      <c r="D468" s="22"/>
      <c r="E468" s="22"/>
      <c r="F468" s="22"/>
      <c r="G468" s="22"/>
      <c r="H468" s="33" t="n">
        <f aca="false">IF(COUNT($D468:$G468)&lt;4,0,SUM($D468:$G468))</f>
        <v>0</v>
      </c>
      <c r="I468" s="19" t="str">
        <f aca="false">IF($H468=0,"",IF($H468&lt;=8,"Ótimo",IF($H468&lt;=12,"Bom",IF($H468&lt;=16,"Regular",IF($H468&lt;=20,"Alerta","Crítico")))))</f>
        <v/>
      </c>
      <c r="J468" s="20"/>
      <c r="K468" s="20"/>
    </row>
    <row r="469" customFormat="false" ht="15" hidden="false" customHeight="false" outlineLevel="0" collapsed="false">
      <c r="A469" s="21"/>
      <c r="B469" s="33" t="n">
        <f aca="false">IF($A469="",0,INT(($A469-Macrociclo!$C$11)/7)+1)</f>
        <v>0</v>
      </c>
      <c r="C469" s="20"/>
      <c r="D469" s="22"/>
      <c r="E469" s="22"/>
      <c r="F469" s="22"/>
      <c r="G469" s="22"/>
      <c r="H469" s="33" t="n">
        <f aca="false">IF(COUNT($D469:$G469)&lt;4,0,SUM($D469:$G469))</f>
        <v>0</v>
      </c>
      <c r="I469" s="19" t="str">
        <f aca="false">IF($H469=0,"",IF($H469&lt;=8,"Ótimo",IF($H469&lt;=12,"Bom",IF($H469&lt;=16,"Regular",IF($H469&lt;=20,"Alerta","Crítico")))))</f>
        <v/>
      </c>
      <c r="J469" s="20"/>
      <c r="K469" s="20"/>
    </row>
    <row r="470" customFormat="false" ht="15" hidden="false" customHeight="false" outlineLevel="0" collapsed="false">
      <c r="A470" s="21"/>
      <c r="B470" s="33" t="n">
        <f aca="false">IF($A470="",0,INT(($A470-Macrociclo!$C$11)/7)+1)</f>
        <v>0</v>
      </c>
      <c r="C470" s="20"/>
      <c r="D470" s="22"/>
      <c r="E470" s="22"/>
      <c r="F470" s="22"/>
      <c r="G470" s="22"/>
      <c r="H470" s="33" t="n">
        <f aca="false">IF(COUNT($D470:$G470)&lt;4,0,SUM($D470:$G470))</f>
        <v>0</v>
      </c>
      <c r="I470" s="19" t="str">
        <f aca="false">IF($H470=0,"",IF($H470&lt;=8,"Ótimo",IF($H470&lt;=12,"Bom",IF($H470&lt;=16,"Regular",IF($H470&lt;=20,"Alerta","Crítico")))))</f>
        <v/>
      </c>
      <c r="J470" s="20"/>
      <c r="K470" s="20"/>
    </row>
    <row r="471" customFormat="false" ht="15" hidden="false" customHeight="false" outlineLevel="0" collapsed="false">
      <c r="A471" s="21"/>
      <c r="B471" s="33" t="n">
        <f aca="false">IF($A471="",0,INT(($A471-Macrociclo!$C$11)/7)+1)</f>
        <v>0</v>
      </c>
      <c r="C471" s="20"/>
      <c r="D471" s="22"/>
      <c r="E471" s="22"/>
      <c r="F471" s="22"/>
      <c r="G471" s="22"/>
      <c r="H471" s="33" t="n">
        <f aca="false">IF(COUNT($D471:$G471)&lt;4,0,SUM($D471:$G471))</f>
        <v>0</v>
      </c>
      <c r="I471" s="19" t="str">
        <f aca="false">IF($H471=0,"",IF($H471&lt;=8,"Ótimo",IF($H471&lt;=12,"Bom",IF($H471&lt;=16,"Regular",IF($H471&lt;=20,"Alerta","Crítico")))))</f>
        <v/>
      </c>
      <c r="J471" s="20"/>
      <c r="K471" s="20"/>
    </row>
    <row r="472" customFormat="false" ht="15" hidden="false" customHeight="false" outlineLevel="0" collapsed="false">
      <c r="A472" s="21"/>
      <c r="B472" s="33" t="n">
        <f aca="false">IF($A472="",0,INT(($A472-Macrociclo!$C$11)/7)+1)</f>
        <v>0</v>
      </c>
      <c r="C472" s="20"/>
      <c r="D472" s="22"/>
      <c r="E472" s="22"/>
      <c r="F472" s="22"/>
      <c r="G472" s="22"/>
      <c r="H472" s="33" t="n">
        <f aca="false">IF(COUNT($D472:$G472)&lt;4,0,SUM($D472:$G472))</f>
        <v>0</v>
      </c>
      <c r="I472" s="19" t="str">
        <f aca="false">IF($H472=0,"",IF($H472&lt;=8,"Ótimo",IF($H472&lt;=12,"Bom",IF($H472&lt;=16,"Regular",IF($H472&lt;=20,"Alerta","Crítico")))))</f>
        <v/>
      </c>
      <c r="J472" s="20"/>
      <c r="K472" s="20"/>
    </row>
    <row r="473" customFormat="false" ht="15" hidden="false" customHeight="false" outlineLevel="0" collapsed="false">
      <c r="A473" s="21"/>
      <c r="B473" s="33" t="n">
        <f aca="false">IF($A473="",0,INT(($A473-Macrociclo!$C$11)/7)+1)</f>
        <v>0</v>
      </c>
      <c r="C473" s="20"/>
      <c r="D473" s="22"/>
      <c r="E473" s="22"/>
      <c r="F473" s="22"/>
      <c r="G473" s="22"/>
      <c r="H473" s="33" t="n">
        <f aca="false">IF(COUNT($D473:$G473)&lt;4,0,SUM($D473:$G473))</f>
        <v>0</v>
      </c>
      <c r="I473" s="19" t="str">
        <f aca="false">IF($H473=0,"",IF($H473&lt;=8,"Ótimo",IF($H473&lt;=12,"Bom",IF($H473&lt;=16,"Regular",IF($H473&lt;=20,"Alerta","Crítico")))))</f>
        <v/>
      </c>
      <c r="J473" s="20"/>
      <c r="K473" s="20"/>
    </row>
    <row r="474" customFormat="false" ht="15" hidden="false" customHeight="false" outlineLevel="0" collapsed="false">
      <c r="A474" s="21"/>
      <c r="B474" s="33" t="n">
        <f aca="false">IF($A474="",0,INT(($A474-Macrociclo!$C$11)/7)+1)</f>
        <v>0</v>
      </c>
      <c r="C474" s="20"/>
      <c r="D474" s="22"/>
      <c r="E474" s="22"/>
      <c r="F474" s="22"/>
      <c r="G474" s="22"/>
      <c r="H474" s="33" t="n">
        <f aca="false">IF(COUNT($D474:$G474)&lt;4,0,SUM($D474:$G474))</f>
        <v>0</v>
      </c>
      <c r="I474" s="19" t="str">
        <f aca="false">IF($H474=0,"",IF($H474&lt;=8,"Ótimo",IF($H474&lt;=12,"Bom",IF($H474&lt;=16,"Regular",IF($H474&lt;=20,"Alerta","Crítico")))))</f>
        <v/>
      </c>
      <c r="J474" s="20"/>
      <c r="K474" s="20"/>
    </row>
    <row r="475" customFormat="false" ht="15" hidden="false" customHeight="false" outlineLevel="0" collapsed="false">
      <c r="A475" s="21"/>
      <c r="B475" s="33" t="n">
        <f aca="false">IF($A475="",0,INT(($A475-Macrociclo!$C$11)/7)+1)</f>
        <v>0</v>
      </c>
      <c r="C475" s="20"/>
      <c r="D475" s="22"/>
      <c r="E475" s="22"/>
      <c r="F475" s="22"/>
      <c r="G475" s="22"/>
      <c r="H475" s="33" t="n">
        <f aca="false">IF(COUNT($D475:$G475)&lt;4,0,SUM($D475:$G475))</f>
        <v>0</v>
      </c>
      <c r="I475" s="19" t="str">
        <f aca="false">IF($H475=0,"",IF($H475&lt;=8,"Ótimo",IF($H475&lt;=12,"Bom",IF($H475&lt;=16,"Regular",IF($H475&lt;=20,"Alerta","Crítico")))))</f>
        <v/>
      </c>
      <c r="J475" s="20"/>
      <c r="K475" s="20"/>
    </row>
    <row r="476" customFormat="false" ht="15" hidden="false" customHeight="false" outlineLevel="0" collapsed="false">
      <c r="A476" s="21"/>
      <c r="B476" s="33" t="n">
        <f aca="false">IF($A476="",0,INT(($A476-Macrociclo!$C$11)/7)+1)</f>
        <v>0</v>
      </c>
      <c r="C476" s="20"/>
      <c r="D476" s="22"/>
      <c r="E476" s="22"/>
      <c r="F476" s="22"/>
      <c r="G476" s="22"/>
      <c r="H476" s="33" t="n">
        <f aca="false">IF(COUNT($D476:$G476)&lt;4,0,SUM($D476:$G476))</f>
        <v>0</v>
      </c>
      <c r="I476" s="19" t="str">
        <f aca="false">IF($H476=0,"",IF($H476&lt;=8,"Ótimo",IF($H476&lt;=12,"Bom",IF($H476&lt;=16,"Regular",IF($H476&lt;=20,"Alerta","Crítico")))))</f>
        <v/>
      </c>
      <c r="J476" s="20"/>
      <c r="K476" s="20"/>
    </row>
    <row r="477" customFormat="false" ht="15" hidden="false" customHeight="false" outlineLevel="0" collapsed="false">
      <c r="A477" s="21"/>
      <c r="B477" s="33" t="n">
        <f aca="false">IF($A477="",0,INT(($A477-Macrociclo!$C$11)/7)+1)</f>
        <v>0</v>
      </c>
      <c r="C477" s="20"/>
      <c r="D477" s="22"/>
      <c r="E477" s="22"/>
      <c r="F477" s="22"/>
      <c r="G477" s="22"/>
      <c r="H477" s="33" t="n">
        <f aca="false">IF(COUNT($D477:$G477)&lt;4,0,SUM($D477:$G477))</f>
        <v>0</v>
      </c>
      <c r="I477" s="19" t="str">
        <f aca="false">IF($H477=0,"",IF($H477&lt;=8,"Ótimo",IF($H477&lt;=12,"Bom",IF($H477&lt;=16,"Regular",IF($H477&lt;=20,"Alerta","Crítico")))))</f>
        <v/>
      </c>
      <c r="J477" s="20"/>
      <c r="K477" s="20"/>
    </row>
    <row r="478" customFormat="false" ht="15" hidden="false" customHeight="false" outlineLevel="0" collapsed="false">
      <c r="A478" s="21"/>
      <c r="B478" s="33" t="n">
        <f aca="false">IF($A478="",0,INT(($A478-Macrociclo!$C$11)/7)+1)</f>
        <v>0</v>
      </c>
      <c r="C478" s="20"/>
      <c r="D478" s="22"/>
      <c r="E478" s="22"/>
      <c r="F478" s="22"/>
      <c r="G478" s="22"/>
      <c r="H478" s="33" t="n">
        <f aca="false">IF(COUNT($D478:$G478)&lt;4,0,SUM($D478:$G478))</f>
        <v>0</v>
      </c>
      <c r="I478" s="19" t="str">
        <f aca="false">IF($H478=0,"",IF($H478&lt;=8,"Ótimo",IF($H478&lt;=12,"Bom",IF($H478&lt;=16,"Regular",IF($H478&lt;=20,"Alerta","Crítico")))))</f>
        <v/>
      </c>
      <c r="J478" s="20"/>
      <c r="K478" s="20"/>
    </row>
    <row r="479" customFormat="false" ht="15" hidden="false" customHeight="false" outlineLevel="0" collapsed="false">
      <c r="A479" s="21"/>
      <c r="B479" s="33" t="n">
        <f aca="false">IF($A479="",0,INT(($A479-Macrociclo!$C$11)/7)+1)</f>
        <v>0</v>
      </c>
      <c r="C479" s="20"/>
      <c r="D479" s="22"/>
      <c r="E479" s="22"/>
      <c r="F479" s="22"/>
      <c r="G479" s="22"/>
      <c r="H479" s="33" t="n">
        <f aca="false">IF(COUNT($D479:$G479)&lt;4,0,SUM($D479:$G479))</f>
        <v>0</v>
      </c>
      <c r="I479" s="19" t="str">
        <f aca="false">IF($H479=0,"",IF($H479&lt;=8,"Ótimo",IF($H479&lt;=12,"Bom",IF($H479&lt;=16,"Regular",IF($H479&lt;=20,"Alerta","Crítico")))))</f>
        <v/>
      </c>
      <c r="J479" s="20"/>
      <c r="K479" s="20"/>
    </row>
    <row r="480" customFormat="false" ht="15" hidden="false" customHeight="false" outlineLevel="0" collapsed="false">
      <c r="A480" s="21"/>
      <c r="B480" s="33" t="n">
        <f aca="false">IF($A480="",0,INT(($A480-Macrociclo!$C$11)/7)+1)</f>
        <v>0</v>
      </c>
      <c r="C480" s="20"/>
      <c r="D480" s="22"/>
      <c r="E480" s="22"/>
      <c r="F480" s="22"/>
      <c r="G480" s="22"/>
      <c r="H480" s="33" t="n">
        <f aca="false">IF(COUNT($D480:$G480)&lt;4,0,SUM($D480:$G480))</f>
        <v>0</v>
      </c>
      <c r="I480" s="19" t="str">
        <f aca="false">IF($H480=0,"",IF($H480&lt;=8,"Ótimo",IF($H480&lt;=12,"Bom",IF($H480&lt;=16,"Regular",IF($H480&lt;=20,"Alerta","Crítico")))))</f>
        <v/>
      </c>
      <c r="J480" s="20"/>
      <c r="K480" s="20"/>
    </row>
    <row r="481" customFormat="false" ht="15" hidden="false" customHeight="false" outlineLevel="0" collapsed="false">
      <c r="A481" s="21"/>
      <c r="B481" s="33" t="n">
        <f aca="false">IF($A481="",0,INT(($A481-Macrociclo!$C$11)/7)+1)</f>
        <v>0</v>
      </c>
      <c r="C481" s="20"/>
      <c r="D481" s="22"/>
      <c r="E481" s="22"/>
      <c r="F481" s="22"/>
      <c r="G481" s="22"/>
      <c r="H481" s="33" t="n">
        <f aca="false">IF(COUNT($D481:$G481)&lt;4,0,SUM($D481:$G481))</f>
        <v>0</v>
      </c>
      <c r="I481" s="19" t="str">
        <f aca="false">IF($H481=0,"",IF($H481&lt;=8,"Ótimo",IF($H481&lt;=12,"Bom",IF($H481&lt;=16,"Regular",IF($H481&lt;=20,"Alerta","Crítico")))))</f>
        <v/>
      </c>
      <c r="J481" s="20"/>
      <c r="K481" s="20"/>
    </row>
    <row r="482" customFormat="false" ht="15" hidden="false" customHeight="false" outlineLevel="0" collapsed="false">
      <c r="A482" s="21"/>
      <c r="B482" s="33" t="n">
        <f aca="false">IF($A482="",0,INT(($A482-Macrociclo!$C$11)/7)+1)</f>
        <v>0</v>
      </c>
      <c r="C482" s="20"/>
      <c r="D482" s="22"/>
      <c r="E482" s="22"/>
      <c r="F482" s="22"/>
      <c r="G482" s="22"/>
      <c r="H482" s="33" t="n">
        <f aca="false">IF(COUNT($D482:$G482)&lt;4,0,SUM($D482:$G482))</f>
        <v>0</v>
      </c>
      <c r="I482" s="19" t="str">
        <f aca="false">IF($H482=0,"",IF($H482&lt;=8,"Ótimo",IF($H482&lt;=12,"Bom",IF($H482&lt;=16,"Regular",IF($H482&lt;=20,"Alerta","Crítico")))))</f>
        <v/>
      </c>
      <c r="J482" s="20"/>
      <c r="K482" s="20"/>
    </row>
    <row r="483" customFormat="false" ht="15" hidden="false" customHeight="false" outlineLevel="0" collapsed="false">
      <c r="A483" s="21"/>
      <c r="B483" s="33" t="n">
        <f aca="false">IF($A483="",0,INT(($A483-Macrociclo!$C$11)/7)+1)</f>
        <v>0</v>
      </c>
      <c r="C483" s="20"/>
      <c r="D483" s="22"/>
      <c r="E483" s="22"/>
      <c r="F483" s="22"/>
      <c r="G483" s="22"/>
      <c r="H483" s="33" t="n">
        <f aca="false">IF(COUNT($D483:$G483)&lt;4,0,SUM($D483:$G483))</f>
        <v>0</v>
      </c>
      <c r="I483" s="19" t="str">
        <f aca="false">IF($H483=0,"",IF($H483&lt;=8,"Ótimo",IF($H483&lt;=12,"Bom",IF($H483&lt;=16,"Regular",IF($H483&lt;=20,"Alerta","Crítico")))))</f>
        <v/>
      </c>
      <c r="J483" s="20"/>
      <c r="K483" s="20"/>
    </row>
    <row r="484" customFormat="false" ht="15" hidden="false" customHeight="false" outlineLevel="0" collapsed="false">
      <c r="A484" s="21"/>
      <c r="B484" s="33" t="n">
        <f aca="false">IF($A484="",0,INT(($A484-Macrociclo!$C$11)/7)+1)</f>
        <v>0</v>
      </c>
      <c r="C484" s="20"/>
      <c r="D484" s="22"/>
      <c r="E484" s="22"/>
      <c r="F484" s="22"/>
      <c r="G484" s="22"/>
      <c r="H484" s="33" t="n">
        <f aca="false">IF(COUNT($D484:$G484)&lt;4,0,SUM($D484:$G484))</f>
        <v>0</v>
      </c>
      <c r="I484" s="19" t="str">
        <f aca="false">IF($H484=0,"",IF($H484&lt;=8,"Ótimo",IF($H484&lt;=12,"Bom",IF($H484&lt;=16,"Regular",IF($H484&lt;=20,"Alerta","Crítico")))))</f>
        <v/>
      </c>
      <c r="J484" s="20"/>
      <c r="K484" s="20"/>
    </row>
    <row r="485" customFormat="false" ht="15" hidden="false" customHeight="false" outlineLevel="0" collapsed="false">
      <c r="A485" s="21"/>
      <c r="B485" s="33" t="n">
        <f aca="false">IF($A485="",0,INT(($A485-Macrociclo!$C$11)/7)+1)</f>
        <v>0</v>
      </c>
      <c r="C485" s="20"/>
      <c r="D485" s="22"/>
      <c r="E485" s="22"/>
      <c r="F485" s="22"/>
      <c r="G485" s="22"/>
      <c r="H485" s="33" t="n">
        <f aca="false">IF(COUNT($D485:$G485)&lt;4,0,SUM($D485:$G485))</f>
        <v>0</v>
      </c>
      <c r="I485" s="19" t="str">
        <f aca="false">IF($H485=0,"",IF($H485&lt;=8,"Ótimo",IF($H485&lt;=12,"Bom",IF($H485&lt;=16,"Regular",IF($H485&lt;=20,"Alerta","Crítico")))))</f>
        <v/>
      </c>
      <c r="J485" s="20"/>
      <c r="K485" s="20"/>
    </row>
    <row r="486" customFormat="false" ht="15" hidden="false" customHeight="false" outlineLevel="0" collapsed="false">
      <c r="A486" s="21"/>
      <c r="B486" s="33" t="n">
        <f aca="false">IF($A486="",0,INT(($A486-Macrociclo!$C$11)/7)+1)</f>
        <v>0</v>
      </c>
      <c r="C486" s="20"/>
      <c r="D486" s="22"/>
      <c r="E486" s="22"/>
      <c r="F486" s="22"/>
      <c r="G486" s="22"/>
      <c r="H486" s="33" t="n">
        <f aca="false">IF(COUNT($D486:$G486)&lt;4,0,SUM($D486:$G486))</f>
        <v>0</v>
      </c>
      <c r="I486" s="19" t="str">
        <f aca="false">IF($H486=0,"",IF($H486&lt;=8,"Ótimo",IF($H486&lt;=12,"Bom",IF($H486&lt;=16,"Regular",IF($H486&lt;=20,"Alerta","Crítico")))))</f>
        <v/>
      </c>
      <c r="J486" s="20"/>
      <c r="K486" s="20"/>
    </row>
    <row r="487" customFormat="false" ht="15" hidden="false" customHeight="false" outlineLevel="0" collapsed="false">
      <c r="A487" s="21"/>
      <c r="B487" s="33" t="n">
        <f aca="false">IF($A487="",0,INT(($A487-Macrociclo!$C$11)/7)+1)</f>
        <v>0</v>
      </c>
      <c r="C487" s="20"/>
      <c r="D487" s="22"/>
      <c r="E487" s="22"/>
      <c r="F487" s="22"/>
      <c r="G487" s="22"/>
      <c r="H487" s="33" t="n">
        <f aca="false">IF(COUNT($D487:$G487)&lt;4,0,SUM($D487:$G487))</f>
        <v>0</v>
      </c>
      <c r="I487" s="19" t="str">
        <f aca="false">IF($H487=0,"",IF($H487&lt;=8,"Ótimo",IF($H487&lt;=12,"Bom",IF($H487&lt;=16,"Regular",IF($H487&lt;=20,"Alerta","Crítico")))))</f>
        <v/>
      </c>
      <c r="J487" s="20"/>
      <c r="K487" s="20"/>
    </row>
    <row r="488" customFormat="false" ht="15" hidden="false" customHeight="false" outlineLevel="0" collapsed="false">
      <c r="A488" s="21"/>
      <c r="B488" s="33" t="n">
        <f aca="false">IF($A488="",0,INT(($A488-Macrociclo!$C$11)/7)+1)</f>
        <v>0</v>
      </c>
      <c r="C488" s="20"/>
      <c r="D488" s="22"/>
      <c r="E488" s="22"/>
      <c r="F488" s="22"/>
      <c r="G488" s="22"/>
      <c r="H488" s="33" t="n">
        <f aca="false">IF(COUNT($D488:$G488)&lt;4,0,SUM($D488:$G488))</f>
        <v>0</v>
      </c>
      <c r="I488" s="19" t="str">
        <f aca="false">IF($H488=0,"",IF($H488&lt;=8,"Ótimo",IF($H488&lt;=12,"Bom",IF($H488&lt;=16,"Regular",IF($H488&lt;=20,"Alerta","Crítico")))))</f>
        <v/>
      </c>
      <c r="J488" s="20"/>
      <c r="K488" s="20"/>
    </row>
    <row r="489" customFormat="false" ht="15" hidden="false" customHeight="false" outlineLevel="0" collapsed="false">
      <c r="A489" s="21"/>
      <c r="B489" s="33" t="n">
        <f aca="false">IF($A489="",0,INT(($A489-Macrociclo!$C$11)/7)+1)</f>
        <v>0</v>
      </c>
      <c r="C489" s="20"/>
      <c r="D489" s="22"/>
      <c r="E489" s="22"/>
      <c r="F489" s="22"/>
      <c r="G489" s="22"/>
      <c r="H489" s="33" t="n">
        <f aca="false">IF(COUNT($D489:$G489)&lt;4,0,SUM($D489:$G489))</f>
        <v>0</v>
      </c>
      <c r="I489" s="19" t="str">
        <f aca="false">IF($H489=0,"",IF($H489&lt;=8,"Ótimo",IF($H489&lt;=12,"Bom",IF($H489&lt;=16,"Regular",IF($H489&lt;=20,"Alerta","Crítico")))))</f>
        <v/>
      </c>
      <c r="J489" s="20"/>
      <c r="K489" s="20"/>
    </row>
    <row r="490" customFormat="false" ht="15" hidden="false" customHeight="false" outlineLevel="0" collapsed="false">
      <c r="A490" s="21"/>
      <c r="B490" s="33" t="n">
        <f aca="false">IF($A490="",0,INT(($A490-Macrociclo!$C$11)/7)+1)</f>
        <v>0</v>
      </c>
      <c r="C490" s="20"/>
      <c r="D490" s="22"/>
      <c r="E490" s="22"/>
      <c r="F490" s="22"/>
      <c r="G490" s="22"/>
      <c r="H490" s="33" t="n">
        <f aca="false">IF(COUNT($D490:$G490)&lt;4,0,SUM($D490:$G490))</f>
        <v>0</v>
      </c>
      <c r="I490" s="19" t="str">
        <f aca="false">IF($H490=0,"",IF($H490&lt;=8,"Ótimo",IF($H490&lt;=12,"Bom",IF($H490&lt;=16,"Regular",IF($H490&lt;=20,"Alerta","Crítico")))))</f>
        <v/>
      </c>
      <c r="J490" s="20"/>
      <c r="K490" s="20"/>
    </row>
    <row r="491" customFormat="false" ht="15" hidden="false" customHeight="false" outlineLevel="0" collapsed="false">
      <c r="A491" s="21"/>
      <c r="B491" s="33" t="n">
        <f aca="false">IF($A491="",0,INT(($A491-Macrociclo!$C$11)/7)+1)</f>
        <v>0</v>
      </c>
      <c r="C491" s="20"/>
      <c r="D491" s="22"/>
      <c r="E491" s="22"/>
      <c r="F491" s="22"/>
      <c r="G491" s="22"/>
      <c r="H491" s="33" t="n">
        <f aca="false">IF(COUNT($D491:$G491)&lt;4,0,SUM($D491:$G491))</f>
        <v>0</v>
      </c>
      <c r="I491" s="19" t="str">
        <f aca="false">IF($H491=0,"",IF($H491&lt;=8,"Ótimo",IF($H491&lt;=12,"Bom",IF($H491&lt;=16,"Regular",IF($H491&lt;=20,"Alerta","Crítico")))))</f>
        <v/>
      </c>
      <c r="J491" s="20"/>
      <c r="K491" s="20"/>
    </row>
    <row r="492" customFormat="false" ht="15" hidden="false" customHeight="false" outlineLevel="0" collapsed="false">
      <c r="A492" s="21"/>
      <c r="B492" s="33" t="n">
        <f aca="false">IF($A492="",0,INT(($A492-Macrociclo!$C$11)/7)+1)</f>
        <v>0</v>
      </c>
      <c r="C492" s="20"/>
      <c r="D492" s="22"/>
      <c r="E492" s="22"/>
      <c r="F492" s="22"/>
      <c r="G492" s="22"/>
      <c r="H492" s="33" t="n">
        <f aca="false">IF(COUNT($D492:$G492)&lt;4,0,SUM($D492:$G492))</f>
        <v>0</v>
      </c>
      <c r="I492" s="19" t="str">
        <f aca="false">IF($H492=0,"",IF($H492&lt;=8,"Ótimo",IF($H492&lt;=12,"Bom",IF($H492&lt;=16,"Regular",IF($H492&lt;=20,"Alerta","Crítico")))))</f>
        <v/>
      </c>
      <c r="J492" s="20"/>
      <c r="K492" s="20"/>
    </row>
    <row r="493" customFormat="false" ht="15" hidden="false" customHeight="false" outlineLevel="0" collapsed="false">
      <c r="A493" s="21"/>
      <c r="B493" s="33" t="n">
        <f aca="false">IF($A493="",0,INT(($A493-Macrociclo!$C$11)/7)+1)</f>
        <v>0</v>
      </c>
      <c r="C493" s="20"/>
      <c r="D493" s="22"/>
      <c r="E493" s="22"/>
      <c r="F493" s="22"/>
      <c r="G493" s="22"/>
      <c r="H493" s="33" t="n">
        <f aca="false">IF(COUNT($D493:$G493)&lt;4,0,SUM($D493:$G493))</f>
        <v>0</v>
      </c>
      <c r="I493" s="19" t="str">
        <f aca="false">IF($H493=0,"",IF($H493&lt;=8,"Ótimo",IF($H493&lt;=12,"Bom",IF($H493&lt;=16,"Regular",IF($H493&lt;=20,"Alerta","Crítico")))))</f>
        <v/>
      </c>
      <c r="J493" s="20"/>
      <c r="K493" s="20"/>
    </row>
    <row r="494" customFormat="false" ht="15" hidden="false" customHeight="false" outlineLevel="0" collapsed="false">
      <c r="A494" s="21"/>
      <c r="B494" s="33" t="n">
        <f aca="false">IF($A494="",0,INT(($A494-Macrociclo!$C$11)/7)+1)</f>
        <v>0</v>
      </c>
      <c r="C494" s="20"/>
      <c r="D494" s="22"/>
      <c r="E494" s="22"/>
      <c r="F494" s="22"/>
      <c r="G494" s="22"/>
      <c r="H494" s="33" t="n">
        <f aca="false">IF(COUNT($D494:$G494)&lt;4,0,SUM($D494:$G494))</f>
        <v>0</v>
      </c>
      <c r="I494" s="19" t="str">
        <f aca="false">IF($H494=0,"",IF($H494&lt;=8,"Ótimo",IF($H494&lt;=12,"Bom",IF($H494&lt;=16,"Regular",IF($H494&lt;=20,"Alerta","Crítico")))))</f>
        <v/>
      </c>
      <c r="J494" s="20"/>
      <c r="K494" s="20"/>
    </row>
    <row r="495" customFormat="false" ht="15" hidden="false" customHeight="false" outlineLevel="0" collapsed="false">
      <c r="A495" s="21"/>
      <c r="B495" s="33" t="n">
        <f aca="false">IF($A495="",0,INT(($A495-Macrociclo!$C$11)/7)+1)</f>
        <v>0</v>
      </c>
      <c r="C495" s="20"/>
      <c r="D495" s="22"/>
      <c r="E495" s="22"/>
      <c r="F495" s="22"/>
      <c r="G495" s="22"/>
      <c r="H495" s="33" t="n">
        <f aca="false">IF(COUNT($D495:$G495)&lt;4,0,SUM($D495:$G495))</f>
        <v>0</v>
      </c>
      <c r="I495" s="19" t="str">
        <f aca="false">IF($H495=0,"",IF($H495&lt;=8,"Ótimo",IF($H495&lt;=12,"Bom",IF($H495&lt;=16,"Regular",IF($H495&lt;=20,"Alerta","Crítico")))))</f>
        <v/>
      </c>
      <c r="J495" s="20"/>
      <c r="K495" s="20"/>
    </row>
    <row r="496" customFormat="false" ht="15" hidden="false" customHeight="false" outlineLevel="0" collapsed="false">
      <c r="A496" s="21"/>
      <c r="B496" s="33" t="n">
        <f aca="false">IF($A496="",0,INT(($A496-Macrociclo!$C$11)/7)+1)</f>
        <v>0</v>
      </c>
      <c r="C496" s="20"/>
      <c r="D496" s="22"/>
      <c r="E496" s="22"/>
      <c r="F496" s="22"/>
      <c r="G496" s="22"/>
      <c r="H496" s="33" t="n">
        <f aca="false">IF(COUNT($D496:$G496)&lt;4,0,SUM($D496:$G496))</f>
        <v>0</v>
      </c>
      <c r="I496" s="19" t="str">
        <f aca="false">IF($H496=0,"",IF($H496&lt;=8,"Ótimo",IF($H496&lt;=12,"Bom",IF($H496&lt;=16,"Regular",IF($H496&lt;=20,"Alerta","Crítico")))))</f>
        <v/>
      </c>
      <c r="J496" s="20"/>
      <c r="K496" s="20"/>
    </row>
    <row r="497" customFormat="false" ht="15" hidden="false" customHeight="false" outlineLevel="0" collapsed="false">
      <c r="A497" s="21"/>
      <c r="B497" s="33" t="n">
        <f aca="false">IF($A497="",0,INT(($A497-Macrociclo!$C$11)/7)+1)</f>
        <v>0</v>
      </c>
      <c r="C497" s="20"/>
      <c r="D497" s="22"/>
      <c r="E497" s="22"/>
      <c r="F497" s="22"/>
      <c r="G497" s="22"/>
      <c r="H497" s="33" t="n">
        <f aca="false">IF(COUNT($D497:$G497)&lt;4,0,SUM($D497:$G497))</f>
        <v>0</v>
      </c>
      <c r="I497" s="19" t="str">
        <f aca="false">IF($H497=0,"",IF($H497&lt;=8,"Ótimo",IF($H497&lt;=12,"Bom",IF($H497&lt;=16,"Regular",IF($H497&lt;=20,"Alerta","Crítico")))))</f>
        <v/>
      </c>
      <c r="J497" s="20"/>
      <c r="K497" s="20"/>
    </row>
    <row r="498" customFormat="false" ht="15" hidden="false" customHeight="false" outlineLevel="0" collapsed="false">
      <c r="A498" s="21"/>
      <c r="B498" s="33" t="n">
        <f aca="false">IF($A498="",0,INT(($A498-Macrociclo!$C$11)/7)+1)</f>
        <v>0</v>
      </c>
      <c r="C498" s="20"/>
      <c r="D498" s="22"/>
      <c r="E498" s="22"/>
      <c r="F498" s="22"/>
      <c r="G498" s="22"/>
      <c r="H498" s="33" t="n">
        <f aca="false">IF(COUNT($D498:$G498)&lt;4,0,SUM($D498:$G498))</f>
        <v>0</v>
      </c>
      <c r="I498" s="19" t="str">
        <f aca="false">IF($H498=0,"",IF($H498&lt;=8,"Ótimo",IF($H498&lt;=12,"Bom",IF($H498&lt;=16,"Regular",IF($H498&lt;=20,"Alerta","Crítico")))))</f>
        <v/>
      </c>
      <c r="J498" s="20"/>
      <c r="K498" s="20"/>
    </row>
    <row r="499" customFormat="false" ht="15" hidden="false" customHeight="false" outlineLevel="0" collapsed="false">
      <c r="A499" s="21"/>
      <c r="B499" s="33" t="n">
        <f aca="false">IF($A499="",0,INT(($A499-Macrociclo!$C$11)/7)+1)</f>
        <v>0</v>
      </c>
      <c r="C499" s="20"/>
      <c r="D499" s="22"/>
      <c r="E499" s="22"/>
      <c r="F499" s="22"/>
      <c r="G499" s="22"/>
      <c r="H499" s="33" t="n">
        <f aca="false">IF(COUNT($D499:$G499)&lt;4,0,SUM($D499:$G499))</f>
        <v>0</v>
      </c>
      <c r="I499" s="19" t="str">
        <f aca="false">IF($H499=0,"",IF($H499&lt;=8,"Ótimo",IF($H499&lt;=12,"Bom",IF($H499&lt;=16,"Regular",IF($H499&lt;=20,"Alerta","Crítico")))))</f>
        <v/>
      </c>
      <c r="J499" s="20"/>
      <c r="K499" s="20"/>
    </row>
    <row r="500" customFormat="false" ht="15" hidden="false" customHeight="false" outlineLevel="0" collapsed="false">
      <c r="A500" s="21"/>
      <c r="B500" s="33" t="n">
        <f aca="false">IF($A500="",0,INT(($A500-Macrociclo!$C$11)/7)+1)</f>
        <v>0</v>
      </c>
      <c r="C500" s="20"/>
      <c r="D500" s="22"/>
      <c r="E500" s="22"/>
      <c r="F500" s="22"/>
      <c r="G500" s="22"/>
      <c r="H500" s="33" t="n">
        <f aca="false">IF(COUNT($D500:$G500)&lt;4,0,SUM($D500:$G500))</f>
        <v>0</v>
      </c>
      <c r="I500" s="19" t="str">
        <f aca="false">IF($H500=0,"",IF($H500&lt;=8,"Ótimo",IF($H500&lt;=12,"Bom",IF($H500&lt;=16,"Regular",IF($H500&lt;=20,"Alerta","Crítico")))))</f>
        <v/>
      </c>
      <c r="J500" s="20"/>
      <c r="K500" s="20"/>
    </row>
    <row r="501" customFormat="false" ht="15" hidden="false" customHeight="false" outlineLevel="0" collapsed="false">
      <c r="A501" s="21"/>
      <c r="B501" s="33" t="n">
        <f aca="false">IF($A501="",0,INT(($A501-Macrociclo!$C$11)/7)+1)</f>
        <v>0</v>
      </c>
      <c r="C501" s="20"/>
      <c r="D501" s="22"/>
      <c r="E501" s="22"/>
      <c r="F501" s="22"/>
      <c r="G501" s="22"/>
      <c r="H501" s="33" t="n">
        <f aca="false">IF(COUNT($D501:$G501)&lt;4,0,SUM($D501:$G501))</f>
        <v>0</v>
      </c>
      <c r="I501" s="19" t="str">
        <f aca="false">IF($H501=0,"",IF($H501&lt;=8,"Ótimo",IF($H501&lt;=12,"Bom",IF($H501&lt;=16,"Regular",IF($H501&lt;=20,"Alerta","Crítico")))))</f>
        <v/>
      </c>
      <c r="J501" s="20"/>
      <c r="K501" s="20"/>
    </row>
    <row r="502" customFormat="false" ht="15" hidden="false" customHeight="false" outlineLevel="0" collapsed="false">
      <c r="A502" s="21"/>
      <c r="B502" s="33" t="n">
        <f aca="false">IF($A502="",0,INT(($A502-Macrociclo!$C$11)/7)+1)</f>
        <v>0</v>
      </c>
      <c r="C502" s="20"/>
      <c r="D502" s="22"/>
      <c r="E502" s="22"/>
      <c r="F502" s="22"/>
      <c r="G502" s="22"/>
      <c r="H502" s="33" t="n">
        <f aca="false">IF(COUNT($D502:$G502)&lt;4,0,SUM($D502:$G502))</f>
        <v>0</v>
      </c>
      <c r="I502" s="19" t="str">
        <f aca="false">IF($H502=0,"",IF($H502&lt;=8,"Ótimo",IF($H502&lt;=12,"Bom",IF($H502&lt;=16,"Regular",IF($H502&lt;=20,"Alerta","Crítico")))))</f>
        <v/>
      </c>
      <c r="J502" s="20"/>
      <c r="K502" s="20"/>
    </row>
    <row r="503" customFormat="false" ht="15" hidden="false" customHeight="false" outlineLevel="0" collapsed="false">
      <c r="A503" s="21"/>
      <c r="B503" s="33" t="n">
        <f aca="false">IF($A503="",0,INT(($A503-Macrociclo!$C$11)/7)+1)</f>
        <v>0</v>
      </c>
      <c r="C503" s="20"/>
      <c r="D503" s="22"/>
      <c r="E503" s="22"/>
      <c r="F503" s="22"/>
      <c r="G503" s="22"/>
      <c r="H503" s="33" t="n">
        <f aca="false">IF(COUNT($D503:$G503)&lt;4,0,SUM($D503:$G503))</f>
        <v>0</v>
      </c>
      <c r="I503" s="19" t="str">
        <f aca="false">IF($H503=0,"",IF($H503&lt;=8,"Ótimo",IF($H503&lt;=12,"Bom",IF($H503&lt;=16,"Regular",IF($H503&lt;=20,"Alerta","Crítico")))))</f>
        <v/>
      </c>
      <c r="J503" s="20"/>
      <c r="K503" s="20"/>
    </row>
    <row r="504" customFormat="false" ht="15" hidden="false" customHeight="false" outlineLevel="0" collapsed="false">
      <c r="A504" s="21"/>
      <c r="B504" s="33" t="n">
        <f aca="false">IF($A504="",0,INT(($A504-Macrociclo!$C$11)/7)+1)</f>
        <v>0</v>
      </c>
      <c r="C504" s="20"/>
      <c r="D504" s="22"/>
      <c r="E504" s="22"/>
      <c r="F504" s="22"/>
      <c r="G504" s="22"/>
      <c r="H504" s="33" t="n">
        <f aca="false">IF(COUNT($D504:$G504)&lt;4,0,SUM($D504:$G504))</f>
        <v>0</v>
      </c>
      <c r="I504" s="19" t="str">
        <f aca="false">IF($H504=0,"",IF($H504&lt;=8,"Ótimo",IF($H504&lt;=12,"Bom",IF($H504&lt;=16,"Regular",IF($H504&lt;=20,"Alerta","Crítico")))))</f>
        <v/>
      </c>
      <c r="J504" s="20"/>
      <c r="K504" s="20"/>
    </row>
    <row r="505" customFormat="false" ht="15" hidden="false" customHeight="false" outlineLevel="0" collapsed="false">
      <c r="A505" s="21"/>
      <c r="B505" s="33" t="n">
        <f aca="false">IF($A505="",0,INT(($A505-Macrociclo!$C$11)/7)+1)</f>
        <v>0</v>
      </c>
      <c r="C505" s="20"/>
      <c r="D505" s="22"/>
      <c r="E505" s="22"/>
      <c r="F505" s="22"/>
      <c r="G505" s="22"/>
      <c r="H505" s="33" t="n">
        <f aca="false">IF(COUNT($D505:$G505)&lt;4,0,SUM($D505:$G505))</f>
        <v>0</v>
      </c>
      <c r="I505" s="19" t="str">
        <f aca="false">IF($H505=0,"",IF($H505&lt;=8,"Ótimo",IF($H505&lt;=12,"Bom",IF($H505&lt;=16,"Regular",IF($H505&lt;=20,"Alerta","Crítico")))))</f>
        <v/>
      </c>
      <c r="J505" s="20"/>
      <c r="K505" s="20"/>
    </row>
    <row r="506" customFormat="false" ht="15" hidden="false" customHeight="false" outlineLevel="0" collapsed="false">
      <c r="A506" s="21"/>
      <c r="B506" s="33" t="n">
        <f aca="false">IF($A506="",0,INT(($A506-Macrociclo!$C$11)/7)+1)</f>
        <v>0</v>
      </c>
      <c r="C506" s="20"/>
      <c r="D506" s="22"/>
      <c r="E506" s="22"/>
      <c r="F506" s="22"/>
      <c r="G506" s="22"/>
      <c r="H506" s="33" t="n">
        <f aca="false">IF(COUNT($D506:$G506)&lt;4,0,SUM($D506:$G506))</f>
        <v>0</v>
      </c>
      <c r="I506" s="19" t="str">
        <f aca="false">IF($H506=0,"",IF($H506&lt;=8,"Ótimo",IF($H506&lt;=12,"Bom",IF($H506&lt;=16,"Regular",IF($H506&lt;=20,"Alerta","Crítico")))))</f>
        <v/>
      </c>
      <c r="J506" s="20"/>
      <c r="K506" s="20"/>
    </row>
    <row r="507" customFormat="false" ht="15" hidden="false" customHeight="false" outlineLevel="0" collapsed="false">
      <c r="A507" s="21"/>
      <c r="B507" s="33" t="n">
        <f aca="false">IF($A507="",0,INT(($A507-Macrociclo!$C$11)/7)+1)</f>
        <v>0</v>
      </c>
      <c r="C507" s="20"/>
      <c r="D507" s="22"/>
      <c r="E507" s="22"/>
      <c r="F507" s="22"/>
      <c r="G507" s="22"/>
      <c r="H507" s="33" t="n">
        <f aca="false">IF(COUNT($D507:$G507)&lt;4,0,SUM($D507:$G507))</f>
        <v>0</v>
      </c>
      <c r="I507" s="19" t="str">
        <f aca="false">IF($H507=0,"",IF($H507&lt;=8,"Ótimo",IF($H507&lt;=12,"Bom",IF($H507&lt;=16,"Regular",IF($H507&lt;=20,"Alerta","Crítico")))))</f>
        <v/>
      </c>
      <c r="J507" s="20"/>
      <c r="K507" s="20"/>
    </row>
    <row r="508" customFormat="false" ht="15" hidden="false" customHeight="false" outlineLevel="0" collapsed="false">
      <c r="A508" s="21"/>
      <c r="B508" s="33" t="n">
        <f aca="false">IF($A508="",0,INT(($A508-Macrociclo!$C$11)/7)+1)</f>
        <v>0</v>
      </c>
      <c r="C508" s="20"/>
      <c r="D508" s="22"/>
      <c r="E508" s="22"/>
      <c r="F508" s="22"/>
      <c r="G508" s="22"/>
      <c r="H508" s="33" t="n">
        <f aca="false">IF(COUNT($D508:$G508)&lt;4,0,SUM($D508:$G508))</f>
        <v>0</v>
      </c>
      <c r="I508" s="19" t="str">
        <f aca="false">IF($H508=0,"",IF($H508&lt;=8,"Ótimo",IF($H508&lt;=12,"Bom",IF($H508&lt;=16,"Regular",IF($H508&lt;=20,"Alerta","Crítico")))))</f>
        <v/>
      </c>
      <c r="J508" s="20"/>
      <c r="K508" s="20"/>
    </row>
    <row r="509" customFormat="false" ht="15" hidden="false" customHeight="false" outlineLevel="0" collapsed="false">
      <c r="A509" s="21"/>
      <c r="B509" s="33" t="n">
        <f aca="false">IF($A509="",0,INT(($A509-Macrociclo!$C$11)/7)+1)</f>
        <v>0</v>
      </c>
      <c r="C509" s="20"/>
      <c r="D509" s="22"/>
      <c r="E509" s="22"/>
      <c r="F509" s="22"/>
      <c r="G509" s="22"/>
      <c r="H509" s="33" t="n">
        <f aca="false">IF(COUNT($D509:$G509)&lt;4,0,SUM($D509:$G509))</f>
        <v>0</v>
      </c>
      <c r="I509" s="19" t="str">
        <f aca="false">IF($H509=0,"",IF($H509&lt;=8,"Ótimo",IF($H509&lt;=12,"Bom",IF($H509&lt;=16,"Regular",IF($H509&lt;=20,"Alerta","Crítico")))))</f>
        <v/>
      </c>
      <c r="J509" s="20"/>
      <c r="K509" s="20"/>
    </row>
    <row r="510" customFormat="false" ht="15" hidden="false" customHeight="false" outlineLevel="0" collapsed="false">
      <c r="A510" s="21"/>
      <c r="B510" s="33" t="n">
        <f aca="false">IF($A510="",0,INT(($A510-Macrociclo!$C$11)/7)+1)</f>
        <v>0</v>
      </c>
      <c r="C510" s="20"/>
      <c r="D510" s="22"/>
      <c r="E510" s="22"/>
      <c r="F510" s="22"/>
      <c r="G510" s="22"/>
      <c r="H510" s="33" t="n">
        <f aca="false">IF(COUNT($D510:$G510)&lt;4,0,SUM($D510:$G510))</f>
        <v>0</v>
      </c>
      <c r="I510" s="19" t="str">
        <f aca="false">IF($H510=0,"",IF($H510&lt;=8,"Ótimo",IF($H510&lt;=12,"Bom",IF($H510&lt;=16,"Regular",IF($H510&lt;=20,"Alerta","Crítico")))))</f>
        <v/>
      </c>
      <c r="J510" s="20"/>
      <c r="K510" s="20"/>
    </row>
    <row r="511" customFormat="false" ht="15" hidden="false" customHeight="false" outlineLevel="0" collapsed="false">
      <c r="A511" s="21"/>
      <c r="B511" s="33" t="n">
        <f aca="false">IF($A511="",0,INT(($A511-Macrociclo!$C$11)/7)+1)</f>
        <v>0</v>
      </c>
      <c r="C511" s="20"/>
      <c r="D511" s="22"/>
      <c r="E511" s="22"/>
      <c r="F511" s="22"/>
      <c r="G511" s="22"/>
      <c r="H511" s="33" t="n">
        <f aca="false">IF(COUNT($D511:$G511)&lt;4,0,SUM($D511:$G511))</f>
        <v>0</v>
      </c>
      <c r="I511" s="19" t="str">
        <f aca="false">IF($H511=0,"",IF($H511&lt;=8,"Ótimo",IF($H511&lt;=12,"Bom",IF($H511&lt;=16,"Regular",IF($H511&lt;=20,"Alerta","Crítico")))))</f>
        <v/>
      </c>
      <c r="J511" s="20"/>
      <c r="K511" s="20"/>
    </row>
    <row r="512" customFormat="false" ht="15" hidden="false" customHeight="false" outlineLevel="0" collapsed="false">
      <c r="A512" s="21"/>
      <c r="B512" s="33" t="n">
        <f aca="false">IF($A512="",0,INT(($A512-Macrociclo!$C$11)/7)+1)</f>
        <v>0</v>
      </c>
      <c r="C512" s="20"/>
      <c r="D512" s="22"/>
      <c r="E512" s="22"/>
      <c r="F512" s="22"/>
      <c r="G512" s="22"/>
      <c r="H512" s="33" t="n">
        <f aca="false">IF(COUNT($D512:$G512)&lt;4,0,SUM($D512:$G512))</f>
        <v>0</v>
      </c>
      <c r="I512" s="19" t="str">
        <f aca="false">IF($H512=0,"",IF($H512&lt;=8,"Ótimo",IF($H512&lt;=12,"Bom",IF($H512&lt;=16,"Regular",IF($H512&lt;=20,"Alerta","Crítico")))))</f>
        <v/>
      </c>
      <c r="J512" s="20"/>
      <c r="K512" s="20"/>
    </row>
    <row r="513" customFormat="false" ht="15" hidden="false" customHeight="false" outlineLevel="0" collapsed="false">
      <c r="A513" s="21"/>
      <c r="B513" s="33" t="n">
        <f aca="false">IF($A513="",0,INT(($A513-Macrociclo!$C$11)/7)+1)</f>
        <v>0</v>
      </c>
      <c r="C513" s="20"/>
      <c r="D513" s="22"/>
      <c r="E513" s="22"/>
      <c r="F513" s="22"/>
      <c r="G513" s="22"/>
      <c r="H513" s="33" t="n">
        <f aca="false">IF(COUNT($D513:$G513)&lt;4,0,SUM($D513:$G513))</f>
        <v>0</v>
      </c>
      <c r="I513" s="19" t="str">
        <f aca="false">IF($H513=0,"",IF($H513&lt;=8,"Ótimo",IF($H513&lt;=12,"Bom",IF($H513&lt;=16,"Regular",IF($H513&lt;=20,"Alerta","Crítico")))))</f>
        <v/>
      </c>
      <c r="J513" s="20"/>
      <c r="K513" s="20"/>
    </row>
    <row r="514" customFormat="false" ht="15" hidden="false" customHeight="false" outlineLevel="0" collapsed="false">
      <c r="A514" s="21"/>
      <c r="B514" s="33" t="n">
        <f aca="false">IF($A514="",0,INT(($A514-Macrociclo!$C$11)/7)+1)</f>
        <v>0</v>
      </c>
      <c r="C514" s="20"/>
      <c r="D514" s="22"/>
      <c r="E514" s="22"/>
      <c r="F514" s="22"/>
      <c r="G514" s="22"/>
      <c r="H514" s="33" t="n">
        <f aca="false">IF(COUNT($D514:$G514)&lt;4,0,SUM($D514:$G514))</f>
        <v>0</v>
      </c>
      <c r="I514" s="19" t="str">
        <f aca="false">IF($H514=0,"",IF($H514&lt;=8,"Ótimo",IF($H514&lt;=12,"Bom",IF($H514&lt;=16,"Regular",IF($H514&lt;=20,"Alerta","Crítico")))))</f>
        <v/>
      </c>
      <c r="J514" s="20"/>
      <c r="K514" s="20"/>
    </row>
    <row r="515" customFormat="false" ht="15" hidden="false" customHeight="false" outlineLevel="0" collapsed="false">
      <c r="A515" s="21"/>
      <c r="B515" s="33" t="n">
        <f aca="false">IF($A515="",0,INT(($A515-Macrociclo!$C$11)/7)+1)</f>
        <v>0</v>
      </c>
      <c r="C515" s="20"/>
      <c r="D515" s="22"/>
      <c r="E515" s="22"/>
      <c r="F515" s="22"/>
      <c r="G515" s="22"/>
      <c r="H515" s="33" t="n">
        <f aca="false">IF(COUNT($D515:$G515)&lt;4,0,SUM($D515:$G515))</f>
        <v>0</v>
      </c>
      <c r="I515" s="19" t="str">
        <f aca="false">IF($H515=0,"",IF($H515&lt;=8,"Ótimo",IF($H515&lt;=12,"Bom",IF($H515&lt;=16,"Regular",IF($H515&lt;=20,"Alerta","Crítico")))))</f>
        <v/>
      </c>
      <c r="J515" s="20"/>
      <c r="K515" s="20"/>
    </row>
    <row r="516" customFormat="false" ht="15" hidden="false" customHeight="false" outlineLevel="0" collapsed="false">
      <c r="A516" s="21"/>
      <c r="B516" s="33" t="n">
        <f aca="false">IF($A516="",0,INT(($A516-Macrociclo!$C$11)/7)+1)</f>
        <v>0</v>
      </c>
      <c r="C516" s="20"/>
      <c r="D516" s="22"/>
      <c r="E516" s="22"/>
      <c r="F516" s="22"/>
      <c r="G516" s="22"/>
      <c r="H516" s="33" t="n">
        <f aca="false">IF(COUNT($D516:$G516)&lt;4,0,SUM($D516:$G516))</f>
        <v>0</v>
      </c>
      <c r="I516" s="19" t="str">
        <f aca="false">IF($H516=0,"",IF($H516&lt;=8,"Ótimo",IF($H516&lt;=12,"Bom",IF($H516&lt;=16,"Regular",IF($H516&lt;=20,"Alerta","Crítico")))))</f>
        <v/>
      </c>
      <c r="J516" s="20"/>
      <c r="K516" s="20"/>
    </row>
    <row r="517" customFormat="false" ht="15" hidden="false" customHeight="false" outlineLevel="0" collapsed="false">
      <c r="A517" s="21"/>
      <c r="B517" s="33" t="n">
        <f aca="false">IF($A517="",0,INT(($A517-Macrociclo!$C$11)/7)+1)</f>
        <v>0</v>
      </c>
      <c r="C517" s="20"/>
      <c r="D517" s="22"/>
      <c r="E517" s="22"/>
      <c r="F517" s="22"/>
      <c r="G517" s="22"/>
      <c r="H517" s="33" t="n">
        <f aca="false">IF(COUNT($D517:$G517)&lt;4,0,SUM($D517:$G517))</f>
        <v>0</v>
      </c>
      <c r="I517" s="19" t="str">
        <f aca="false">IF($H517=0,"",IF($H517&lt;=8,"Ótimo",IF($H517&lt;=12,"Bom",IF($H517&lt;=16,"Regular",IF($H517&lt;=20,"Alerta","Crítico")))))</f>
        <v/>
      </c>
      <c r="J517" s="20"/>
      <c r="K517" s="20"/>
    </row>
    <row r="518" customFormat="false" ht="15" hidden="false" customHeight="false" outlineLevel="0" collapsed="false">
      <c r="A518" s="21"/>
      <c r="B518" s="33" t="n">
        <f aca="false">IF($A518="",0,INT(($A518-Macrociclo!$C$11)/7)+1)</f>
        <v>0</v>
      </c>
      <c r="C518" s="20"/>
      <c r="D518" s="22"/>
      <c r="E518" s="22"/>
      <c r="F518" s="22"/>
      <c r="G518" s="22"/>
      <c r="H518" s="33" t="n">
        <f aca="false">IF(COUNT($D518:$G518)&lt;4,0,SUM($D518:$G518))</f>
        <v>0</v>
      </c>
      <c r="I518" s="19" t="str">
        <f aca="false">IF($H518=0,"",IF($H518&lt;=8,"Ótimo",IF($H518&lt;=12,"Bom",IF($H518&lt;=16,"Regular",IF($H518&lt;=20,"Alerta","Crítico")))))</f>
        <v/>
      </c>
      <c r="J518" s="20"/>
      <c r="K518" s="20"/>
    </row>
    <row r="519" customFormat="false" ht="15" hidden="false" customHeight="false" outlineLevel="0" collapsed="false">
      <c r="A519" s="21"/>
      <c r="B519" s="33" t="n">
        <f aca="false">IF($A519="",0,INT(($A519-Macrociclo!$C$11)/7)+1)</f>
        <v>0</v>
      </c>
      <c r="C519" s="20"/>
      <c r="D519" s="22"/>
      <c r="E519" s="22"/>
      <c r="F519" s="22"/>
      <c r="G519" s="22"/>
      <c r="H519" s="33" t="n">
        <f aca="false">IF(COUNT($D519:$G519)&lt;4,0,SUM($D519:$G519))</f>
        <v>0</v>
      </c>
      <c r="I519" s="19" t="str">
        <f aca="false">IF($H519=0,"",IF($H519&lt;=8,"Ótimo",IF($H519&lt;=12,"Bom",IF($H519&lt;=16,"Regular",IF($H519&lt;=20,"Alerta","Crítico")))))</f>
        <v/>
      </c>
      <c r="J519" s="20"/>
      <c r="K519" s="20"/>
    </row>
    <row r="520" customFormat="false" ht="15" hidden="false" customHeight="false" outlineLevel="0" collapsed="false">
      <c r="A520" s="21"/>
      <c r="B520" s="33" t="n">
        <f aca="false">IF($A520="",0,INT(($A520-Macrociclo!$C$11)/7)+1)</f>
        <v>0</v>
      </c>
      <c r="C520" s="20"/>
      <c r="D520" s="22"/>
      <c r="E520" s="22"/>
      <c r="F520" s="22"/>
      <c r="G520" s="22"/>
      <c r="H520" s="33" t="n">
        <f aca="false">IF(COUNT($D520:$G520)&lt;4,0,SUM($D520:$G520))</f>
        <v>0</v>
      </c>
      <c r="I520" s="19" t="str">
        <f aca="false">IF($H520=0,"",IF($H520&lt;=8,"Ótimo",IF($H520&lt;=12,"Bom",IF($H520&lt;=16,"Regular",IF($H520&lt;=20,"Alerta","Crítico")))))</f>
        <v/>
      </c>
      <c r="J520" s="20"/>
      <c r="K520" s="20"/>
    </row>
    <row r="521" customFormat="false" ht="15" hidden="false" customHeight="false" outlineLevel="0" collapsed="false">
      <c r="A521" s="21"/>
      <c r="B521" s="33" t="n">
        <f aca="false">IF($A521="",0,INT(($A521-Macrociclo!$C$11)/7)+1)</f>
        <v>0</v>
      </c>
      <c r="C521" s="20"/>
      <c r="D521" s="22"/>
      <c r="E521" s="22"/>
      <c r="F521" s="22"/>
      <c r="G521" s="22"/>
      <c r="H521" s="33" t="n">
        <f aca="false">IF(COUNT($D521:$G521)&lt;4,0,SUM($D521:$G521))</f>
        <v>0</v>
      </c>
      <c r="I521" s="19" t="str">
        <f aca="false">IF($H521=0,"",IF($H521&lt;=8,"Ótimo",IF($H521&lt;=12,"Bom",IF($H521&lt;=16,"Regular",IF($H521&lt;=20,"Alerta","Crítico")))))</f>
        <v/>
      </c>
      <c r="J521" s="20"/>
      <c r="K521" s="20"/>
    </row>
    <row r="522" customFormat="false" ht="15" hidden="false" customHeight="false" outlineLevel="0" collapsed="false">
      <c r="A522" s="21"/>
      <c r="B522" s="33" t="n">
        <f aca="false">IF($A522="",0,INT(($A522-Macrociclo!$C$11)/7)+1)</f>
        <v>0</v>
      </c>
      <c r="C522" s="20"/>
      <c r="D522" s="22"/>
      <c r="E522" s="22"/>
      <c r="F522" s="22"/>
      <c r="G522" s="22"/>
      <c r="H522" s="33" t="n">
        <f aca="false">IF(COUNT($D522:$G522)&lt;4,0,SUM($D522:$G522))</f>
        <v>0</v>
      </c>
      <c r="I522" s="19" t="str">
        <f aca="false">IF($H522=0,"",IF($H522&lt;=8,"Ótimo",IF($H522&lt;=12,"Bom",IF($H522&lt;=16,"Regular",IF($H522&lt;=20,"Alerta","Crítico")))))</f>
        <v/>
      </c>
      <c r="J522" s="20"/>
      <c r="K522" s="20"/>
    </row>
    <row r="523" customFormat="false" ht="15" hidden="false" customHeight="false" outlineLevel="0" collapsed="false">
      <c r="A523" s="21"/>
      <c r="B523" s="33" t="n">
        <f aca="false">IF($A523="",0,INT(($A523-Macrociclo!$C$11)/7)+1)</f>
        <v>0</v>
      </c>
      <c r="C523" s="20"/>
      <c r="D523" s="22"/>
      <c r="E523" s="22"/>
      <c r="F523" s="22"/>
      <c r="G523" s="22"/>
      <c r="H523" s="33" t="n">
        <f aca="false">IF(COUNT($D523:$G523)&lt;4,0,SUM($D523:$G523))</f>
        <v>0</v>
      </c>
      <c r="I523" s="19" t="str">
        <f aca="false">IF($H523=0,"",IF($H523&lt;=8,"Ótimo",IF($H523&lt;=12,"Bom",IF($H523&lt;=16,"Regular",IF($H523&lt;=20,"Alerta","Crítico")))))</f>
        <v/>
      </c>
      <c r="J523" s="20"/>
      <c r="K523" s="20"/>
    </row>
    <row r="524" customFormat="false" ht="15" hidden="false" customHeight="false" outlineLevel="0" collapsed="false">
      <c r="A524" s="21"/>
      <c r="B524" s="33" t="n">
        <f aca="false">IF($A524="",0,INT(($A524-Macrociclo!$C$11)/7)+1)</f>
        <v>0</v>
      </c>
      <c r="C524" s="20"/>
      <c r="D524" s="22"/>
      <c r="E524" s="22"/>
      <c r="F524" s="22"/>
      <c r="G524" s="22"/>
      <c r="H524" s="33" t="n">
        <f aca="false">IF(COUNT($D524:$G524)&lt;4,0,SUM($D524:$G524))</f>
        <v>0</v>
      </c>
      <c r="I524" s="19" t="str">
        <f aca="false">IF($H524=0,"",IF($H524&lt;=8,"Ótimo",IF($H524&lt;=12,"Bom",IF($H524&lt;=16,"Regular",IF($H524&lt;=20,"Alerta","Crítico")))))</f>
        <v/>
      </c>
      <c r="J524" s="20"/>
      <c r="K524" s="20"/>
    </row>
    <row r="525" customFormat="false" ht="15" hidden="false" customHeight="false" outlineLevel="0" collapsed="false">
      <c r="A525" s="21"/>
      <c r="B525" s="33" t="n">
        <f aca="false">IF($A525="",0,INT(($A525-Macrociclo!$C$11)/7)+1)</f>
        <v>0</v>
      </c>
      <c r="C525" s="20"/>
      <c r="D525" s="22"/>
      <c r="E525" s="22"/>
      <c r="F525" s="22"/>
      <c r="G525" s="22"/>
      <c r="H525" s="33" t="n">
        <f aca="false">IF(COUNT($D525:$G525)&lt;4,0,SUM($D525:$G525))</f>
        <v>0</v>
      </c>
      <c r="I525" s="19" t="str">
        <f aca="false">IF($H525=0,"",IF($H525&lt;=8,"Ótimo",IF($H525&lt;=12,"Bom",IF($H525&lt;=16,"Regular",IF($H525&lt;=20,"Alerta","Crítico")))))</f>
        <v/>
      </c>
      <c r="J525" s="20"/>
      <c r="K525" s="20"/>
    </row>
    <row r="526" customFormat="false" ht="15" hidden="false" customHeight="false" outlineLevel="0" collapsed="false">
      <c r="A526" s="21"/>
      <c r="B526" s="33" t="n">
        <f aca="false">IF($A526="",0,INT(($A526-Macrociclo!$C$11)/7)+1)</f>
        <v>0</v>
      </c>
      <c r="C526" s="20"/>
      <c r="D526" s="22"/>
      <c r="E526" s="22"/>
      <c r="F526" s="22"/>
      <c r="G526" s="22"/>
      <c r="H526" s="33" t="n">
        <f aca="false">IF(COUNT($D526:$G526)&lt;4,0,SUM($D526:$G526))</f>
        <v>0</v>
      </c>
      <c r="I526" s="19" t="str">
        <f aca="false">IF($H526=0,"",IF($H526&lt;=8,"Ótimo",IF($H526&lt;=12,"Bom",IF($H526&lt;=16,"Regular",IF($H526&lt;=20,"Alerta","Crítico")))))</f>
        <v/>
      </c>
      <c r="J526" s="20"/>
      <c r="K526" s="20"/>
    </row>
    <row r="527" customFormat="false" ht="15" hidden="false" customHeight="false" outlineLevel="0" collapsed="false">
      <c r="A527" s="21"/>
      <c r="B527" s="33" t="n">
        <f aca="false">IF($A527="",0,INT(($A527-Macrociclo!$C$11)/7)+1)</f>
        <v>0</v>
      </c>
      <c r="C527" s="20"/>
      <c r="D527" s="22"/>
      <c r="E527" s="22"/>
      <c r="F527" s="22"/>
      <c r="G527" s="22"/>
      <c r="H527" s="33" t="n">
        <f aca="false">IF(COUNT($D527:$G527)&lt;4,0,SUM($D527:$G527))</f>
        <v>0</v>
      </c>
      <c r="I527" s="19" t="str">
        <f aca="false">IF($H527=0,"",IF($H527&lt;=8,"Ótimo",IF($H527&lt;=12,"Bom",IF($H527&lt;=16,"Regular",IF($H527&lt;=20,"Alerta","Crítico")))))</f>
        <v/>
      </c>
      <c r="J527" s="20"/>
      <c r="K527" s="20"/>
    </row>
    <row r="528" customFormat="false" ht="15" hidden="false" customHeight="false" outlineLevel="0" collapsed="false">
      <c r="A528" s="21"/>
      <c r="B528" s="33" t="n">
        <f aca="false">IF($A528="",0,INT(($A528-Macrociclo!$C$11)/7)+1)</f>
        <v>0</v>
      </c>
      <c r="C528" s="20"/>
      <c r="D528" s="22"/>
      <c r="E528" s="22"/>
      <c r="F528" s="22"/>
      <c r="G528" s="22"/>
      <c r="H528" s="33" t="n">
        <f aca="false">IF(COUNT($D528:$G528)&lt;4,0,SUM($D528:$G528))</f>
        <v>0</v>
      </c>
      <c r="I528" s="19" t="str">
        <f aca="false">IF($H528=0,"",IF($H528&lt;=8,"Ótimo",IF($H528&lt;=12,"Bom",IF($H528&lt;=16,"Regular",IF($H528&lt;=20,"Alerta","Crítico")))))</f>
        <v/>
      </c>
      <c r="J528" s="20"/>
      <c r="K528" s="20"/>
    </row>
    <row r="529" customFormat="false" ht="15" hidden="false" customHeight="false" outlineLevel="0" collapsed="false">
      <c r="A529" s="21"/>
      <c r="B529" s="33" t="n">
        <f aca="false">IF($A529="",0,INT(($A529-Macrociclo!$C$11)/7)+1)</f>
        <v>0</v>
      </c>
      <c r="C529" s="20"/>
      <c r="D529" s="22"/>
      <c r="E529" s="22"/>
      <c r="F529" s="22"/>
      <c r="G529" s="22"/>
      <c r="H529" s="33" t="n">
        <f aca="false">IF(COUNT($D529:$G529)&lt;4,0,SUM($D529:$G529))</f>
        <v>0</v>
      </c>
      <c r="I529" s="19" t="str">
        <f aca="false">IF($H529=0,"",IF($H529&lt;=8,"Ótimo",IF($H529&lt;=12,"Bom",IF($H529&lt;=16,"Regular",IF($H529&lt;=20,"Alerta","Crítico")))))</f>
        <v/>
      </c>
      <c r="J529" s="20"/>
      <c r="K529" s="20"/>
    </row>
    <row r="530" customFormat="false" ht="15" hidden="false" customHeight="false" outlineLevel="0" collapsed="false">
      <c r="A530" s="21"/>
      <c r="B530" s="33" t="n">
        <f aca="false">IF($A530="",0,INT(($A530-Macrociclo!$C$11)/7)+1)</f>
        <v>0</v>
      </c>
      <c r="C530" s="20"/>
      <c r="D530" s="22"/>
      <c r="E530" s="22"/>
      <c r="F530" s="22"/>
      <c r="G530" s="22"/>
      <c r="H530" s="33" t="n">
        <f aca="false">IF(COUNT($D530:$G530)&lt;4,0,SUM($D530:$G530))</f>
        <v>0</v>
      </c>
      <c r="I530" s="19" t="str">
        <f aca="false">IF($H530=0,"",IF($H530&lt;=8,"Ótimo",IF($H530&lt;=12,"Bom",IF($H530&lt;=16,"Regular",IF($H530&lt;=20,"Alerta","Crítico")))))</f>
        <v/>
      </c>
      <c r="J530" s="20"/>
      <c r="K530" s="20"/>
    </row>
    <row r="531" customFormat="false" ht="15" hidden="false" customHeight="false" outlineLevel="0" collapsed="false">
      <c r="A531" s="21"/>
      <c r="B531" s="33" t="n">
        <f aca="false">IF($A531="",0,INT(($A531-Macrociclo!$C$11)/7)+1)</f>
        <v>0</v>
      </c>
      <c r="C531" s="20"/>
      <c r="D531" s="22"/>
      <c r="E531" s="22"/>
      <c r="F531" s="22"/>
      <c r="G531" s="22"/>
      <c r="H531" s="33" t="n">
        <f aca="false">IF(COUNT($D531:$G531)&lt;4,0,SUM($D531:$G531))</f>
        <v>0</v>
      </c>
      <c r="I531" s="19" t="str">
        <f aca="false">IF($H531=0,"",IF($H531&lt;=8,"Ótimo",IF($H531&lt;=12,"Bom",IF($H531&lt;=16,"Regular",IF($H531&lt;=20,"Alerta","Crítico")))))</f>
        <v/>
      </c>
      <c r="J531" s="20"/>
      <c r="K531" s="20"/>
    </row>
    <row r="532" customFormat="false" ht="15" hidden="false" customHeight="false" outlineLevel="0" collapsed="false">
      <c r="A532" s="21"/>
      <c r="B532" s="33" t="n">
        <f aca="false">IF($A532="",0,INT(($A532-Macrociclo!$C$11)/7)+1)</f>
        <v>0</v>
      </c>
      <c r="C532" s="20"/>
      <c r="D532" s="22"/>
      <c r="E532" s="22"/>
      <c r="F532" s="22"/>
      <c r="G532" s="22"/>
      <c r="H532" s="33" t="n">
        <f aca="false">IF(COUNT($D532:$G532)&lt;4,0,SUM($D532:$G532))</f>
        <v>0</v>
      </c>
      <c r="I532" s="19" t="str">
        <f aca="false">IF($H532=0,"",IF($H532&lt;=8,"Ótimo",IF($H532&lt;=12,"Bom",IF($H532&lt;=16,"Regular",IF($H532&lt;=20,"Alerta","Crítico")))))</f>
        <v/>
      </c>
      <c r="J532" s="20"/>
      <c r="K532" s="20"/>
    </row>
    <row r="533" customFormat="false" ht="15" hidden="false" customHeight="false" outlineLevel="0" collapsed="false">
      <c r="A533" s="21"/>
      <c r="B533" s="33" t="n">
        <f aca="false">IF($A533="",0,INT(($A533-Macrociclo!$C$11)/7)+1)</f>
        <v>0</v>
      </c>
      <c r="C533" s="20"/>
      <c r="D533" s="22"/>
      <c r="E533" s="22"/>
      <c r="F533" s="22"/>
      <c r="G533" s="22"/>
      <c r="H533" s="33" t="n">
        <f aca="false">IF(COUNT($D533:$G533)&lt;4,0,SUM($D533:$G533))</f>
        <v>0</v>
      </c>
      <c r="I533" s="19" t="str">
        <f aca="false">IF($H533=0,"",IF($H533&lt;=8,"Ótimo",IF($H533&lt;=12,"Bom",IF($H533&lt;=16,"Regular",IF($H533&lt;=20,"Alerta","Crítico")))))</f>
        <v/>
      </c>
      <c r="J533" s="20"/>
      <c r="K533" s="20"/>
    </row>
    <row r="534" customFormat="false" ht="15" hidden="false" customHeight="false" outlineLevel="0" collapsed="false">
      <c r="A534" s="21"/>
      <c r="B534" s="33" t="n">
        <f aca="false">IF($A534="",0,INT(($A534-Macrociclo!$C$11)/7)+1)</f>
        <v>0</v>
      </c>
      <c r="C534" s="20"/>
      <c r="D534" s="22"/>
      <c r="E534" s="22"/>
      <c r="F534" s="22"/>
      <c r="G534" s="22"/>
      <c r="H534" s="33" t="n">
        <f aca="false">IF(COUNT($D534:$G534)&lt;4,0,SUM($D534:$G534))</f>
        <v>0</v>
      </c>
      <c r="I534" s="19" t="str">
        <f aca="false">IF($H534=0,"",IF($H534&lt;=8,"Ótimo",IF($H534&lt;=12,"Bom",IF($H534&lt;=16,"Regular",IF($H534&lt;=20,"Alerta","Crítico")))))</f>
        <v/>
      </c>
      <c r="J534" s="20"/>
      <c r="K534" s="20"/>
    </row>
    <row r="535" customFormat="false" ht="15" hidden="false" customHeight="false" outlineLevel="0" collapsed="false">
      <c r="A535" s="21"/>
      <c r="B535" s="33" t="n">
        <f aca="false">IF($A535="",0,INT(($A535-Macrociclo!$C$11)/7)+1)</f>
        <v>0</v>
      </c>
      <c r="C535" s="20"/>
      <c r="D535" s="22"/>
      <c r="E535" s="22"/>
      <c r="F535" s="22"/>
      <c r="G535" s="22"/>
      <c r="H535" s="33" t="n">
        <f aca="false">IF(COUNT($D535:$G535)&lt;4,0,SUM($D535:$G535))</f>
        <v>0</v>
      </c>
      <c r="I535" s="19" t="str">
        <f aca="false">IF($H535=0,"",IF($H535&lt;=8,"Ótimo",IF($H535&lt;=12,"Bom",IF($H535&lt;=16,"Regular",IF($H535&lt;=20,"Alerta","Crítico")))))</f>
        <v/>
      </c>
      <c r="J535" s="20"/>
      <c r="K535" s="20"/>
    </row>
    <row r="536" customFormat="false" ht="15" hidden="false" customHeight="false" outlineLevel="0" collapsed="false">
      <c r="A536" s="21"/>
      <c r="B536" s="33" t="n">
        <f aca="false">IF($A536="",0,INT(($A536-Macrociclo!$C$11)/7)+1)</f>
        <v>0</v>
      </c>
      <c r="C536" s="20"/>
      <c r="D536" s="22"/>
      <c r="E536" s="22"/>
      <c r="F536" s="22"/>
      <c r="G536" s="22"/>
      <c r="H536" s="33" t="n">
        <f aca="false">IF(COUNT($D536:$G536)&lt;4,0,SUM($D536:$G536))</f>
        <v>0</v>
      </c>
      <c r="I536" s="19" t="str">
        <f aca="false">IF($H536=0,"",IF($H536&lt;=8,"Ótimo",IF($H536&lt;=12,"Bom",IF($H536&lt;=16,"Regular",IF($H536&lt;=20,"Alerta","Crítico")))))</f>
        <v/>
      </c>
      <c r="J536" s="20"/>
      <c r="K536" s="20"/>
    </row>
    <row r="537" customFormat="false" ht="15" hidden="false" customHeight="false" outlineLevel="0" collapsed="false">
      <c r="A537" s="21"/>
      <c r="B537" s="33" t="n">
        <f aca="false">IF($A537="",0,INT(($A537-Macrociclo!$C$11)/7)+1)</f>
        <v>0</v>
      </c>
      <c r="C537" s="20"/>
      <c r="D537" s="22"/>
      <c r="E537" s="22"/>
      <c r="F537" s="22"/>
      <c r="G537" s="22"/>
      <c r="H537" s="33" t="n">
        <f aca="false">IF(COUNT($D537:$G537)&lt;4,0,SUM($D537:$G537))</f>
        <v>0</v>
      </c>
      <c r="I537" s="19" t="str">
        <f aca="false">IF($H537=0,"",IF($H537&lt;=8,"Ótimo",IF($H537&lt;=12,"Bom",IF($H537&lt;=16,"Regular",IF($H537&lt;=20,"Alerta","Crítico")))))</f>
        <v/>
      </c>
      <c r="J537" s="20"/>
      <c r="K537" s="20"/>
    </row>
    <row r="538" customFormat="false" ht="15" hidden="false" customHeight="false" outlineLevel="0" collapsed="false">
      <c r="A538" s="21"/>
      <c r="B538" s="33" t="n">
        <f aca="false">IF($A538="",0,INT(($A538-Macrociclo!$C$11)/7)+1)</f>
        <v>0</v>
      </c>
      <c r="C538" s="20"/>
      <c r="D538" s="22"/>
      <c r="E538" s="22"/>
      <c r="F538" s="22"/>
      <c r="G538" s="22"/>
      <c r="H538" s="33" t="n">
        <f aca="false">IF(COUNT($D538:$G538)&lt;4,0,SUM($D538:$G538))</f>
        <v>0</v>
      </c>
      <c r="I538" s="19" t="str">
        <f aca="false">IF($H538=0,"",IF($H538&lt;=8,"Ótimo",IF($H538&lt;=12,"Bom",IF($H538&lt;=16,"Regular",IF($H538&lt;=20,"Alerta","Crítico")))))</f>
        <v/>
      </c>
      <c r="J538" s="20"/>
      <c r="K538" s="20"/>
    </row>
    <row r="539" customFormat="false" ht="15" hidden="false" customHeight="false" outlineLevel="0" collapsed="false">
      <c r="A539" s="21"/>
      <c r="B539" s="33" t="n">
        <f aca="false">IF($A539="",0,INT(($A539-Macrociclo!$C$11)/7)+1)</f>
        <v>0</v>
      </c>
      <c r="C539" s="20"/>
      <c r="D539" s="22"/>
      <c r="E539" s="22"/>
      <c r="F539" s="22"/>
      <c r="G539" s="22"/>
      <c r="H539" s="33" t="n">
        <f aca="false">IF(COUNT($D539:$G539)&lt;4,0,SUM($D539:$G539))</f>
        <v>0</v>
      </c>
      <c r="I539" s="19" t="str">
        <f aca="false">IF($H539=0,"",IF($H539&lt;=8,"Ótimo",IF($H539&lt;=12,"Bom",IF($H539&lt;=16,"Regular",IF($H539&lt;=20,"Alerta","Crítico")))))</f>
        <v/>
      </c>
      <c r="J539" s="20"/>
      <c r="K539" s="20"/>
    </row>
    <row r="540" customFormat="false" ht="15" hidden="false" customHeight="false" outlineLevel="0" collapsed="false">
      <c r="A540" s="21"/>
      <c r="B540" s="33" t="n">
        <f aca="false">IF($A540="",0,INT(($A540-Macrociclo!$C$11)/7)+1)</f>
        <v>0</v>
      </c>
      <c r="C540" s="20"/>
      <c r="D540" s="22"/>
      <c r="E540" s="22"/>
      <c r="F540" s="22"/>
      <c r="G540" s="22"/>
      <c r="H540" s="33" t="n">
        <f aca="false">IF(COUNT($D540:$G540)&lt;4,0,SUM($D540:$G540))</f>
        <v>0</v>
      </c>
      <c r="I540" s="19" t="str">
        <f aca="false">IF($H540=0,"",IF($H540&lt;=8,"Ótimo",IF($H540&lt;=12,"Bom",IF($H540&lt;=16,"Regular",IF($H540&lt;=20,"Alerta","Crítico")))))</f>
        <v/>
      </c>
      <c r="J540" s="20"/>
      <c r="K540" s="20"/>
    </row>
    <row r="541" customFormat="false" ht="15" hidden="false" customHeight="false" outlineLevel="0" collapsed="false">
      <c r="A541" s="21"/>
      <c r="B541" s="33" t="n">
        <f aca="false">IF($A541="",0,INT(($A541-Macrociclo!$C$11)/7)+1)</f>
        <v>0</v>
      </c>
      <c r="C541" s="20"/>
      <c r="D541" s="22"/>
      <c r="E541" s="22"/>
      <c r="F541" s="22"/>
      <c r="G541" s="22"/>
      <c r="H541" s="33" t="n">
        <f aca="false">IF(COUNT($D541:$G541)&lt;4,0,SUM($D541:$G541))</f>
        <v>0</v>
      </c>
      <c r="I541" s="19" t="str">
        <f aca="false">IF($H541=0,"",IF($H541&lt;=8,"Ótimo",IF($H541&lt;=12,"Bom",IF($H541&lt;=16,"Regular",IF($H541&lt;=20,"Alerta","Crítico")))))</f>
        <v/>
      </c>
      <c r="J541" s="20"/>
      <c r="K541" s="20"/>
    </row>
    <row r="542" customFormat="false" ht="15" hidden="false" customHeight="false" outlineLevel="0" collapsed="false">
      <c r="A542" s="21"/>
      <c r="B542" s="33" t="n">
        <f aca="false">IF($A542="",0,INT(($A542-Macrociclo!$C$11)/7)+1)</f>
        <v>0</v>
      </c>
      <c r="C542" s="20"/>
      <c r="D542" s="22"/>
      <c r="E542" s="22"/>
      <c r="F542" s="22"/>
      <c r="G542" s="22"/>
      <c r="H542" s="33" t="n">
        <f aca="false">IF(COUNT($D542:$G542)&lt;4,0,SUM($D542:$G542))</f>
        <v>0</v>
      </c>
      <c r="I542" s="19" t="str">
        <f aca="false">IF($H542=0,"",IF($H542&lt;=8,"Ótimo",IF($H542&lt;=12,"Bom",IF($H542&lt;=16,"Regular",IF($H542&lt;=20,"Alerta","Crítico")))))</f>
        <v/>
      </c>
      <c r="J542" s="20"/>
      <c r="K542" s="20"/>
    </row>
    <row r="543" customFormat="false" ht="15" hidden="false" customHeight="false" outlineLevel="0" collapsed="false">
      <c r="A543" s="21"/>
      <c r="B543" s="33" t="n">
        <f aca="false">IF($A543="",0,INT(($A543-Macrociclo!$C$11)/7)+1)</f>
        <v>0</v>
      </c>
      <c r="C543" s="20"/>
      <c r="D543" s="22"/>
      <c r="E543" s="22"/>
      <c r="F543" s="22"/>
      <c r="G543" s="22"/>
      <c r="H543" s="33" t="n">
        <f aca="false">IF(COUNT($D543:$G543)&lt;4,0,SUM($D543:$G543))</f>
        <v>0</v>
      </c>
      <c r="I543" s="19" t="str">
        <f aca="false">IF($H543=0,"",IF($H543&lt;=8,"Ótimo",IF($H543&lt;=12,"Bom",IF($H543&lt;=16,"Regular",IF($H543&lt;=20,"Alerta","Crítico")))))</f>
        <v/>
      </c>
      <c r="J543" s="20"/>
      <c r="K543" s="20"/>
    </row>
    <row r="544" customFormat="false" ht="15" hidden="false" customHeight="false" outlineLevel="0" collapsed="false">
      <c r="A544" s="21"/>
      <c r="B544" s="33" t="n">
        <f aca="false">IF($A544="",0,INT(($A544-Macrociclo!$C$11)/7)+1)</f>
        <v>0</v>
      </c>
      <c r="C544" s="20"/>
      <c r="D544" s="22"/>
      <c r="E544" s="22"/>
      <c r="F544" s="22"/>
      <c r="G544" s="22"/>
      <c r="H544" s="33" t="n">
        <f aca="false">IF(COUNT($D544:$G544)&lt;4,0,SUM($D544:$G544))</f>
        <v>0</v>
      </c>
      <c r="I544" s="19" t="str">
        <f aca="false">IF($H544=0,"",IF($H544&lt;=8,"Ótimo",IF($H544&lt;=12,"Bom",IF($H544&lt;=16,"Regular",IF($H544&lt;=20,"Alerta","Crítico")))))</f>
        <v/>
      </c>
      <c r="J544" s="20"/>
      <c r="K544" s="20"/>
    </row>
    <row r="545" customFormat="false" ht="15" hidden="false" customHeight="false" outlineLevel="0" collapsed="false">
      <c r="A545" s="21"/>
      <c r="B545" s="33" t="n">
        <f aca="false">IF($A545="",0,INT(($A545-Macrociclo!$C$11)/7)+1)</f>
        <v>0</v>
      </c>
      <c r="C545" s="20"/>
      <c r="D545" s="22"/>
      <c r="E545" s="22"/>
      <c r="F545" s="22"/>
      <c r="G545" s="22"/>
      <c r="H545" s="33" t="n">
        <f aca="false">IF(COUNT($D545:$G545)&lt;4,0,SUM($D545:$G545))</f>
        <v>0</v>
      </c>
      <c r="I545" s="19" t="str">
        <f aca="false">IF($H545=0,"",IF($H545&lt;=8,"Ótimo",IF($H545&lt;=12,"Bom",IF($H545&lt;=16,"Regular",IF($H545&lt;=20,"Alerta","Crítico")))))</f>
        <v/>
      </c>
      <c r="J545" s="20"/>
      <c r="K545" s="20"/>
    </row>
    <row r="546" customFormat="false" ht="15" hidden="false" customHeight="false" outlineLevel="0" collapsed="false">
      <c r="A546" s="21"/>
      <c r="B546" s="33" t="n">
        <f aca="false">IF($A546="",0,INT(($A546-Macrociclo!$C$11)/7)+1)</f>
        <v>0</v>
      </c>
      <c r="C546" s="20"/>
      <c r="D546" s="22"/>
      <c r="E546" s="22"/>
      <c r="F546" s="22"/>
      <c r="G546" s="22"/>
      <c r="H546" s="33" t="n">
        <f aca="false">IF(COUNT($D546:$G546)&lt;4,0,SUM($D546:$G546))</f>
        <v>0</v>
      </c>
      <c r="I546" s="19" t="str">
        <f aca="false">IF($H546=0,"",IF($H546&lt;=8,"Ótimo",IF($H546&lt;=12,"Bom",IF($H546&lt;=16,"Regular",IF($H546&lt;=20,"Alerta","Crítico")))))</f>
        <v/>
      </c>
      <c r="J546" s="20"/>
      <c r="K546" s="20"/>
    </row>
    <row r="547" customFormat="false" ht="15" hidden="false" customHeight="false" outlineLevel="0" collapsed="false">
      <c r="A547" s="21"/>
      <c r="B547" s="33" t="n">
        <f aca="false">IF($A547="",0,INT(($A547-Macrociclo!$C$11)/7)+1)</f>
        <v>0</v>
      </c>
      <c r="C547" s="20"/>
      <c r="D547" s="22"/>
      <c r="E547" s="22"/>
      <c r="F547" s="22"/>
      <c r="G547" s="22"/>
      <c r="H547" s="33" t="n">
        <f aca="false">IF(COUNT($D547:$G547)&lt;4,0,SUM($D547:$G547))</f>
        <v>0</v>
      </c>
      <c r="I547" s="19" t="str">
        <f aca="false">IF($H547=0,"",IF($H547&lt;=8,"Ótimo",IF($H547&lt;=12,"Bom",IF($H547&lt;=16,"Regular",IF($H547&lt;=20,"Alerta","Crítico")))))</f>
        <v/>
      </c>
      <c r="J547" s="20"/>
      <c r="K547" s="20"/>
    </row>
    <row r="548" customFormat="false" ht="15" hidden="false" customHeight="false" outlineLevel="0" collapsed="false">
      <c r="A548" s="21"/>
      <c r="B548" s="33" t="n">
        <f aca="false">IF($A548="",0,INT(($A548-Macrociclo!$C$11)/7)+1)</f>
        <v>0</v>
      </c>
      <c r="C548" s="20"/>
      <c r="D548" s="22"/>
      <c r="E548" s="22"/>
      <c r="F548" s="22"/>
      <c r="G548" s="22"/>
      <c r="H548" s="33" t="n">
        <f aca="false">IF(COUNT($D548:$G548)&lt;4,0,SUM($D548:$G548))</f>
        <v>0</v>
      </c>
      <c r="I548" s="19" t="str">
        <f aca="false">IF($H548=0,"",IF($H548&lt;=8,"Ótimo",IF($H548&lt;=12,"Bom",IF($H548&lt;=16,"Regular",IF($H548&lt;=20,"Alerta","Crítico")))))</f>
        <v/>
      </c>
      <c r="J548" s="20"/>
      <c r="K548" s="20"/>
    </row>
    <row r="549" customFormat="false" ht="15" hidden="false" customHeight="false" outlineLevel="0" collapsed="false">
      <c r="A549" s="21"/>
      <c r="B549" s="33" t="n">
        <f aca="false">IF($A549="",0,INT(($A549-Macrociclo!$C$11)/7)+1)</f>
        <v>0</v>
      </c>
      <c r="C549" s="20"/>
      <c r="D549" s="22"/>
      <c r="E549" s="22"/>
      <c r="F549" s="22"/>
      <c r="G549" s="22"/>
      <c r="H549" s="33" t="n">
        <f aca="false">IF(COUNT($D549:$G549)&lt;4,0,SUM($D549:$G549))</f>
        <v>0</v>
      </c>
      <c r="I549" s="19" t="str">
        <f aca="false">IF($H549=0,"",IF($H549&lt;=8,"Ótimo",IF($H549&lt;=12,"Bom",IF($H549&lt;=16,"Regular",IF($H549&lt;=20,"Alerta","Crítico")))))</f>
        <v/>
      </c>
      <c r="J549" s="20"/>
      <c r="K549" s="20"/>
    </row>
    <row r="550" customFormat="false" ht="15" hidden="false" customHeight="false" outlineLevel="0" collapsed="false">
      <c r="A550" s="21"/>
      <c r="B550" s="33" t="n">
        <f aca="false">IF($A550="",0,INT(($A550-Macrociclo!$C$11)/7)+1)</f>
        <v>0</v>
      </c>
      <c r="C550" s="20"/>
      <c r="D550" s="22"/>
      <c r="E550" s="22"/>
      <c r="F550" s="22"/>
      <c r="G550" s="22"/>
      <c r="H550" s="33" t="n">
        <f aca="false">IF(COUNT($D550:$G550)&lt;4,0,SUM($D550:$G550))</f>
        <v>0</v>
      </c>
      <c r="I550" s="19" t="str">
        <f aca="false">IF($H550=0,"",IF($H550&lt;=8,"Ótimo",IF($H550&lt;=12,"Bom",IF($H550&lt;=16,"Regular",IF($H550&lt;=20,"Alerta","Crítico")))))</f>
        <v/>
      </c>
      <c r="J550" s="20"/>
      <c r="K550" s="20"/>
    </row>
    <row r="551" customFormat="false" ht="15" hidden="false" customHeight="false" outlineLevel="0" collapsed="false">
      <c r="A551" s="21"/>
      <c r="B551" s="33" t="n">
        <f aca="false">IF($A551="",0,INT(($A551-Macrociclo!$C$11)/7)+1)</f>
        <v>0</v>
      </c>
      <c r="C551" s="20"/>
      <c r="D551" s="22"/>
      <c r="E551" s="22"/>
      <c r="F551" s="22"/>
      <c r="G551" s="22"/>
      <c r="H551" s="33" t="n">
        <f aca="false">IF(COUNT($D551:$G551)&lt;4,0,SUM($D551:$G551))</f>
        <v>0</v>
      </c>
      <c r="I551" s="19" t="str">
        <f aca="false">IF($H551=0,"",IF($H551&lt;=8,"Ótimo",IF($H551&lt;=12,"Bom",IF($H551&lt;=16,"Regular",IF($H551&lt;=20,"Alerta","Crítico")))))</f>
        <v/>
      </c>
      <c r="J551" s="20"/>
      <c r="K551" s="20"/>
    </row>
    <row r="552" customFormat="false" ht="15" hidden="false" customHeight="false" outlineLevel="0" collapsed="false">
      <c r="A552" s="21"/>
      <c r="B552" s="33" t="n">
        <f aca="false">IF($A552="",0,INT(($A552-Macrociclo!$C$11)/7)+1)</f>
        <v>0</v>
      </c>
      <c r="C552" s="20"/>
      <c r="D552" s="22"/>
      <c r="E552" s="22"/>
      <c r="F552" s="22"/>
      <c r="G552" s="22"/>
      <c r="H552" s="33" t="n">
        <f aca="false">IF(COUNT($D552:$G552)&lt;4,0,SUM($D552:$G552))</f>
        <v>0</v>
      </c>
      <c r="I552" s="19" t="str">
        <f aca="false">IF($H552=0,"",IF($H552&lt;=8,"Ótimo",IF($H552&lt;=12,"Bom",IF($H552&lt;=16,"Regular",IF($H552&lt;=20,"Alerta","Crítico")))))</f>
        <v/>
      </c>
      <c r="J552" s="20"/>
      <c r="K552" s="20"/>
    </row>
    <row r="553" customFormat="false" ht="15" hidden="false" customHeight="false" outlineLevel="0" collapsed="false">
      <c r="A553" s="21"/>
      <c r="B553" s="33" t="n">
        <f aca="false">IF($A553="",0,INT(($A553-Macrociclo!$C$11)/7)+1)</f>
        <v>0</v>
      </c>
      <c r="C553" s="20"/>
      <c r="D553" s="22"/>
      <c r="E553" s="22"/>
      <c r="F553" s="22"/>
      <c r="G553" s="22"/>
      <c r="H553" s="33" t="n">
        <f aca="false">IF(COUNT($D553:$G553)&lt;4,0,SUM($D553:$G553))</f>
        <v>0</v>
      </c>
      <c r="I553" s="19" t="str">
        <f aca="false">IF($H553=0,"",IF($H553&lt;=8,"Ótimo",IF($H553&lt;=12,"Bom",IF($H553&lt;=16,"Regular",IF($H553&lt;=20,"Alerta","Crítico")))))</f>
        <v/>
      </c>
      <c r="J553" s="20"/>
      <c r="K553" s="20"/>
    </row>
    <row r="554" customFormat="false" ht="15" hidden="false" customHeight="false" outlineLevel="0" collapsed="false">
      <c r="A554" s="21"/>
      <c r="B554" s="33" t="n">
        <f aca="false">IF($A554="",0,INT(($A554-Macrociclo!$C$11)/7)+1)</f>
        <v>0</v>
      </c>
      <c r="C554" s="20"/>
      <c r="D554" s="22"/>
      <c r="E554" s="22"/>
      <c r="F554" s="22"/>
      <c r="G554" s="22"/>
      <c r="H554" s="33" t="n">
        <f aca="false">IF(COUNT($D554:$G554)&lt;4,0,SUM($D554:$G554))</f>
        <v>0</v>
      </c>
      <c r="I554" s="19" t="str">
        <f aca="false">IF($H554=0,"",IF($H554&lt;=8,"Ótimo",IF($H554&lt;=12,"Bom",IF($H554&lt;=16,"Regular",IF($H554&lt;=20,"Alerta","Crítico")))))</f>
        <v/>
      </c>
      <c r="J554" s="20"/>
      <c r="K554" s="20"/>
    </row>
    <row r="555" customFormat="false" ht="15" hidden="false" customHeight="false" outlineLevel="0" collapsed="false">
      <c r="A555" s="21"/>
      <c r="B555" s="33" t="n">
        <f aca="false">IF($A555="",0,INT(($A555-Macrociclo!$C$11)/7)+1)</f>
        <v>0</v>
      </c>
      <c r="C555" s="20"/>
      <c r="D555" s="22"/>
      <c r="E555" s="22"/>
      <c r="F555" s="22"/>
      <c r="G555" s="22"/>
      <c r="H555" s="33" t="n">
        <f aca="false">IF(COUNT($D555:$G555)&lt;4,0,SUM($D555:$G555))</f>
        <v>0</v>
      </c>
      <c r="I555" s="19" t="str">
        <f aca="false">IF($H555=0,"",IF($H555&lt;=8,"Ótimo",IF($H555&lt;=12,"Bom",IF($H555&lt;=16,"Regular",IF($H555&lt;=20,"Alerta","Crítico")))))</f>
        <v/>
      </c>
      <c r="J555" s="20"/>
      <c r="K555" s="20"/>
    </row>
    <row r="556" customFormat="false" ht="15" hidden="false" customHeight="false" outlineLevel="0" collapsed="false">
      <c r="A556" s="21"/>
      <c r="B556" s="33" t="n">
        <f aca="false">IF($A556="",0,INT(($A556-Macrociclo!$C$11)/7)+1)</f>
        <v>0</v>
      </c>
      <c r="C556" s="20"/>
      <c r="D556" s="22"/>
      <c r="E556" s="22"/>
      <c r="F556" s="22"/>
      <c r="G556" s="22"/>
      <c r="H556" s="33" t="n">
        <f aca="false">IF(COUNT($D556:$G556)&lt;4,0,SUM($D556:$G556))</f>
        <v>0</v>
      </c>
      <c r="I556" s="19" t="str">
        <f aca="false">IF($H556=0,"",IF($H556&lt;=8,"Ótimo",IF($H556&lt;=12,"Bom",IF($H556&lt;=16,"Regular",IF($H556&lt;=20,"Alerta","Crítico")))))</f>
        <v/>
      </c>
      <c r="J556" s="20"/>
      <c r="K556" s="20"/>
    </row>
    <row r="557" customFormat="false" ht="15" hidden="false" customHeight="false" outlineLevel="0" collapsed="false">
      <c r="A557" s="21"/>
      <c r="B557" s="33" t="n">
        <f aca="false">IF($A557="",0,INT(($A557-Macrociclo!$C$11)/7)+1)</f>
        <v>0</v>
      </c>
      <c r="C557" s="20"/>
      <c r="D557" s="22"/>
      <c r="E557" s="22"/>
      <c r="F557" s="22"/>
      <c r="G557" s="22"/>
      <c r="H557" s="33" t="n">
        <f aca="false">IF(COUNT($D557:$G557)&lt;4,0,SUM($D557:$G557))</f>
        <v>0</v>
      </c>
      <c r="I557" s="19" t="str">
        <f aca="false">IF($H557=0,"",IF($H557&lt;=8,"Ótimo",IF($H557&lt;=12,"Bom",IF($H557&lt;=16,"Regular",IF($H557&lt;=20,"Alerta","Crítico")))))</f>
        <v/>
      </c>
      <c r="J557" s="20"/>
      <c r="K557" s="20"/>
    </row>
    <row r="558" customFormat="false" ht="15" hidden="false" customHeight="false" outlineLevel="0" collapsed="false">
      <c r="A558" s="21"/>
      <c r="B558" s="33" t="n">
        <f aca="false">IF($A558="",0,INT(($A558-Macrociclo!$C$11)/7)+1)</f>
        <v>0</v>
      </c>
      <c r="C558" s="20"/>
      <c r="D558" s="22"/>
      <c r="E558" s="22"/>
      <c r="F558" s="22"/>
      <c r="G558" s="22"/>
      <c r="H558" s="33" t="n">
        <f aca="false">IF(COUNT($D558:$G558)&lt;4,0,SUM($D558:$G558))</f>
        <v>0</v>
      </c>
      <c r="I558" s="19" t="str">
        <f aca="false">IF($H558=0,"",IF($H558&lt;=8,"Ótimo",IF($H558&lt;=12,"Bom",IF($H558&lt;=16,"Regular",IF($H558&lt;=20,"Alerta","Crítico")))))</f>
        <v/>
      </c>
      <c r="J558" s="20"/>
      <c r="K558" s="20"/>
    </row>
    <row r="559" customFormat="false" ht="15" hidden="false" customHeight="false" outlineLevel="0" collapsed="false">
      <c r="A559" s="21"/>
      <c r="B559" s="33" t="n">
        <f aca="false">IF($A559="",0,INT(($A559-Macrociclo!$C$11)/7)+1)</f>
        <v>0</v>
      </c>
      <c r="C559" s="20"/>
      <c r="D559" s="22"/>
      <c r="E559" s="22"/>
      <c r="F559" s="22"/>
      <c r="G559" s="22"/>
      <c r="H559" s="33" t="n">
        <f aca="false">IF(COUNT($D559:$G559)&lt;4,0,SUM($D559:$G559))</f>
        <v>0</v>
      </c>
      <c r="I559" s="19" t="str">
        <f aca="false">IF($H559=0,"",IF($H559&lt;=8,"Ótimo",IF($H559&lt;=12,"Bom",IF($H559&lt;=16,"Regular",IF($H559&lt;=20,"Alerta","Crítico")))))</f>
        <v/>
      </c>
      <c r="J559" s="20"/>
      <c r="K559" s="20"/>
    </row>
    <row r="560" customFormat="false" ht="15" hidden="false" customHeight="false" outlineLevel="0" collapsed="false">
      <c r="A560" s="21"/>
      <c r="B560" s="33" t="n">
        <f aca="false">IF($A560="",0,INT(($A560-Macrociclo!$C$11)/7)+1)</f>
        <v>0</v>
      </c>
      <c r="C560" s="20"/>
      <c r="D560" s="22"/>
      <c r="E560" s="22"/>
      <c r="F560" s="22"/>
      <c r="G560" s="22"/>
      <c r="H560" s="33" t="n">
        <f aca="false">IF(COUNT($D560:$G560)&lt;4,0,SUM($D560:$G560))</f>
        <v>0</v>
      </c>
      <c r="I560" s="19" t="str">
        <f aca="false">IF($H560=0,"",IF($H560&lt;=8,"Ótimo",IF($H560&lt;=12,"Bom",IF($H560&lt;=16,"Regular",IF($H560&lt;=20,"Alerta","Crítico")))))</f>
        <v/>
      </c>
      <c r="J560" s="20"/>
      <c r="K560" s="20"/>
    </row>
    <row r="561" customFormat="false" ht="15" hidden="false" customHeight="false" outlineLevel="0" collapsed="false">
      <c r="A561" s="21"/>
      <c r="B561" s="33" t="n">
        <f aca="false">IF($A561="",0,INT(($A561-Macrociclo!$C$11)/7)+1)</f>
        <v>0</v>
      </c>
      <c r="C561" s="20"/>
      <c r="D561" s="22"/>
      <c r="E561" s="22"/>
      <c r="F561" s="22"/>
      <c r="G561" s="22"/>
      <c r="H561" s="33" t="n">
        <f aca="false">IF(COUNT($D561:$G561)&lt;4,0,SUM($D561:$G561))</f>
        <v>0</v>
      </c>
      <c r="I561" s="19" t="str">
        <f aca="false">IF($H561=0,"",IF($H561&lt;=8,"Ótimo",IF($H561&lt;=12,"Bom",IF($H561&lt;=16,"Regular",IF($H561&lt;=20,"Alerta","Crítico")))))</f>
        <v/>
      </c>
      <c r="J561" s="20"/>
      <c r="K561" s="20"/>
    </row>
    <row r="562" customFormat="false" ht="15" hidden="false" customHeight="false" outlineLevel="0" collapsed="false">
      <c r="A562" s="21"/>
      <c r="B562" s="33" t="n">
        <f aca="false">IF($A562="",0,INT(($A562-Macrociclo!$C$11)/7)+1)</f>
        <v>0</v>
      </c>
      <c r="C562" s="20"/>
      <c r="D562" s="22"/>
      <c r="E562" s="22"/>
      <c r="F562" s="22"/>
      <c r="G562" s="22"/>
      <c r="H562" s="33" t="n">
        <f aca="false">IF(COUNT($D562:$G562)&lt;4,0,SUM($D562:$G562))</f>
        <v>0</v>
      </c>
      <c r="I562" s="19" t="str">
        <f aca="false">IF($H562=0,"",IF($H562&lt;=8,"Ótimo",IF($H562&lt;=12,"Bom",IF($H562&lt;=16,"Regular",IF($H562&lt;=20,"Alerta","Crítico")))))</f>
        <v/>
      </c>
      <c r="J562" s="20"/>
      <c r="K562" s="20"/>
    </row>
    <row r="563" customFormat="false" ht="15" hidden="false" customHeight="false" outlineLevel="0" collapsed="false">
      <c r="A563" s="21"/>
      <c r="B563" s="33" t="n">
        <f aca="false">IF($A563="",0,INT(($A563-Macrociclo!$C$11)/7)+1)</f>
        <v>0</v>
      </c>
      <c r="C563" s="20"/>
      <c r="D563" s="22"/>
      <c r="E563" s="22"/>
      <c r="F563" s="22"/>
      <c r="G563" s="22"/>
      <c r="H563" s="33" t="n">
        <f aca="false">IF(COUNT($D563:$G563)&lt;4,0,SUM($D563:$G563))</f>
        <v>0</v>
      </c>
      <c r="I563" s="19" t="str">
        <f aca="false">IF($H563=0,"",IF($H563&lt;=8,"Ótimo",IF($H563&lt;=12,"Bom",IF($H563&lt;=16,"Regular",IF($H563&lt;=20,"Alerta","Crítico")))))</f>
        <v/>
      </c>
      <c r="J563" s="20"/>
      <c r="K563" s="20"/>
    </row>
    <row r="564" customFormat="false" ht="15" hidden="false" customHeight="false" outlineLevel="0" collapsed="false">
      <c r="A564" s="21"/>
      <c r="B564" s="33" t="n">
        <f aca="false">IF($A564="",0,INT(($A564-Macrociclo!$C$11)/7)+1)</f>
        <v>0</v>
      </c>
      <c r="C564" s="20"/>
      <c r="D564" s="22"/>
      <c r="E564" s="22"/>
      <c r="F564" s="22"/>
      <c r="G564" s="22"/>
      <c r="H564" s="33" t="n">
        <f aca="false">IF(COUNT($D564:$G564)&lt;4,0,SUM($D564:$G564))</f>
        <v>0</v>
      </c>
      <c r="I564" s="19" t="str">
        <f aca="false">IF($H564=0,"",IF($H564&lt;=8,"Ótimo",IF($H564&lt;=12,"Bom",IF($H564&lt;=16,"Regular",IF($H564&lt;=20,"Alerta","Crítico")))))</f>
        <v/>
      </c>
      <c r="J564" s="20"/>
      <c r="K564" s="20"/>
    </row>
    <row r="565" customFormat="false" ht="15" hidden="false" customHeight="false" outlineLevel="0" collapsed="false">
      <c r="A565" s="21"/>
      <c r="B565" s="33" t="n">
        <f aca="false">IF($A565="",0,INT(($A565-Macrociclo!$C$11)/7)+1)</f>
        <v>0</v>
      </c>
      <c r="C565" s="20"/>
      <c r="D565" s="22"/>
      <c r="E565" s="22"/>
      <c r="F565" s="22"/>
      <c r="G565" s="22"/>
      <c r="H565" s="33" t="n">
        <f aca="false">IF(COUNT($D565:$G565)&lt;4,0,SUM($D565:$G565))</f>
        <v>0</v>
      </c>
      <c r="I565" s="19" t="str">
        <f aca="false">IF($H565=0,"",IF($H565&lt;=8,"Ótimo",IF($H565&lt;=12,"Bom",IF($H565&lt;=16,"Regular",IF($H565&lt;=20,"Alerta","Crítico")))))</f>
        <v/>
      </c>
      <c r="J565" s="20"/>
      <c r="K565" s="20"/>
    </row>
    <row r="566" customFormat="false" ht="15" hidden="false" customHeight="false" outlineLevel="0" collapsed="false">
      <c r="A566" s="21"/>
      <c r="B566" s="33" t="n">
        <f aca="false">IF($A566="",0,INT(($A566-Macrociclo!$C$11)/7)+1)</f>
        <v>0</v>
      </c>
      <c r="C566" s="20"/>
      <c r="D566" s="22"/>
      <c r="E566" s="22"/>
      <c r="F566" s="22"/>
      <c r="G566" s="22"/>
      <c r="H566" s="33" t="n">
        <f aca="false">IF(COUNT($D566:$G566)&lt;4,0,SUM($D566:$G566))</f>
        <v>0</v>
      </c>
      <c r="I566" s="19" t="str">
        <f aca="false">IF($H566=0,"",IF($H566&lt;=8,"Ótimo",IF($H566&lt;=12,"Bom",IF($H566&lt;=16,"Regular",IF($H566&lt;=20,"Alerta","Crítico")))))</f>
        <v/>
      </c>
      <c r="J566" s="20"/>
      <c r="K566" s="20"/>
    </row>
    <row r="567" customFormat="false" ht="15" hidden="false" customHeight="false" outlineLevel="0" collapsed="false">
      <c r="A567" s="21"/>
      <c r="B567" s="33" t="n">
        <f aca="false">IF($A567="",0,INT(($A567-Macrociclo!$C$11)/7)+1)</f>
        <v>0</v>
      </c>
      <c r="C567" s="20"/>
      <c r="D567" s="22"/>
      <c r="E567" s="22"/>
      <c r="F567" s="22"/>
      <c r="G567" s="22"/>
      <c r="H567" s="33" t="n">
        <f aca="false">IF(COUNT($D567:$G567)&lt;4,0,SUM($D567:$G567))</f>
        <v>0</v>
      </c>
      <c r="I567" s="19" t="str">
        <f aca="false">IF($H567=0,"",IF($H567&lt;=8,"Ótimo",IF($H567&lt;=12,"Bom",IF($H567&lt;=16,"Regular",IF($H567&lt;=20,"Alerta","Crítico")))))</f>
        <v/>
      </c>
      <c r="J567" s="20"/>
      <c r="K567" s="20"/>
    </row>
    <row r="568" customFormat="false" ht="15" hidden="false" customHeight="false" outlineLevel="0" collapsed="false">
      <c r="A568" s="21"/>
      <c r="B568" s="33" t="n">
        <f aca="false">IF($A568="",0,INT(($A568-Macrociclo!$C$11)/7)+1)</f>
        <v>0</v>
      </c>
      <c r="C568" s="20"/>
      <c r="D568" s="22"/>
      <c r="E568" s="22"/>
      <c r="F568" s="22"/>
      <c r="G568" s="22"/>
      <c r="H568" s="33" t="n">
        <f aca="false">IF(COUNT($D568:$G568)&lt;4,0,SUM($D568:$G568))</f>
        <v>0</v>
      </c>
      <c r="I568" s="19" t="str">
        <f aca="false">IF($H568=0,"",IF($H568&lt;=8,"Ótimo",IF($H568&lt;=12,"Bom",IF($H568&lt;=16,"Regular",IF($H568&lt;=20,"Alerta","Crítico")))))</f>
        <v/>
      </c>
      <c r="J568" s="20"/>
      <c r="K568" s="20"/>
    </row>
    <row r="569" customFormat="false" ht="15" hidden="false" customHeight="false" outlineLevel="0" collapsed="false">
      <c r="A569" s="21"/>
      <c r="B569" s="33" t="n">
        <f aca="false">IF($A569="",0,INT(($A569-Macrociclo!$C$11)/7)+1)</f>
        <v>0</v>
      </c>
      <c r="C569" s="20"/>
      <c r="D569" s="22"/>
      <c r="E569" s="22"/>
      <c r="F569" s="22"/>
      <c r="G569" s="22"/>
      <c r="H569" s="33" t="n">
        <f aca="false">IF(COUNT($D569:$G569)&lt;4,0,SUM($D569:$G569))</f>
        <v>0</v>
      </c>
      <c r="I569" s="19" t="str">
        <f aca="false">IF($H569=0,"",IF($H569&lt;=8,"Ótimo",IF($H569&lt;=12,"Bom",IF($H569&lt;=16,"Regular",IF($H569&lt;=20,"Alerta","Crítico")))))</f>
        <v/>
      </c>
      <c r="J569" s="20"/>
      <c r="K569" s="20"/>
    </row>
    <row r="570" customFormat="false" ht="15" hidden="false" customHeight="false" outlineLevel="0" collapsed="false">
      <c r="A570" s="21"/>
      <c r="B570" s="33" t="n">
        <f aca="false">IF($A570="",0,INT(($A570-Macrociclo!$C$11)/7)+1)</f>
        <v>0</v>
      </c>
      <c r="C570" s="20"/>
      <c r="D570" s="22"/>
      <c r="E570" s="22"/>
      <c r="F570" s="22"/>
      <c r="G570" s="22"/>
      <c r="H570" s="33" t="n">
        <f aca="false">IF(COUNT($D570:$G570)&lt;4,0,SUM($D570:$G570))</f>
        <v>0</v>
      </c>
      <c r="I570" s="19" t="str">
        <f aca="false">IF($H570=0,"",IF($H570&lt;=8,"Ótimo",IF($H570&lt;=12,"Bom",IF($H570&lt;=16,"Regular",IF($H570&lt;=20,"Alerta","Crítico")))))</f>
        <v/>
      </c>
      <c r="J570" s="20"/>
      <c r="K570" s="20"/>
    </row>
    <row r="571" customFormat="false" ht="15" hidden="false" customHeight="false" outlineLevel="0" collapsed="false">
      <c r="A571" s="21"/>
      <c r="B571" s="33" t="n">
        <f aca="false">IF($A571="",0,INT(($A571-Macrociclo!$C$11)/7)+1)</f>
        <v>0</v>
      </c>
      <c r="C571" s="20"/>
      <c r="D571" s="22"/>
      <c r="E571" s="22"/>
      <c r="F571" s="22"/>
      <c r="G571" s="22"/>
      <c r="H571" s="33" t="n">
        <f aca="false">IF(COUNT($D571:$G571)&lt;4,0,SUM($D571:$G571))</f>
        <v>0</v>
      </c>
      <c r="I571" s="19" t="str">
        <f aca="false">IF($H571=0,"",IF($H571&lt;=8,"Ótimo",IF($H571&lt;=12,"Bom",IF($H571&lt;=16,"Regular",IF($H571&lt;=20,"Alerta","Crítico")))))</f>
        <v/>
      </c>
      <c r="J571" s="20"/>
      <c r="K571" s="20"/>
    </row>
    <row r="572" customFormat="false" ht="15" hidden="false" customHeight="false" outlineLevel="0" collapsed="false">
      <c r="A572" s="21"/>
      <c r="B572" s="33" t="n">
        <f aca="false">IF($A572="",0,INT(($A572-Macrociclo!$C$11)/7)+1)</f>
        <v>0</v>
      </c>
      <c r="C572" s="20"/>
      <c r="D572" s="22"/>
      <c r="E572" s="22"/>
      <c r="F572" s="22"/>
      <c r="G572" s="22"/>
      <c r="H572" s="33" t="n">
        <f aca="false">IF(COUNT($D572:$G572)&lt;4,0,SUM($D572:$G572))</f>
        <v>0</v>
      </c>
      <c r="I572" s="19" t="str">
        <f aca="false">IF($H572=0,"",IF($H572&lt;=8,"Ótimo",IF($H572&lt;=12,"Bom",IF($H572&lt;=16,"Regular",IF($H572&lt;=20,"Alerta","Crítico")))))</f>
        <v/>
      </c>
      <c r="J572" s="20"/>
      <c r="K572" s="20"/>
    </row>
    <row r="573" customFormat="false" ht="15" hidden="false" customHeight="false" outlineLevel="0" collapsed="false">
      <c r="A573" s="21"/>
      <c r="B573" s="33" t="n">
        <f aca="false">IF($A573="",0,INT(($A573-Macrociclo!$C$11)/7)+1)</f>
        <v>0</v>
      </c>
      <c r="C573" s="20"/>
      <c r="D573" s="22"/>
      <c r="E573" s="22"/>
      <c r="F573" s="22"/>
      <c r="G573" s="22"/>
      <c r="H573" s="33" t="n">
        <f aca="false">IF(COUNT($D573:$G573)&lt;4,0,SUM($D573:$G573))</f>
        <v>0</v>
      </c>
      <c r="I573" s="19" t="str">
        <f aca="false">IF($H573=0,"",IF($H573&lt;=8,"Ótimo",IF($H573&lt;=12,"Bom",IF($H573&lt;=16,"Regular",IF($H573&lt;=20,"Alerta","Crítico")))))</f>
        <v/>
      </c>
      <c r="J573" s="20"/>
      <c r="K573" s="20"/>
    </row>
    <row r="574" customFormat="false" ht="15" hidden="false" customHeight="false" outlineLevel="0" collapsed="false">
      <c r="A574" s="21"/>
      <c r="B574" s="33" t="n">
        <f aca="false">IF($A574="",0,INT(($A574-Macrociclo!$C$11)/7)+1)</f>
        <v>0</v>
      </c>
      <c r="C574" s="20"/>
      <c r="D574" s="22"/>
      <c r="E574" s="22"/>
      <c r="F574" s="22"/>
      <c r="G574" s="22"/>
      <c r="H574" s="33" t="n">
        <f aca="false">IF(COUNT($D574:$G574)&lt;4,0,SUM($D574:$G574))</f>
        <v>0</v>
      </c>
      <c r="I574" s="19" t="str">
        <f aca="false">IF($H574=0,"",IF($H574&lt;=8,"Ótimo",IF($H574&lt;=12,"Bom",IF($H574&lt;=16,"Regular",IF($H574&lt;=20,"Alerta","Crítico")))))</f>
        <v/>
      </c>
      <c r="J574" s="20"/>
      <c r="K574" s="20"/>
    </row>
    <row r="575" customFormat="false" ht="15" hidden="false" customHeight="false" outlineLevel="0" collapsed="false">
      <c r="A575" s="21"/>
      <c r="B575" s="33" t="n">
        <f aca="false">IF($A575="",0,INT(($A575-Macrociclo!$C$11)/7)+1)</f>
        <v>0</v>
      </c>
      <c r="C575" s="20"/>
      <c r="D575" s="22"/>
      <c r="E575" s="22"/>
      <c r="F575" s="22"/>
      <c r="G575" s="22"/>
      <c r="H575" s="33" t="n">
        <f aca="false">IF(COUNT($D575:$G575)&lt;4,0,SUM($D575:$G575))</f>
        <v>0</v>
      </c>
      <c r="I575" s="19" t="str">
        <f aca="false">IF($H575=0,"",IF($H575&lt;=8,"Ótimo",IF($H575&lt;=12,"Bom",IF($H575&lt;=16,"Regular",IF($H575&lt;=20,"Alerta","Crítico")))))</f>
        <v/>
      </c>
      <c r="J575" s="20"/>
      <c r="K575" s="20"/>
    </row>
    <row r="576" customFormat="false" ht="15" hidden="false" customHeight="false" outlineLevel="0" collapsed="false">
      <c r="A576" s="21"/>
      <c r="B576" s="33" t="n">
        <f aca="false">IF($A576="",0,INT(($A576-Macrociclo!$C$11)/7)+1)</f>
        <v>0</v>
      </c>
      <c r="C576" s="20"/>
      <c r="D576" s="22"/>
      <c r="E576" s="22"/>
      <c r="F576" s="22"/>
      <c r="G576" s="22"/>
      <c r="H576" s="33" t="n">
        <f aca="false">IF(COUNT($D576:$G576)&lt;4,0,SUM($D576:$G576))</f>
        <v>0</v>
      </c>
      <c r="I576" s="19" t="str">
        <f aca="false">IF($H576=0,"",IF($H576&lt;=8,"Ótimo",IF($H576&lt;=12,"Bom",IF($H576&lt;=16,"Regular",IF($H576&lt;=20,"Alerta","Crítico")))))</f>
        <v/>
      </c>
      <c r="J576" s="20"/>
      <c r="K576" s="20"/>
    </row>
    <row r="577" customFormat="false" ht="15" hidden="false" customHeight="false" outlineLevel="0" collapsed="false">
      <c r="A577" s="21"/>
      <c r="B577" s="33" t="n">
        <f aca="false">IF($A577="",0,INT(($A577-Macrociclo!$C$11)/7)+1)</f>
        <v>0</v>
      </c>
      <c r="C577" s="20"/>
      <c r="D577" s="22"/>
      <c r="E577" s="22"/>
      <c r="F577" s="22"/>
      <c r="G577" s="22"/>
      <c r="H577" s="33" t="n">
        <f aca="false">IF(COUNT($D577:$G577)&lt;4,0,SUM($D577:$G577))</f>
        <v>0</v>
      </c>
      <c r="I577" s="19" t="str">
        <f aca="false">IF($H577=0,"",IF($H577&lt;=8,"Ótimo",IF($H577&lt;=12,"Bom",IF($H577&lt;=16,"Regular",IF($H577&lt;=20,"Alerta","Crítico")))))</f>
        <v/>
      </c>
      <c r="J577" s="20"/>
      <c r="K577" s="20"/>
    </row>
    <row r="578" customFormat="false" ht="15" hidden="false" customHeight="false" outlineLevel="0" collapsed="false">
      <c r="A578" s="21"/>
      <c r="B578" s="33" t="n">
        <f aca="false">IF($A578="",0,INT(($A578-Macrociclo!$C$11)/7)+1)</f>
        <v>0</v>
      </c>
      <c r="C578" s="20"/>
      <c r="D578" s="22"/>
      <c r="E578" s="22"/>
      <c r="F578" s="22"/>
      <c r="G578" s="22"/>
      <c r="H578" s="33" t="n">
        <f aca="false">IF(COUNT($D578:$G578)&lt;4,0,SUM($D578:$G578))</f>
        <v>0</v>
      </c>
      <c r="I578" s="19" t="str">
        <f aca="false">IF($H578=0,"",IF($H578&lt;=8,"Ótimo",IF($H578&lt;=12,"Bom",IF($H578&lt;=16,"Regular",IF($H578&lt;=20,"Alerta","Crítico")))))</f>
        <v/>
      </c>
      <c r="J578" s="20"/>
      <c r="K578" s="20"/>
    </row>
    <row r="579" customFormat="false" ht="15" hidden="false" customHeight="false" outlineLevel="0" collapsed="false">
      <c r="A579" s="21"/>
      <c r="B579" s="33" t="n">
        <f aca="false">IF($A579="",0,INT(($A579-Macrociclo!$C$11)/7)+1)</f>
        <v>0</v>
      </c>
      <c r="C579" s="20"/>
      <c r="D579" s="22"/>
      <c r="E579" s="22"/>
      <c r="F579" s="22"/>
      <c r="G579" s="22"/>
      <c r="H579" s="33" t="n">
        <f aca="false">IF(COUNT($D579:$G579)&lt;4,0,SUM($D579:$G579))</f>
        <v>0</v>
      </c>
      <c r="I579" s="19" t="str">
        <f aca="false">IF($H579=0,"",IF($H579&lt;=8,"Ótimo",IF($H579&lt;=12,"Bom",IF($H579&lt;=16,"Regular",IF($H579&lt;=20,"Alerta","Crítico")))))</f>
        <v/>
      </c>
      <c r="J579" s="20"/>
      <c r="K579" s="20"/>
    </row>
    <row r="580" customFormat="false" ht="15" hidden="false" customHeight="false" outlineLevel="0" collapsed="false">
      <c r="A580" s="21"/>
      <c r="B580" s="33" t="n">
        <f aca="false">IF($A580="",0,INT(($A580-Macrociclo!$C$11)/7)+1)</f>
        <v>0</v>
      </c>
      <c r="C580" s="20"/>
      <c r="D580" s="22"/>
      <c r="E580" s="22"/>
      <c r="F580" s="22"/>
      <c r="G580" s="22"/>
      <c r="H580" s="33" t="n">
        <f aca="false">IF(COUNT($D580:$G580)&lt;4,0,SUM($D580:$G580))</f>
        <v>0</v>
      </c>
      <c r="I580" s="19" t="str">
        <f aca="false">IF($H580=0,"",IF($H580&lt;=8,"Ótimo",IF($H580&lt;=12,"Bom",IF($H580&lt;=16,"Regular",IF($H580&lt;=20,"Alerta","Crítico")))))</f>
        <v/>
      </c>
      <c r="J580" s="20"/>
      <c r="K580" s="20"/>
    </row>
    <row r="581" customFormat="false" ht="15" hidden="false" customHeight="false" outlineLevel="0" collapsed="false">
      <c r="A581" s="21"/>
      <c r="B581" s="33" t="n">
        <f aca="false">IF($A581="",0,INT(($A581-Macrociclo!$C$11)/7)+1)</f>
        <v>0</v>
      </c>
      <c r="C581" s="20"/>
      <c r="D581" s="22"/>
      <c r="E581" s="22"/>
      <c r="F581" s="22"/>
      <c r="G581" s="22"/>
      <c r="H581" s="33" t="n">
        <f aca="false">IF(COUNT($D581:$G581)&lt;4,0,SUM($D581:$G581))</f>
        <v>0</v>
      </c>
      <c r="I581" s="19" t="str">
        <f aca="false">IF($H581=0,"",IF($H581&lt;=8,"Ótimo",IF($H581&lt;=12,"Bom",IF($H581&lt;=16,"Regular",IF($H581&lt;=20,"Alerta","Crítico")))))</f>
        <v/>
      </c>
      <c r="J581" s="20"/>
      <c r="K581" s="20"/>
    </row>
    <row r="582" customFormat="false" ht="15" hidden="false" customHeight="false" outlineLevel="0" collapsed="false">
      <c r="A582" s="21"/>
      <c r="B582" s="33" t="n">
        <f aca="false">IF($A582="",0,INT(($A582-Macrociclo!$C$11)/7)+1)</f>
        <v>0</v>
      </c>
      <c r="C582" s="20"/>
      <c r="D582" s="22"/>
      <c r="E582" s="22"/>
      <c r="F582" s="22"/>
      <c r="G582" s="22"/>
      <c r="H582" s="33" t="n">
        <f aca="false">IF(COUNT($D582:$G582)&lt;4,0,SUM($D582:$G582))</f>
        <v>0</v>
      </c>
      <c r="I582" s="19" t="str">
        <f aca="false">IF($H582=0,"",IF($H582&lt;=8,"Ótimo",IF($H582&lt;=12,"Bom",IF($H582&lt;=16,"Regular",IF($H582&lt;=20,"Alerta","Crítico")))))</f>
        <v/>
      </c>
      <c r="J582" s="20"/>
      <c r="K582" s="20"/>
    </row>
    <row r="583" customFormat="false" ht="15" hidden="false" customHeight="false" outlineLevel="0" collapsed="false">
      <c r="A583" s="21"/>
      <c r="B583" s="33" t="n">
        <f aca="false">IF($A583="",0,INT(($A583-Macrociclo!$C$11)/7)+1)</f>
        <v>0</v>
      </c>
      <c r="C583" s="20"/>
      <c r="D583" s="22"/>
      <c r="E583" s="22"/>
      <c r="F583" s="22"/>
      <c r="G583" s="22"/>
      <c r="H583" s="33" t="n">
        <f aca="false">IF(COUNT($D583:$G583)&lt;4,0,SUM($D583:$G583))</f>
        <v>0</v>
      </c>
      <c r="I583" s="19" t="str">
        <f aca="false">IF($H583=0,"",IF($H583&lt;=8,"Ótimo",IF($H583&lt;=12,"Bom",IF($H583&lt;=16,"Regular",IF($H583&lt;=20,"Alerta","Crítico")))))</f>
        <v/>
      </c>
      <c r="J583" s="20"/>
      <c r="K583" s="20"/>
    </row>
    <row r="584" customFormat="false" ht="15" hidden="false" customHeight="false" outlineLevel="0" collapsed="false">
      <c r="A584" s="21"/>
      <c r="B584" s="33" t="n">
        <f aca="false">IF($A584="",0,INT(($A584-Macrociclo!$C$11)/7)+1)</f>
        <v>0</v>
      </c>
      <c r="C584" s="20"/>
      <c r="D584" s="22"/>
      <c r="E584" s="22"/>
      <c r="F584" s="22"/>
      <c r="G584" s="22"/>
      <c r="H584" s="33" t="n">
        <f aca="false">IF(COUNT($D584:$G584)&lt;4,0,SUM($D584:$G584))</f>
        <v>0</v>
      </c>
      <c r="I584" s="19" t="str">
        <f aca="false">IF($H584=0,"",IF($H584&lt;=8,"Ótimo",IF($H584&lt;=12,"Bom",IF($H584&lt;=16,"Regular",IF($H584&lt;=20,"Alerta","Crítico")))))</f>
        <v/>
      </c>
      <c r="J584" s="20"/>
      <c r="K584" s="20"/>
    </row>
    <row r="585" customFormat="false" ht="15" hidden="false" customHeight="false" outlineLevel="0" collapsed="false">
      <c r="A585" s="21"/>
      <c r="B585" s="33" t="n">
        <f aca="false">IF($A585="",0,INT(($A585-Macrociclo!$C$11)/7)+1)</f>
        <v>0</v>
      </c>
      <c r="C585" s="20"/>
      <c r="D585" s="22"/>
      <c r="E585" s="22"/>
      <c r="F585" s="22"/>
      <c r="G585" s="22"/>
      <c r="H585" s="33" t="n">
        <f aca="false">IF(COUNT($D585:$G585)&lt;4,0,SUM($D585:$G585))</f>
        <v>0</v>
      </c>
      <c r="I585" s="19" t="str">
        <f aca="false">IF($H585=0,"",IF($H585&lt;=8,"Ótimo",IF($H585&lt;=12,"Bom",IF($H585&lt;=16,"Regular",IF($H585&lt;=20,"Alerta","Crítico")))))</f>
        <v/>
      </c>
      <c r="J585" s="20"/>
      <c r="K585" s="20"/>
    </row>
    <row r="586" customFormat="false" ht="15" hidden="false" customHeight="false" outlineLevel="0" collapsed="false">
      <c r="A586" s="21"/>
      <c r="B586" s="33" t="n">
        <f aca="false">IF($A586="",0,INT(($A586-Macrociclo!$C$11)/7)+1)</f>
        <v>0</v>
      </c>
      <c r="C586" s="20"/>
      <c r="D586" s="22"/>
      <c r="E586" s="22"/>
      <c r="F586" s="22"/>
      <c r="G586" s="22"/>
      <c r="H586" s="33" t="n">
        <f aca="false">IF(COUNT($D586:$G586)&lt;4,0,SUM($D586:$G586))</f>
        <v>0</v>
      </c>
      <c r="I586" s="19" t="str">
        <f aca="false">IF($H586=0,"",IF($H586&lt;=8,"Ótimo",IF($H586&lt;=12,"Bom",IF($H586&lt;=16,"Regular",IF($H586&lt;=20,"Alerta","Crítico")))))</f>
        <v/>
      </c>
      <c r="J586" s="20"/>
      <c r="K586" s="20"/>
    </row>
    <row r="587" customFormat="false" ht="15" hidden="false" customHeight="false" outlineLevel="0" collapsed="false">
      <c r="A587" s="21"/>
      <c r="B587" s="33" t="n">
        <f aca="false">IF($A587="",0,INT(($A587-Macrociclo!$C$11)/7)+1)</f>
        <v>0</v>
      </c>
      <c r="C587" s="20"/>
      <c r="D587" s="22"/>
      <c r="E587" s="22"/>
      <c r="F587" s="22"/>
      <c r="G587" s="22"/>
      <c r="H587" s="33" t="n">
        <f aca="false">IF(COUNT($D587:$G587)&lt;4,0,SUM($D587:$G587))</f>
        <v>0</v>
      </c>
      <c r="I587" s="19" t="str">
        <f aca="false">IF($H587=0,"",IF($H587&lt;=8,"Ótimo",IF($H587&lt;=12,"Bom",IF($H587&lt;=16,"Regular",IF($H587&lt;=20,"Alerta","Crítico")))))</f>
        <v/>
      </c>
      <c r="J587" s="20"/>
      <c r="K587" s="20"/>
    </row>
    <row r="588" customFormat="false" ht="15" hidden="false" customHeight="false" outlineLevel="0" collapsed="false">
      <c r="A588" s="21"/>
      <c r="B588" s="33" t="n">
        <f aca="false">IF($A588="",0,INT(($A588-Macrociclo!$C$11)/7)+1)</f>
        <v>0</v>
      </c>
      <c r="C588" s="20"/>
      <c r="D588" s="22"/>
      <c r="E588" s="22"/>
      <c r="F588" s="22"/>
      <c r="G588" s="22"/>
      <c r="H588" s="33" t="n">
        <f aca="false">IF(COUNT($D588:$G588)&lt;4,0,SUM($D588:$G588))</f>
        <v>0</v>
      </c>
      <c r="I588" s="19" t="str">
        <f aca="false">IF($H588=0,"",IF($H588&lt;=8,"Ótimo",IF($H588&lt;=12,"Bom",IF($H588&lt;=16,"Regular",IF($H588&lt;=20,"Alerta","Crítico")))))</f>
        <v/>
      </c>
      <c r="J588" s="20"/>
      <c r="K588" s="20"/>
    </row>
    <row r="589" customFormat="false" ht="15" hidden="false" customHeight="false" outlineLevel="0" collapsed="false">
      <c r="A589" s="21"/>
      <c r="B589" s="33" t="n">
        <f aca="false">IF($A589="",0,INT(($A589-Macrociclo!$C$11)/7)+1)</f>
        <v>0</v>
      </c>
      <c r="C589" s="20"/>
      <c r="D589" s="22"/>
      <c r="E589" s="22"/>
      <c r="F589" s="22"/>
      <c r="G589" s="22"/>
      <c r="H589" s="33" t="n">
        <f aca="false">IF(COUNT($D589:$G589)&lt;4,0,SUM($D589:$G589))</f>
        <v>0</v>
      </c>
      <c r="I589" s="19" t="str">
        <f aca="false">IF($H589=0,"",IF($H589&lt;=8,"Ótimo",IF($H589&lt;=12,"Bom",IF($H589&lt;=16,"Regular",IF($H589&lt;=20,"Alerta","Crítico")))))</f>
        <v/>
      </c>
      <c r="J589" s="20"/>
      <c r="K589" s="20"/>
    </row>
    <row r="590" customFormat="false" ht="15" hidden="false" customHeight="false" outlineLevel="0" collapsed="false">
      <c r="A590" s="21"/>
      <c r="B590" s="33" t="n">
        <f aca="false">IF($A590="",0,INT(($A590-Macrociclo!$C$11)/7)+1)</f>
        <v>0</v>
      </c>
      <c r="C590" s="20"/>
      <c r="D590" s="22"/>
      <c r="E590" s="22"/>
      <c r="F590" s="22"/>
      <c r="G590" s="22"/>
      <c r="H590" s="33" t="n">
        <f aca="false">IF(COUNT($D590:$G590)&lt;4,0,SUM($D590:$G590))</f>
        <v>0</v>
      </c>
      <c r="I590" s="19" t="str">
        <f aca="false">IF($H590=0,"",IF($H590&lt;=8,"Ótimo",IF($H590&lt;=12,"Bom",IF($H590&lt;=16,"Regular",IF($H590&lt;=20,"Alerta","Crítico")))))</f>
        <v/>
      </c>
      <c r="J590" s="20"/>
      <c r="K590" s="20"/>
    </row>
    <row r="591" customFormat="false" ht="15" hidden="false" customHeight="false" outlineLevel="0" collapsed="false">
      <c r="A591" s="21"/>
      <c r="B591" s="33" t="n">
        <f aca="false">IF($A591="",0,INT(($A591-Macrociclo!$C$11)/7)+1)</f>
        <v>0</v>
      </c>
      <c r="C591" s="20"/>
      <c r="D591" s="22"/>
      <c r="E591" s="22"/>
      <c r="F591" s="22"/>
      <c r="G591" s="22"/>
      <c r="H591" s="33" t="n">
        <f aca="false">IF(COUNT($D591:$G591)&lt;4,0,SUM($D591:$G591))</f>
        <v>0</v>
      </c>
      <c r="I591" s="19" t="str">
        <f aca="false">IF($H591=0,"",IF($H591&lt;=8,"Ótimo",IF($H591&lt;=12,"Bom",IF($H591&lt;=16,"Regular",IF($H591&lt;=20,"Alerta","Crítico")))))</f>
        <v/>
      </c>
      <c r="J591" s="20"/>
      <c r="K591" s="20"/>
    </row>
    <row r="592" customFormat="false" ht="15" hidden="false" customHeight="false" outlineLevel="0" collapsed="false">
      <c r="A592" s="21"/>
      <c r="B592" s="33" t="n">
        <f aca="false">IF($A592="",0,INT(($A592-Macrociclo!$C$11)/7)+1)</f>
        <v>0</v>
      </c>
      <c r="C592" s="20"/>
      <c r="D592" s="22"/>
      <c r="E592" s="22"/>
      <c r="F592" s="22"/>
      <c r="G592" s="22"/>
      <c r="H592" s="33" t="n">
        <f aca="false">IF(COUNT($D592:$G592)&lt;4,0,SUM($D592:$G592))</f>
        <v>0</v>
      </c>
      <c r="I592" s="19" t="str">
        <f aca="false">IF($H592=0,"",IF($H592&lt;=8,"Ótimo",IF($H592&lt;=12,"Bom",IF($H592&lt;=16,"Regular",IF($H592&lt;=20,"Alerta","Crítico")))))</f>
        <v/>
      </c>
      <c r="J592" s="20"/>
      <c r="K592" s="20"/>
    </row>
    <row r="593" customFormat="false" ht="15" hidden="false" customHeight="false" outlineLevel="0" collapsed="false">
      <c r="A593" s="21"/>
      <c r="B593" s="33" t="n">
        <f aca="false">IF($A593="",0,INT(($A593-Macrociclo!$C$11)/7)+1)</f>
        <v>0</v>
      </c>
      <c r="C593" s="20"/>
      <c r="D593" s="22"/>
      <c r="E593" s="22"/>
      <c r="F593" s="22"/>
      <c r="G593" s="22"/>
      <c r="H593" s="33" t="n">
        <f aca="false">IF(COUNT($D593:$G593)&lt;4,0,SUM($D593:$G593))</f>
        <v>0</v>
      </c>
      <c r="I593" s="19" t="str">
        <f aca="false">IF($H593=0,"",IF($H593&lt;=8,"Ótimo",IF($H593&lt;=12,"Bom",IF($H593&lt;=16,"Regular",IF($H593&lt;=20,"Alerta","Crítico")))))</f>
        <v/>
      </c>
      <c r="J593" s="20"/>
      <c r="K593" s="20"/>
    </row>
    <row r="594" customFormat="false" ht="15" hidden="false" customHeight="false" outlineLevel="0" collapsed="false">
      <c r="A594" s="21"/>
      <c r="B594" s="33" t="n">
        <f aca="false">IF($A594="",0,INT(($A594-Macrociclo!$C$11)/7)+1)</f>
        <v>0</v>
      </c>
      <c r="C594" s="20"/>
      <c r="D594" s="22"/>
      <c r="E594" s="22"/>
      <c r="F594" s="22"/>
      <c r="G594" s="22"/>
      <c r="H594" s="33" t="n">
        <f aca="false">IF(COUNT($D594:$G594)&lt;4,0,SUM($D594:$G594))</f>
        <v>0</v>
      </c>
      <c r="I594" s="19" t="str">
        <f aca="false">IF($H594=0,"",IF($H594&lt;=8,"Ótimo",IF($H594&lt;=12,"Bom",IF($H594&lt;=16,"Regular",IF($H594&lt;=20,"Alerta","Crítico")))))</f>
        <v/>
      </c>
      <c r="J594" s="20"/>
      <c r="K594" s="20"/>
    </row>
    <row r="595" customFormat="false" ht="15" hidden="false" customHeight="false" outlineLevel="0" collapsed="false">
      <c r="A595" s="21"/>
      <c r="B595" s="33" t="n">
        <f aca="false">IF($A595="",0,INT(($A595-Macrociclo!$C$11)/7)+1)</f>
        <v>0</v>
      </c>
      <c r="C595" s="20"/>
      <c r="D595" s="22"/>
      <c r="E595" s="22"/>
      <c r="F595" s="22"/>
      <c r="G595" s="22"/>
      <c r="H595" s="33" t="n">
        <f aca="false">IF(COUNT($D595:$G595)&lt;4,0,SUM($D595:$G595))</f>
        <v>0</v>
      </c>
      <c r="I595" s="19" t="str">
        <f aca="false">IF($H595=0,"",IF($H595&lt;=8,"Ótimo",IF($H595&lt;=12,"Bom",IF($H595&lt;=16,"Regular",IF($H595&lt;=20,"Alerta","Crítico")))))</f>
        <v/>
      </c>
      <c r="J595" s="20"/>
      <c r="K595" s="20"/>
    </row>
    <row r="596" customFormat="false" ht="15" hidden="false" customHeight="false" outlineLevel="0" collapsed="false">
      <c r="A596" s="21"/>
      <c r="B596" s="33" t="n">
        <f aca="false">IF($A596="",0,INT(($A596-Macrociclo!$C$11)/7)+1)</f>
        <v>0</v>
      </c>
      <c r="C596" s="20"/>
      <c r="D596" s="22"/>
      <c r="E596" s="22"/>
      <c r="F596" s="22"/>
      <c r="G596" s="22"/>
      <c r="H596" s="33" t="n">
        <f aca="false">IF(COUNT($D596:$G596)&lt;4,0,SUM($D596:$G596))</f>
        <v>0</v>
      </c>
      <c r="I596" s="19" t="str">
        <f aca="false">IF($H596=0,"",IF($H596&lt;=8,"Ótimo",IF($H596&lt;=12,"Bom",IF($H596&lt;=16,"Regular",IF($H596&lt;=20,"Alerta","Crítico")))))</f>
        <v/>
      </c>
      <c r="J596" s="20"/>
      <c r="K596" s="20"/>
    </row>
    <row r="597" customFormat="false" ht="15" hidden="false" customHeight="false" outlineLevel="0" collapsed="false">
      <c r="A597" s="21"/>
      <c r="B597" s="33" t="n">
        <f aca="false">IF($A597="",0,INT(($A597-Macrociclo!$C$11)/7)+1)</f>
        <v>0</v>
      </c>
      <c r="C597" s="20"/>
      <c r="D597" s="22"/>
      <c r="E597" s="22"/>
      <c r="F597" s="22"/>
      <c r="G597" s="22"/>
      <c r="H597" s="33" t="n">
        <f aca="false">IF(COUNT($D597:$G597)&lt;4,0,SUM($D597:$G597))</f>
        <v>0</v>
      </c>
      <c r="I597" s="19" t="str">
        <f aca="false">IF($H597=0,"",IF($H597&lt;=8,"Ótimo",IF($H597&lt;=12,"Bom",IF($H597&lt;=16,"Regular",IF($H597&lt;=20,"Alerta","Crítico")))))</f>
        <v/>
      </c>
      <c r="J597" s="20"/>
      <c r="K597" s="20"/>
    </row>
    <row r="598" customFormat="false" ht="15" hidden="false" customHeight="false" outlineLevel="0" collapsed="false">
      <c r="A598" s="21"/>
      <c r="B598" s="33" t="n">
        <f aca="false">IF($A598="",0,INT(($A598-Macrociclo!$C$11)/7)+1)</f>
        <v>0</v>
      </c>
      <c r="C598" s="20"/>
      <c r="D598" s="22"/>
      <c r="E598" s="22"/>
      <c r="F598" s="22"/>
      <c r="G598" s="22"/>
      <c r="H598" s="33" t="n">
        <f aca="false">IF(COUNT($D598:$G598)&lt;4,0,SUM($D598:$G598))</f>
        <v>0</v>
      </c>
      <c r="I598" s="19" t="str">
        <f aca="false">IF($H598=0,"",IF($H598&lt;=8,"Ótimo",IF($H598&lt;=12,"Bom",IF($H598&lt;=16,"Regular",IF($H598&lt;=20,"Alerta","Crítico")))))</f>
        <v/>
      </c>
      <c r="J598" s="20"/>
      <c r="K598" s="20"/>
    </row>
    <row r="599" customFormat="false" ht="15" hidden="false" customHeight="false" outlineLevel="0" collapsed="false">
      <c r="A599" s="21"/>
      <c r="B599" s="33" t="n">
        <f aca="false">IF($A599="",0,INT(($A599-Macrociclo!$C$11)/7)+1)</f>
        <v>0</v>
      </c>
      <c r="C599" s="20"/>
      <c r="D599" s="22"/>
      <c r="E599" s="22"/>
      <c r="F599" s="22"/>
      <c r="G599" s="22"/>
      <c r="H599" s="33" t="n">
        <f aca="false">IF(COUNT($D599:$G599)&lt;4,0,SUM($D599:$G599))</f>
        <v>0</v>
      </c>
      <c r="I599" s="19" t="str">
        <f aca="false">IF($H599=0,"",IF($H599&lt;=8,"Ótimo",IF($H599&lt;=12,"Bom",IF($H599&lt;=16,"Regular",IF($H599&lt;=20,"Alerta","Crítico")))))</f>
        <v/>
      </c>
      <c r="J599" s="20"/>
      <c r="K599" s="20"/>
    </row>
    <row r="600" customFormat="false" ht="15" hidden="false" customHeight="false" outlineLevel="0" collapsed="false">
      <c r="A600" s="21"/>
      <c r="B600" s="33" t="n">
        <f aca="false">IF($A600="",0,INT(($A600-Macrociclo!$C$11)/7)+1)</f>
        <v>0</v>
      </c>
      <c r="C600" s="20"/>
      <c r="D600" s="22"/>
      <c r="E600" s="22"/>
      <c r="F600" s="22"/>
      <c r="G600" s="22"/>
      <c r="H600" s="33" t="n">
        <f aca="false">IF(COUNT($D600:$G600)&lt;4,0,SUM($D600:$G600))</f>
        <v>0</v>
      </c>
      <c r="I600" s="19" t="str">
        <f aca="false">IF($H600=0,"",IF($H600&lt;=8,"Ótimo",IF($H600&lt;=12,"Bom",IF($H600&lt;=16,"Regular",IF($H600&lt;=20,"Alerta","Crítico")))))</f>
        <v/>
      </c>
      <c r="J600" s="20"/>
      <c r="K600" s="20"/>
    </row>
    <row r="601" customFormat="false" ht="15" hidden="false" customHeight="false" outlineLevel="0" collapsed="false">
      <c r="A601" s="21"/>
      <c r="B601" s="33" t="n">
        <f aca="false">IF($A601="",0,INT(($A601-Macrociclo!$C$11)/7)+1)</f>
        <v>0</v>
      </c>
      <c r="C601" s="20"/>
      <c r="D601" s="22"/>
      <c r="E601" s="22"/>
      <c r="F601" s="22"/>
      <c r="G601" s="22"/>
      <c r="H601" s="33" t="n">
        <f aca="false">IF(COUNT($D601:$G601)&lt;4,0,SUM($D601:$G601))</f>
        <v>0</v>
      </c>
      <c r="I601" s="19" t="str">
        <f aca="false">IF($H601=0,"",IF($H601&lt;=8,"Ótimo",IF($H601&lt;=12,"Bom",IF($H601&lt;=16,"Regular",IF($H601&lt;=20,"Alerta","Crítico")))))</f>
        <v/>
      </c>
      <c r="J601" s="20"/>
      <c r="K601" s="20"/>
    </row>
    <row r="602" customFormat="false" ht="15" hidden="false" customHeight="false" outlineLevel="0" collapsed="false">
      <c r="A602" s="21"/>
      <c r="B602" s="33" t="n">
        <f aca="false">IF($A602="",0,INT(($A602-Macrociclo!$C$11)/7)+1)</f>
        <v>0</v>
      </c>
      <c r="C602" s="20"/>
      <c r="D602" s="22"/>
      <c r="E602" s="22"/>
      <c r="F602" s="22"/>
      <c r="G602" s="22"/>
      <c r="H602" s="33" t="n">
        <f aca="false">IF(COUNT($D602:$G602)&lt;4,0,SUM($D602:$G602))</f>
        <v>0</v>
      </c>
      <c r="I602" s="19" t="str">
        <f aca="false">IF($H602=0,"",IF($H602&lt;=8,"Ótimo",IF($H602&lt;=12,"Bom",IF($H602&lt;=16,"Regular",IF($H602&lt;=20,"Alerta","Crítico")))))</f>
        <v/>
      </c>
      <c r="J602" s="20"/>
      <c r="K602" s="20"/>
    </row>
    <row r="603" customFormat="false" ht="15" hidden="false" customHeight="false" outlineLevel="0" collapsed="false">
      <c r="A603" s="21"/>
      <c r="B603" s="33" t="n">
        <f aca="false">IF($A603="",0,INT(($A603-Macrociclo!$C$11)/7)+1)</f>
        <v>0</v>
      </c>
      <c r="C603" s="20"/>
      <c r="D603" s="22"/>
      <c r="E603" s="22"/>
      <c r="F603" s="22"/>
      <c r="G603" s="22"/>
      <c r="H603" s="33" t="n">
        <f aca="false">IF(COUNT($D603:$G603)&lt;4,0,SUM($D603:$G603))</f>
        <v>0</v>
      </c>
      <c r="I603" s="19" t="str">
        <f aca="false">IF($H603=0,"",IF($H603&lt;=8,"Ótimo",IF($H603&lt;=12,"Bom",IF($H603&lt;=16,"Regular",IF($H603&lt;=20,"Alerta","Crítico")))))</f>
        <v/>
      </c>
      <c r="J603" s="20"/>
      <c r="K603" s="20"/>
    </row>
    <row r="604" customFormat="false" ht="15" hidden="false" customHeight="false" outlineLevel="0" collapsed="false">
      <c r="A604" s="21"/>
      <c r="B604" s="33" t="n">
        <f aca="false">IF($A604="",0,INT(($A604-Macrociclo!$C$11)/7)+1)</f>
        <v>0</v>
      </c>
      <c r="C604" s="20"/>
      <c r="D604" s="22"/>
      <c r="E604" s="22"/>
      <c r="F604" s="22"/>
      <c r="G604" s="22"/>
      <c r="H604" s="33" t="n">
        <f aca="false">IF(COUNT($D604:$G604)&lt;4,0,SUM($D604:$G604))</f>
        <v>0</v>
      </c>
      <c r="I604" s="19" t="str">
        <f aca="false">IF($H604=0,"",IF($H604&lt;=8,"Ótimo",IF($H604&lt;=12,"Bom",IF($H604&lt;=16,"Regular",IF($H604&lt;=20,"Alerta","Crítico")))))</f>
        <v/>
      </c>
      <c r="J604" s="20"/>
      <c r="K604" s="20"/>
    </row>
    <row r="605" customFormat="false" ht="15" hidden="false" customHeight="false" outlineLevel="0" collapsed="false">
      <c r="A605" s="21"/>
      <c r="B605" s="33" t="n">
        <f aca="false">IF($A605="",0,INT(($A605-Macrociclo!$C$11)/7)+1)</f>
        <v>0</v>
      </c>
      <c r="C605" s="20"/>
      <c r="D605" s="22"/>
      <c r="E605" s="22"/>
      <c r="F605" s="22"/>
      <c r="G605" s="22"/>
      <c r="H605" s="33" t="n">
        <f aca="false">IF(COUNT($D605:$G605)&lt;4,0,SUM($D605:$G605))</f>
        <v>0</v>
      </c>
      <c r="I605" s="19" t="str">
        <f aca="false">IF($H605=0,"",IF($H605&lt;=8,"Ótimo",IF($H605&lt;=12,"Bom",IF($H605&lt;=16,"Regular",IF($H605&lt;=20,"Alerta","Crítico")))))</f>
        <v/>
      </c>
      <c r="J605" s="20"/>
      <c r="K605" s="20"/>
    </row>
    <row r="606" customFormat="false" ht="15" hidden="false" customHeight="false" outlineLevel="0" collapsed="false">
      <c r="A606" s="21"/>
      <c r="B606" s="33" t="n">
        <f aca="false">IF($A606="",0,INT(($A606-Macrociclo!$C$11)/7)+1)</f>
        <v>0</v>
      </c>
      <c r="C606" s="20"/>
      <c r="D606" s="22"/>
      <c r="E606" s="22"/>
      <c r="F606" s="22"/>
      <c r="G606" s="22"/>
      <c r="H606" s="33" t="n">
        <f aca="false">IF(COUNT($D606:$G606)&lt;4,0,SUM($D606:$G606))</f>
        <v>0</v>
      </c>
      <c r="I606" s="19" t="str">
        <f aca="false">IF($H606=0,"",IF($H606&lt;=8,"Ótimo",IF($H606&lt;=12,"Bom",IF($H606&lt;=16,"Regular",IF($H606&lt;=20,"Alerta","Crítico")))))</f>
        <v/>
      </c>
      <c r="J606" s="20"/>
      <c r="K606" s="20"/>
    </row>
    <row r="607" customFormat="false" ht="15" hidden="false" customHeight="false" outlineLevel="0" collapsed="false">
      <c r="A607" s="21"/>
      <c r="B607" s="33" t="n">
        <f aca="false">IF($A607="",0,INT(($A607-Macrociclo!$C$11)/7)+1)</f>
        <v>0</v>
      </c>
      <c r="C607" s="20"/>
      <c r="D607" s="22"/>
      <c r="E607" s="22"/>
      <c r="F607" s="22"/>
      <c r="G607" s="22"/>
      <c r="H607" s="33" t="n">
        <f aca="false">IF(COUNT($D607:$G607)&lt;4,0,SUM($D607:$G607))</f>
        <v>0</v>
      </c>
      <c r="I607" s="19" t="str">
        <f aca="false">IF($H607=0,"",IF($H607&lt;=8,"Ótimo",IF($H607&lt;=12,"Bom",IF($H607&lt;=16,"Regular",IF($H607&lt;=20,"Alerta","Crítico")))))</f>
        <v/>
      </c>
      <c r="J607" s="20"/>
      <c r="K607" s="20"/>
    </row>
    <row r="608" customFormat="false" ht="15" hidden="false" customHeight="false" outlineLevel="0" collapsed="false">
      <c r="A608" s="21"/>
      <c r="B608" s="33" t="n">
        <f aca="false">IF($A608="",0,INT(($A608-Macrociclo!$C$11)/7)+1)</f>
        <v>0</v>
      </c>
      <c r="C608" s="20"/>
      <c r="D608" s="22"/>
      <c r="E608" s="22"/>
      <c r="F608" s="22"/>
      <c r="G608" s="22"/>
      <c r="H608" s="33" t="n">
        <f aca="false">IF(COUNT($D608:$G608)&lt;4,0,SUM($D608:$G608))</f>
        <v>0</v>
      </c>
      <c r="I608" s="19" t="str">
        <f aca="false">IF($H608=0,"",IF($H608&lt;=8,"Ótimo",IF($H608&lt;=12,"Bom",IF($H608&lt;=16,"Regular",IF($H608&lt;=20,"Alerta","Crítico")))))</f>
        <v/>
      </c>
      <c r="J608" s="20"/>
      <c r="K608" s="20"/>
    </row>
    <row r="609" customFormat="false" ht="15" hidden="false" customHeight="false" outlineLevel="0" collapsed="false">
      <c r="A609" s="21"/>
      <c r="B609" s="33" t="n">
        <f aca="false">IF($A609="",0,INT(($A609-Macrociclo!$C$11)/7)+1)</f>
        <v>0</v>
      </c>
      <c r="C609" s="20"/>
      <c r="D609" s="22"/>
      <c r="E609" s="22"/>
      <c r="F609" s="22"/>
      <c r="G609" s="22"/>
      <c r="H609" s="33" t="n">
        <f aca="false">IF(COUNT($D609:$G609)&lt;4,0,SUM($D609:$G609))</f>
        <v>0</v>
      </c>
      <c r="I609" s="19" t="str">
        <f aca="false">IF($H609=0,"",IF($H609&lt;=8,"Ótimo",IF($H609&lt;=12,"Bom",IF($H609&lt;=16,"Regular",IF($H609&lt;=20,"Alerta","Crítico")))))</f>
        <v/>
      </c>
      <c r="J609" s="20"/>
      <c r="K609" s="20"/>
    </row>
    <row r="610" customFormat="false" ht="15" hidden="false" customHeight="false" outlineLevel="0" collapsed="false">
      <c r="A610" s="21"/>
      <c r="B610" s="33" t="n">
        <f aca="false">IF($A610="",0,INT(($A610-Macrociclo!$C$11)/7)+1)</f>
        <v>0</v>
      </c>
      <c r="C610" s="20"/>
      <c r="D610" s="22"/>
      <c r="E610" s="22"/>
      <c r="F610" s="22"/>
      <c r="G610" s="22"/>
      <c r="H610" s="33" t="n">
        <f aca="false">IF(COUNT($D610:$G610)&lt;4,0,SUM($D610:$G610))</f>
        <v>0</v>
      </c>
      <c r="I610" s="19" t="str">
        <f aca="false">IF($H610=0,"",IF($H610&lt;=8,"Ótimo",IF($H610&lt;=12,"Bom",IF($H610&lt;=16,"Regular",IF($H610&lt;=20,"Alerta","Crítico")))))</f>
        <v/>
      </c>
      <c r="J610" s="20"/>
      <c r="K610" s="20"/>
    </row>
    <row r="611" customFormat="false" ht="15" hidden="false" customHeight="false" outlineLevel="0" collapsed="false">
      <c r="A611" s="21"/>
      <c r="B611" s="33" t="n">
        <f aca="false">IF($A611="",0,INT(($A611-Macrociclo!$C$11)/7)+1)</f>
        <v>0</v>
      </c>
      <c r="C611" s="20"/>
      <c r="D611" s="22"/>
      <c r="E611" s="22"/>
      <c r="F611" s="22"/>
      <c r="G611" s="22"/>
      <c r="H611" s="33" t="n">
        <f aca="false">IF(COUNT($D611:$G611)&lt;4,0,SUM($D611:$G611))</f>
        <v>0</v>
      </c>
      <c r="I611" s="19" t="str">
        <f aca="false">IF($H611=0,"",IF($H611&lt;=8,"Ótimo",IF($H611&lt;=12,"Bom",IF($H611&lt;=16,"Regular",IF($H611&lt;=20,"Alerta","Crítico")))))</f>
        <v/>
      </c>
      <c r="J611" s="20"/>
      <c r="K611" s="20"/>
    </row>
    <row r="612" customFormat="false" ht="15" hidden="false" customHeight="false" outlineLevel="0" collapsed="false">
      <c r="A612" s="21"/>
      <c r="B612" s="33" t="n">
        <f aca="false">IF($A612="",0,INT(($A612-Macrociclo!$C$11)/7)+1)</f>
        <v>0</v>
      </c>
      <c r="C612" s="20"/>
      <c r="D612" s="22"/>
      <c r="E612" s="22"/>
      <c r="F612" s="22"/>
      <c r="G612" s="22"/>
      <c r="H612" s="33" t="n">
        <f aca="false">IF(COUNT($D612:$G612)&lt;4,0,SUM($D612:$G612))</f>
        <v>0</v>
      </c>
      <c r="I612" s="19" t="str">
        <f aca="false">IF($H612=0,"",IF($H612&lt;=8,"Ótimo",IF($H612&lt;=12,"Bom",IF($H612&lt;=16,"Regular",IF($H612&lt;=20,"Alerta","Crítico")))))</f>
        <v/>
      </c>
      <c r="J612" s="20"/>
      <c r="K612" s="20"/>
    </row>
    <row r="613" customFormat="false" ht="15" hidden="false" customHeight="false" outlineLevel="0" collapsed="false">
      <c r="A613" s="21"/>
      <c r="B613" s="33" t="n">
        <f aca="false">IF($A613="",0,INT(($A613-Macrociclo!$C$11)/7)+1)</f>
        <v>0</v>
      </c>
      <c r="C613" s="20"/>
      <c r="D613" s="22"/>
      <c r="E613" s="22"/>
      <c r="F613" s="22"/>
      <c r="G613" s="22"/>
      <c r="H613" s="33" t="n">
        <f aca="false">IF(COUNT($D613:$G613)&lt;4,0,SUM($D613:$G613))</f>
        <v>0</v>
      </c>
      <c r="I613" s="19" t="str">
        <f aca="false">IF($H613=0,"",IF($H613&lt;=8,"Ótimo",IF($H613&lt;=12,"Bom",IF($H613&lt;=16,"Regular",IF($H613&lt;=20,"Alerta","Crítico")))))</f>
        <v/>
      </c>
      <c r="J613" s="20"/>
      <c r="K613" s="20"/>
    </row>
    <row r="614" customFormat="false" ht="15" hidden="false" customHeight="false" outlineLevel="0" collapsed="false">
      <c r="A614" s="21"/>
      <c r="B614" s="33" t="n">
        <f aca="false">IF($A614="",0,INT(($A614-Macrociclo!$C$11)/7)+1)</f>
        <v>0</v>
      </c>
      <c r="C614" s="20"/>
      <c r="D614" s="22"/>
      <c r="E614" s="22"/>
      <c r="F614" s="22"/>
      <c r="G614" s="22"/>
      <c r="H614" s="33" t="n">
        <f aca="false">IF(COUNT($D614:$G614)&lt;4,0,SUM($D614:$G614))</f>
        <v>0</v>
      </c>
      <c r="I614" s="19" t="str">
        <f aca="false">IF($H614=0,"",IF($H614&lt;=8,"Ótimo",IF($H614&lt;=12,"Bom",IF($H614&lt;=16,"Regular",IF($H614&lt;=20,"Alerta","Crítico")))))</f>
        <v/>
      </c>
      <c r="J614" s="20"/>
      <c r="K614" s="20"/>
    </row>
    <row r="615" customFormat="false" ht="15" hidden="false" customHeight="false" outlineLevel="0" collapsed="false">
      <c r="A615" s="21"/>
      <c r="B615" s="33" t="n">
        <f aca="false">IF($A615="",0,INT(($A615-Macrociclo!$C$11)/7)+1)</f>
        <v>0</v>
      </c>
      <c r="C615" s="20"/>
      <c r="D615" s="22"/>
      <c r="E615" s="22"/>
      <c r="F615" s="22"/>
      <c r="G615" s="22"/>
      <c r="H615" s="33" t="n">
        <f aca="false">IF(COUNT($D615:$G615)&lt;4,0,SUM($D615:$G615))</f>
        <v>0</v>
      </c>
      <c r="I615" s="19" t="str">
        <f aca="false">IF($H615=0,"",IF($H615&lt;=8,"Ótimo",IF($H615&lt;=12,"Bom",IF($H615&lt;=16,"Regular",IF($H615&lt;=20,"Alerta","Crítico")))))</f>
        <v/>
      </c>
      <c r="J615" s="20"/>
      <c r="K615" s="20"/>
    </row>
    <row r="616" customFormat="false" ht="15" hidden="false" customHeight="false" outlineLevel="0" collapsed="false">
      <c r="A616" s="21"/>
      <c r="B616" s="33" t="n">
        <f aca="false">IF($A616="",0,INT(($A616-Macrociclo!$C$11)/7)+1)</f>
        <v>0</v>
      </c>
      <c r="C616" s="20"/>
      <c r="D616" s="22"/>
      <c r="E616" s="22"/>
      <c r="F616" s="22"/>
      <c r="G616" s="22"/>
      <c r="H616" s="33" t="n">
        <f aca="false">IF(COUNT($D616:$G616)&lt;4,0,SUM($D616:$G616))</f>
        <v>0</v>
      </c>
      <c r="I616" s="19" t="str">
        <f aca="false">IF($H616=0,"",IF($H616&lt;=8,"Ótimo",IF($H616&lt;=12,"Bom",IF($H616&lt;=16,"Regular",IF($H616&lt;=20,"Alerta","Crítico")))))</f>
        <v/>
      </c>
      <c r="J616" s="20"/>
      <c r="K616" s="20"/>
    </row>
    <row r="617" customFormat="false" ht="15" hidden="false" customHeight="false" outlineLevel="0" collapsed="false">
      <c r="A617" s="21"/>
      <c r="B617" s="33" t="n">
        <f aca="false">IF($A617="",0,INT(($A617-Macrociclo!$C$11)/7)+1)</f>
        <v>0</v>
      </c>
      <c r="C617" s="20"/>
      <c r="D617" s="22"/>
      <c r="E617" s="22"/>
      <c r="F617" s="22"/>
      <c r="G617" s="22"/>
      <c r="H617" s="33" t="n">
        <f aca="false">IF(COUNT($D617:$G617)&lt;4,0,SUM($D617:$G617))</f>
        <v>0</v>
      </c>
      <c r="I617" s="19" t="str">
        <f aca="false">IF($H617=0,"",IF($H617&lt;=8,"Ótimo",IF($H617&lt;=12,"Bom",IF($H617&lt;=16,"Regular",IF($H617&lt;=20,"Alerta","Crítico")))))</f>
        <v/>
      </c>
      <c r="J617" s="20"/>
      <c r="K617" s="20"/>
    </row>
    <row r="618" customFormat="false" ht="15" hidden="false" customHeight="false" outlineLevel="0" collapsed="false">
      <c r="A618" s="21"/>
      <c r="B618" s="33" t="n">
        <f aca="false">IF($A618="",0,INT(($A618-Macrociclo!$C$11)/7)+1)</f>
        <v>0</v>
      </c>
      <c r="C618" s="20"/>
      <c r="D618" s="22"/>
      <c r="E618" s="22"/>
      <c r="F618" s="22"/>
      <c r="G618" s="22"/>
      <c r="H618" s="33" t="n">
        <f aca="false">IF(COUNT($D618:$G618)&lt;4,0,SUM($D618:$G618))</f>
        <v>0</v>
      </c>
      <c r="I618" s="19" t="str">
        <f aca="false">IF($H618=0,"",IF($H618&lt;=8,"Ótimo",IF($H618&lt;=12,"Bom",IF($H618&lt;=16,"Regular",IF($H618&lt;=20,"Alerta","Crítico")))))</f>
        <v/>
      </c>
      <c r="J618" s="20"/>
      <c r="K618" s="20"/>
    </row>
    <row r="619" customFormat="false" ht="15" hidden="false" customHeight="false" outlineLevel="0" collapsed="false">
      <c r="A619" s="21"/>
      <c r="B619" s="33" t="n">
        <f aca="false">IF($A619="",0,INT(($A619-Macrociclo!$C$11)/7)+1)</f>
        <v>0</v>
      </c>
      <c r="C619" s="20"/>
      <c r="D619" s="22"/>
      <c r="E619" s="22"/>
      <c r="F619" s="22"/>
      <c r="G619" s="22"/>
      <c r="H619" s="33" t="n">
        <f aca="false">IF(COUNT($D619:$G619)&lt;4,0,SUM($D619:$G619))</f>
        <v>0</v>
      </c>
      <c r="I619" s="19" t="str">
        <f aca="false">IF($H619=0,"",IF($H619&lt;=8,"Ótimo",IF($H619&lt;=12,"Bom",IF($H619&lt;=16,"Regular",IF($H619&lt;=20,"Alerta","Crítico")))))</f>
        <v/>
      </c>
      <c r="J619" s="20"/>
      <c r="K619" s="20"/>
    </row>
    <row r="620" customFormat="false" ht="15" hidden="false" customHeight="false" outlineLevel="0" collapsed="false">
      <c r="A620" s="21"/>
      <c r="B620" s="33" t="n">
        <f aca="false">IF($A620="",0,INT(($A620-Macrociclo!$C$11)/7)+1)</f>
        <v>0</v>
      </c>
      <c r="C620" s="20"/>
      <c r="D620" s="22"/>
      <c r="E620" s="22"/>
      <c r="F620" s="22"/>
      <c r="G620" s="22"/>
      <c r="H620" s="33" t="n">
        <f aca="false">IF(COUNT($D620:$G620)&lt;4,0,SUM($D620:$G620))</f>
        <v>0</v>
      </c>
      <c r="I620" s="19" t="str">
        <f aca="false">IF($H620=0,"",IF($H620&lt;=8,"Ótimo",IF($H620&lt;=12,"Bom",IF($H620&lt;=16,"Regular",IF($H620&lt;=20,"Alerta","Crítico")))))</f>
        <v/>
      </c>
      <c r="J620" s="20"/>
      <c r="K620" s="20"/>
    </row>
    <row r="621" customFormat="false" ht="15" hidden="false" customHeight="false" outlineLevel="0" collapsed="false">
      <c r="A621" s="21"/>
      <c r="B621" s="33" t="n">
        <f aca="false">IF($A621="",0,INT(($A621-Macrociclo!$C$11)/7)+1)</f>
        <v>0</v>
      </c>
      <c r="C621" s="20"/>
      <c r="D621" s="22"/>
      <c r="E621" s="22"/>
      <c r="F621" s="22"/>
      <c r="G621" s="22"/>
      <c r="H621" s="33" t="n">
        <f aca="false">IF(COUNT($D621:$G621)&lt;4,0,SUM($D621:$G621))</f>
        <v>0</v>
      </c>
      <c r="I621" s="19" t="str">
        <f aca="false">IF($H621=0,"",IF($H621&lt;=8,"Ótimo",IF($H621&lt;=12,"Bom",IF($H621&lt;=16,"Regular",IF($H621&lt;=20,"Alerta","Crítico")))))</f>
        <v/>
      </c>
      <c r="J621" s="20"/>
      <c r="K621" s="20"/>
    </row>
    <row r="622" customFormat="false" ht="15" hidden="false" customHeight="false" outlineLevel="0" collapsed="false">
      <c r="A622" s="21"/>
      <c r="B622" s="33" t="n">
        <f aca="false">IF($A622="",0,INT(($A622-Macrociclo!$C$11)/7)+1)</f>
        <v>0</v>
      </c>
      <c r="C622" s="20"/>
      <c r="D622" s="22"/>
      <c r="E622" s="22"/>
      <c r="F622" s="22"/>
      <c r="G622" s="22"/>
      <c r="H622" s="33" t="n">
        <f aca="false">IF(COUNT($D622:$G622)&lt;4,0,SUM($D622:$G622))</f>
        <v>0</v>
      </c>
      <c r="I622" s="19" t="str">
        <f aca="false">IF($H622=0,"",IF($H622&lt;=8,"Ótimo",IF($H622&lt;=12,"Bom",IF($H622&lt;=16,"Regular",IF($H622&lt;=20,"Alerta","Crítico")))))</f>
        <v/>
      </c>
      <c r="J622" s="20"/>
      <c r="K622" s="20"/>
    </row>
    <row r="623" customFormat="false" ht="15" hidden="false" customHeight="false" outlineLevel="0" collapsed="false">
      <c r="A623" s="21"/>
      <c r="B623" s="33" t="n">
        <f aca="false">IF($A623="",0,INT(($A623-Macrociclo!$C$11)/7)+1)</f>
        <v>0</v>
      </c>
      <c r="C623" s="20"/>
      <c r="D623" s="22"/>
      <c r="E623" s="22"/>
      <c r="F623" s="22"/>
      <c r="G623" s="22"/>
      <c r="H623" s="33" t="n">
        <f aca="false">IF(COUNT($D623:$G623)&lt;4,0,SUM($D623:$G623))</f>
        <v>0</v>
      </c>
      <c r="I623" s="19" t="str">
        <f aca="false">IF($H623=0,"",IF($H623&lt;=8,"Ótimo",IF($H623&lt;=12,"Bom",IF($H623&lt;=16,"Regular",IF($H623&lt;=20,"Alerta","Crítico")))))</f>
        <v/>
      </c>
      <c r="J623" s="20"/>
      <c r="K623" s="20"/>
    </row>
    <row r="624" customFormat="false" ht="15" hidden="false" customHeight="false" outlineLevel="0" collapsed="false">
      <c r="A624" s="21"/>
      <c r="B624" s="33" t="n">
        <f aca="false">IF($A624="",0,INT(($A624-Macrociclo!$C$11)/7)+1)</f>
        <v>0</v>
      </c>
      <c r="C624" s="20"/>
      <c r="D624" s="22"/>
      <c r="E624" s="22"/>
      <c r="F624" s="22"/>
      <c r="G624" s="22"/>
      <c r="H624" s="33" t="n">
        <f aca="false">IF(COUNT($D624:$G624)&lt;4,0,SUM($D624:$G624))</f>
        <v>0</v>
      </c>
      <c r="I624" s="19" t="str">
        <f aca="false">IF($H624=0,"",IF($H624&lt;=8,"Ótimo",IF($H624&lt;=12,"Bom",IF($H624&lt;=16,"Regular",IF($H624&lt;=20,"Alerta","Crítico")))))</f>
        <v/>
      </c>
      <c r="J624" s="20"/>
      <c r="K624" s="20"/>
    </row>
    <row r="625" customFormat="false" ht="15" hidden="false" customHeight="false" outlineLevel="0" collapsed="false">
      <c r="A625" s="21"/>
      <c r="B625" s="33" t="n">
        <f aca="false">IF($A625="",0,INT(($A625-Macrociclo!$C$11)/7)+1)</f>
        <v>0</v>
      </c>
      <c r="C625" s="20"/>
      <c r="D625" s="22"/>
      <c r="E625" s="22"/>
      <c r="F625" s="22"/>
      <c r="G625" s="22"/>
      <c r="H625" s="33" t="n">
        <f aca="false">IF(COUNT($D625:$G625)&lt;4,0,SUM($D625:$G625))</f>
        <v>0</v>
      </c>
      <c r="I625" s="19" t="str">
        <f aca="false">IF($H625=0,"",IF($H625&lt;=8,"Ótimo",IF($H625&lt;=12,"Bom",IF($H625&lt;=16,"Regular",IF($H625&lt;=20,"Alerta","Crítico")))))</f>
        <v/>
      </c>
      <c r="J625" s="20"/>
      <c r="K625" s="20"/>
    </row>
    <row r="626" customFormat="false" ht="15" hidden="false" customHeight="false" outlineLevel="0" collapsed="false">
      <c r="A626" s="21"/>
      <c r="B626" s="33" t="n">
        <f aca="false">IF($A626="",0,INT(($A626-Macrociclo!$C$11)/7)+1)</f>
        <v>0</v>
      </c>
      <c r="C626" s="20"/>
      <c r="D626" s="22"/>
      <c r="E626" s="22"/>
      <c r="F626" s="22"/>
      <c r="G626" s="22"/>
      <c r="H626" s="33" t="n">
        <f aca="false">IF(COUNT($D626:$G626)&lt;4,0,SUM($D626:$G626))</f>
        <v>0</v>
      </c>
      <c r="I626" s="19" t="str">
        <f aca="false">IF($H626=0,"",IF($H626&lt;=8,"Ótimo",IF($H626&lt;=12,"Bom",IF($H626&lt;=16,"Regular",IF($H626&lt;=20,"Alerta","Crítico")))))</f>
        <v/>
      </c>
      <c r="J626" s="20"/>
      <c r="K626" s="20"/>
    </row>
    <row r="627" customFormat="false" ht="15" hidden="false" customHeight="false" outlineLevel="0" collapsed="false">
      <c r="A627" s="21"/>
      <c r="B627" s="33" t="n">
        <f aca="false">IF($A627="",0,INT(($A627-Macrociclo!$C$11)/7)+1)</f>
        <v>0</v>
      </c>
      <c r="C627" s="20"/>
      <c r="D627" s="22"/>
      <c r="E627" s="22"/>
      <c r="F627" s="22"/>
      <c r="G627" s="22"/>
      <c r="H627" s="33" t="n">
        <f aca="false">IF(COUNT($D627:$G627)&lt;4,0,SUM($D627:$G627))</f>
        <v>0</v>
      </c>
      <c r="I627" s="19" t="str">
        <f aca="false">IF($H627=0,"",IF($H627&lt;=8,"Ótimo",IF($H627&lt;=12,"Bom",IF($H627&lt;=16,"Regular",IF($H627&lt;=20,"Alerta","Crítico")))))</f>
        <v/>
      </c>
      <c r="J627" s="20"/>
      <c r="K627" s="20"/>
    </row>
    <row r="628" customFormat="false" ht="15" hidden="false" customHeight="false" outlineLevel="0" collapsed="false">
      <c r="A628" s="21"/>
      <c r="B628" s="33" t="n">
        <f aca="false">IF($A628="",0,INT(($A628-Macrociclo!$C$11)/7)+1)</f>
        <v>0</v>
      </c>
      <c r="C628" s="20"/>
      <c r="D628" s="22"/>
      <c r="E628" s="22"/>
      <c r="F628" s="22"/>
      <c r="G628" s="22"/>
      <c r="H628" s="33" t="n">
        <f aca="false">IF(COUNT($D628:$G628)&lt;4,0,SUM($D628:$G628))</f>
        <v>0</v>
      </c>
      <c r="I628" s="19" t="str">
        <f aca="false">IF($H628=0,"",IF($H628&lt;=8,"Ótimo",IF($H628&lt;=12,"Bom",IF($H628&lt;=16,"Regular",IF($H628&lt;=20,"Alerta","Crítico")))))</f>
        <v/>
      </c>
      <c r="J628" s="20"/>
      <c r="K628" s="20"/>
    </row>
    <row r="629" customFormat="false" ht="15" hidden="false" customHeight="false" outlineLevel="0" collapsed="false">
      <c r="A629" s="21"/>
      <c r="B629" s="33" t="n">
        <f aca="false">IF($A629="",0,INT(($A629-Macrociclo!$C$11)/7)+1)</f>
        <v>0</v>
      </c>
      <c r="C629" s="20"/>
      <c r="D629" s="22"/>
      <c r="E629" s="22"/>
      <c r="F629" s="22"/>
      <c r="G629" s="22"/>
      <c r="H629" s="33" t="n">
        <f aca="false">IF(COUNT($D629:$G629)&lt;4,0,SUM($D629:$G629))</f>
        <v>0</v>
      </c>
      <c r="I629" s="19" t="str">
        <f aca="false">IF($H629=0,"",IF($H629&lt;=8,"Ótimo",IF($H629&lt;=12,"Bom",IF($H629&lt;=16,"Regular",IF($H629&lt;=20,"Alerta","Crítico")))))</f>
        <v/>
      </c>
      <c r="J629" s="20"/>
      <c r="K629" s="20"/>
    </row>
    <row r="630" customFormat="false" ht="15" hidden="false" customHeight="false" outlineLevel="0" collapsed="false">
      <c r="A630" s="21"/>
      <c r="B630" s="33" t="n">
        <f aca="false">IF($A630="",0,INT(($A630-Macrociclo!$C$11)/7)+1)</f>
        <v>0</v>
      </c>
      <c r="C630" s="20"/>
      <c r="D630" s="22"/>
      <c r="E630" s="22"/>
      <c r="F630" s="22"/>
      <c r="G630" s="22"/>
      <c r="H630" s="33" t="n">
        <f aca="false">IF(COUNT($D630:$G630)&lt;4,0,SUM($D630:$G630))</f>
        <v>0</v>
      </c>
      <c r="I630" s="19" t="str">
        <f aca="false">IF($H630=0,"",IF($H630&lt;=8,"Ótimo",IF($H630&lt;=12,"Bom",IF($H630&lt;=16,"Regular",IF($H630&lt;=20,"Alerta","Crítico")))))</f>
        <v/>
      </c>
      <c r="J630" s="20"/>
      <c r="K630" s="20"/>
    </row>
    <row r="631" customFormat="false" ht="15" hidden="false" customHeight="false" outlineLevel="0" collapsed="false">
      <c r="A631" s="21"/>
      <c r="B631" s="33" t="n">
        <f aca="false">IF($A631="",0,INT(($A631-Macrociclo!$C$11)/7)+1)</f>
        <v>0</v>
      </c>
      <c r="C631" s="20"/>
      <c r="D631" s="22"/>
      <c r="E631" s="22"/>
      <c r="F631" s="22"/>
      <c r="G631" s="22"/>
      <c r="H631" s="33" t="n">
        <f aca="false">IF(COUNT($D631:$G631)&lt;4,0,SUM($D631:$G631))</f>
        <v>0</v>
      </c>
      <c r="I631" s="19" t="str">
        <f aca="false">IF($H631=0,"",IF($H631&lt;=8,"Ótimo",IF($H631&lt;=12,"Bom",IF($H631&lt;=16,"Regular",IF($H631&lt;=20,"Alerta","Crítico")))))</f>
        <v/>
      </c>
      <c r="J631" s="20"/>
      <c r="K631" s="20"/>
    </row>
    <row r="632" customFormat="false" ht="15" hidden="false" customHeight="false" outlineLevel="0" collapsed="false">
      <c r="A632" s="21"/>
      <c r="B632" s="33" t="n">
        <f aca="false">IF($A632="",0,INT(($A632-Macrociclo!$C$11)/7)+1)</f>
        <v>0</v>
      </c>
      <c r="C632" s="20"/>
      <c r="D632" s="22"/>
      <c r="E632" s="22"/>
      <c r="F632" s="22"/>
      <c r="G632" s="22"/>
      <c r="H632" s="33" t="n">
        <f aca="false">IF(COUNT($D632:$G632)&lt;4,0,SUM($D632:$G632))</f>
        <v>0</v>
      </c>
      <c r="I632" s="19" t="str">
        <f aca="false">IF($H632=0,"",IF($H632&lt;=8,"Ótimo",IF($H632&lt;=12,"Bom",IF($H632&lt;=16,"Regular",IF($H632&lt;=20,"Alerta","Crítico")))))</f>
        <v/>
      </c>
      <c r="J632" s="20"/>
      <c r="K632" s="20"/>
    </row>
    <row r="633" customFormat="false" ht="15" hidden="false" customHeight="false" outlineLevel="0" collapsed="false">
      <c r="A633" s="21"/>
      <c r="B633" s="33" t="n">
        <f aca="false">IF($A633="",0,INT(($A633-Macrociclo!$C$11)/7)+1)</f>
        <v>0</v>
      </c>
      <c r="C633" s="20"/>
      <c r="D633" s="22"/>
      <c r="E633" s="22"/>
      <c r="F633" s="22"/>
      <c r="G633" s="22"/>
      <c r="H633" s="33" t="n">
        <f aca="false">IF(COUNT($D633:$G633)&lt;4,0,SUM($D633:$G633))</f>
        <v>0</v>
      </c>
      <c r="I633" s="19" t="str">
        <f aca="false">IF($H633=0,"",IF($H633&lt;=8,"Ótimo",IF($H633&lt;=12,"Bom",IF($H633&lt;=16,"Regular",IF($H633&lt;=20,"Alerta","Crítico")))))</f>
        <v/>
      </c>
      <c r="J633" s="20"/>
      <c r="K633" s="20"/>
    </row>
    <row r="634" customFormat="false" ht="15" hidden="false" customHeight="false" outlineLevel="0" collapsed="false">
      <c r="A634" s="21"/>
      <c r="B634" s="33" t="n">
        <f aca="false">IF($A634="",0,INT(($A634-Macrociclo!$C$11)/7)+1)</f>
        <v>0</v>
      </c>
      <c r="C634" s="20"/>
      <c r="D634" s="22"/>
      <c r="E634" s="22"/>
      <c r="F634" s="22"/>
      <c r="G634" s="22"/>
      <c r="H634" s="33" t="n">
        <f aca="false">IF(COUNT($D634:$G634)&lt;4,0,SUM($D634:$G634))</f>
        <v>0</v>
      </c>
      <c r="I634" s="19" t="str">
        <f aca="false">IF($H634=0,"",IF($H634&lt;=8,"Ótimo",IF($H634&lt;=12,"Bom",IF($H634&lt;=16,"Regular",IF($H634&lt;=20,"Alerta","Crítico")))))</f>
        <v/>
      </c>
      <c r="J634" s="20"/>
      <c r="K634" s="20"/>
    </row>
    <row r="635" customFormat="false" ht="15" hidden="false" customHeight="false" outlineLevel="0" collapsed="false">
      <c r="A635" s="21"/>
      <c r="B635" s="33" t="n">
        <f aca="false">IF($A635="",0,INT(($A635-Macrociclo!$C$11)/7)+1)</f>
        <v>0</v>
      </c>
      <c r="C635" s="20"/>
      <c r="D635" s="22"/>
      <c r="E635" s="22"/>
      <c r="F635" s="22"/>
      <c r="G635" s="22"/>
      <c r="H635" s="33" t="n">
        <f aca="false">IF(COUNT($D635:$G635)&lt;4,0,SUM($D635:$G635))</f>
        <v>0</v>
      </c>
      <c r="I635" s="19" t="str">
        <f aca="false">IF($H635=0,"",IF($H635&lt;=8,"Ótimo",IF($H635&lt;=12,"Bom",IF($H635&lt;=16,"Regular",IF($H635&lt;=20,"Alerta","Crítico")))))</f>
        <v/>
      </c>
      <c r="J635" s="20"/>
      <c r="K635" s="20"/>
    </row>
    <row r="636" customFormat="false" ht="15" hidden="false" customHeight="false" outlineLevel="0" collapsed="false">
      <c r="A636" s="21"/>
      <c r="B636" s="33" t="n">
        <f aca="false">IF($A636="",0,INT(($A636-Macrociclo!$C$11)/7)+1)</f>
        <v>0</v>
      </c>
      <c r="C636" s="20"/>
      <c r="D636" s="22"/>
      <c r="E636" s="22"/>
      <c r="F636" s="22"/>
      <c r="G636" s="22"/>
      <c r="H636" s="33" t="n">
        <f aca="false">IF(COUNT($D636:$G636)&lt;4,0,SUM($D636:$G636))</f>
        <v>0</v>
      </c>
      <c r="I636" s="19" t="str">
        <f aca="false">IF($H636=0,"",IF($H636&lt;=8,"Ótimo",IF($H636&lt;=12,"Bom",IF($H636&lt;=16,"Regular",IF($H636&lt;=20,"Alerta","Crítico")))))</f>
        <v/>
      </c>
      <c r="J636" s="20"/>
      <c r="K636" s="20"/>
    </row>
    <row r="637" customFormat="false" ht="15" hidden="false" customHeight="false" outlineLevel="0" collapsed="false">
      <c r="A637" s="21"/>
      <c r="B637" s="33" t="n">
        <f aca="false">IF($A637="",0,INT(($A637-Macrociclo!$C$11)/7)+1)</f>
        <v>0</v>
      </c>
      <c r="C637" s="20"/>
      <c r="D637" s="22"/>
      <c r="E637" s="22"/>
      <c r="F637" s="22"/>
      <c r="G637" s="22"/>
      <c r="H637" s="33" t="n">
        <f aca="false">IF(COUNT($D637:$G637)&lt;4,0,SUM($D637:$G637))</f>
        <v>0</v>
      </c>
      <c r="I637" s="19" t="str">
        <f aca="false">IF($H637=0,"",IF($H637&lt;=8,"Ótimo",IF($H637&lt;=12,"Bom",IF($H637&lt;=16,"Regular",IF($H637&lt;=20,"Alerta","Crítico")))))</f>
        <v/>
      </c>
      <c r="J637" s="20"/>
      <c r="K637" s="20"/>
    </row>
    <row r="638" customFormat="false" ht="15" hidden="false" customHeight="false" outlineLevel="0" collapsed="false">
      <c r="A638" s="21"/>
      <c r="B638" s="33" t="n">
        <f aca="false">IF($A638="",0,INT(($A638-Macrociclo!$C$11)/7)+1)</f>
        <v>0</v>
      </c>
      <c r="C638" s="20"/>
      <c r="D638" s="22"/>
      <c r="E638" s="22"/>
      <c r="F638" s="22"/>
      <c r="G638" s="22"/>
      <c r="H638" s="33" t="n">
        <f aca="false">IF(COUNT($D638:$G638)&lt;4,0,SUM($D638:$G638))</f>
        <v>0</v>
      </c>
      <c r="I638" s="19" t="str">
        <f aca="false">IF($H638=0,"",IF($H638&lt;=8,"Ótimo",IF($H638&lt;=12,"Bom",IF($H638&lt;=16,"Regular",IF($H638&lt;=20,"Alerta","Crítico")))))</f>
        <v/>
      </c>
      <c r="J638" s="20"/>
      <c r="K638" s="20"/>
    </row>
    <row r="639" customFormat="false" ht="15" hidden="false" customHeight="false" outlineLevel="0" collapsed="false">
      <c r="A639" s="21"/>
      <c r="B639" s="33" t="n">
        <f aca="false">IF($A639="",0,INT(($A639-Macrociclo!$C$11)/7)+1)</f>
        <v>0</v>
      </c>
      <c r="C639" s="20"/>
      <c r="D639" s="22"/>
      <c r="E639" s="22"/>
      <c r="F639" s="22"/>
      <c r="G639" s="22"/>
      <c r="H639" s="33" t="n">
        <f aca="false">IF(COUNT($D639:$G639)&lt;4,0,SUM($D639:$G639))</f>
        <v>0</v>
      </c>
      <c r="I639" s="19" t="str">
        <f aca="false">IF($H639=0,"",IF($H639&lt;=8,"Ótimo",IF($H639&lt;=12,"Bom",IF($H639&lt;=16,"Regular",IF($H639&lt;=20,"Alerta","Crítico")))))</f>
        <v/>
      </c>
      <c r="J639" s="20"/>
      <c r="K639" s="20"/>
    </row>
    <row r="640" customFormat="false" ht="15" hidden="false" customHeight="false" outlineLevel="0" collapsed="false">
      <c r="A640" s="21"/>
      <c r="B640" s="33" t="n">
        <f aca="false">IF($A640="",0,INT(($A640-Macrociclo!$C$11)/7)+1)</f>
        <v>0</v>
      </c>
      <c r="C640" s="20"/>
      <c r="D640" s="22"/>
      <c r="E640" s="22"/>
      <c r="F640" s="22"/>
      <c r="G640" s="22"/>
      <c r="H640" s="33" t="n">
        <f aca="false">IF(COUNT($D640:$G640)&lt;4,0,SUM($D640:$G640))</f>
        <v>0</v>
      </c>
      <c r="I640" s="19" t="str">
        <f aca="false">IF($H640=0,"",IF($H640&lt;=8,"Ótimo",IF($H640&lt;=12,"Bom",IF($H640&lt;=16,"Regular",IF($H640&lt;=20,"Alerta","Crítico")))))</f>
        <v/>
      </c>
      <c r="J640" s="20"/>
      <c r="K640" s="20"/>
    </row>
    <row r="641" customFormat="false" ht="15" hidden="false" customHeight="false" outlineLevel="0" collapsed="false">
      <c r="A641" s="21"/>
      <c r="B641" s="33" t="n">
        <f aca="false">IF($A641="",0,INT(($A641-Macrociclo!$C$11)/7)+1)</f>
        <v>0</v>
      </c>
      <c r="C641" s="20"/>
      <c r="D641" s="22"/>
      <c r="E641" s="22"/>
      <c r="F641" s="22"/>
      <c r="G641" s="22"/>
      <c r="H641" s="33" t="n">
        <f aca="false">IF(COUNT($D641:$G641)&lt;4,0,SUM($D641:$G641))</f>
        <v>0</v>
      </c>
      <c r="I641" s="19" t="str">
        <f aca="false">IF($H641=0,"",IF($H641&lt;=8,"Ótimo",IF($H641&lt;=12,"Bom",IF($H641&lt;=16,"Regular",IF($H641&lt;=20,"Alerta","Crítico")))))</f>
        <v/>
      </c>
      <c r="J641" s="20"/>
      <c r="K641" s="20"/>
    </row>
    <row r="642" customFormat="false" ht="15" hidden="false" customHeight="false" outlineLevel="0" collapsed="false">
      <c r="A642" s="21"/>
      <c r="B642" s="33" t="n">
        <f aca="false">IF($A642="",0,INT(($A642-Macrociclo!$C$11)/7)+1)</f>
        <v>0</v>
      </c>
      <c r="C642" s="20"/>
      <c r="D642" s="22"/>
      <c r="E642" s="22"/>
      <c r="F642" s="22"/>
      <c r="G642" s="22"/>
      <c r="H642" s="33" t="n">
        <f aca="false">IF(COUNT($D642:$G642)&lt;4,0,SUM($D642:$G642))</f>
        <v>0</v>
      </c>
      <c r="I642" s="19" t="str">
        <f aca="false">IF($H642=0,"",IF($H642&lt;=8,"Ótimo",IF($H642&lt;=12,"Bom",IF($H642&lt;=16,"Regular",IF($H642&lt;=20,"Alerta","Crítico")))))</f>
        <v/>
      </c>
      <c r="J642" s="20"/>
      <c r="K642" s="20"/>
    </row>
    <row r="643" customFormat="false" ht="15" hidden="false" customHeight="false" outlineLevel="0" collapsed="false">
      <c r="A643" s="21"/>
      <c r="B643" s="33" t="n">
        <f aca="false">IF($A643="",0,INT(($A643-Macrociclo!$C$11)/7)+1)</f>
        <v>0</v>
      </c>
      <c r="C643" s="20"/>
      <c r="D643" s="22"/>
      <c r="E643" s="22"/>
      <c r="F643" s="22"/>
      <c r="G643" s="22"/>
      <c r="H643" s="33" t="n">
        <f aca="false">IF(COUNT($D643:$G643)&lt;4,0,SUM($D643:$G643))</f>
        <v>0</v>
      </c>
      <c r="I643" s="19" t="str">
        <f aca="false">IF($H643=0,"",IF($H643&lt;=8,"Ótimo",IF($H643&lt;=12,"Bom",IF($H643&lt;=16,"Regular",IF($H643&lt;=20,"Alerta","Crítico")))))</f>
        <v/>
      </c>
      <c r="J643" s="20"/>
      <c r="K643" s="20"/>
    </row>
    <row r="644" customFormat="false" ht="15" hidden="false" customHeight="false" outlineLevel="0" collapsed="false">
      <c r="A644" s="21"/>
      <c r="B644" s="33" t="n">
        <f aca="false">IF($A644="",0,INT(($A644-Macrociclo!$C$11)/7)+1)</f>
        <v>0</v>
      </c>
      <c r="C644" s="20"/>
      <c r="D644" s="22"/>
      <c r="E644" s="22"/>
      <c r="F644" s="22"/>
      <c r="G644" s="22"/>
      <c r="H644" s="33" t="n">
        <f aca="false">IF(COUNT($D644:$G644)&lt;4,0,SUM($D644:$G644))</f>
        <v>0</v>
      </c>
      <c r="I644" s="19" t="str">
        <f aca="false">IF($H644=0,"",IF($H644&lt;=8,"Ótimo",IF($H644&lt;=12,"Bom",IF($H644&lt;=16,"Regular",IF($H644&lt;=20,"Alerta","Crítico")))))</f>
        <v/>
      </c>
      <c r="J644" s="20"/>
      <c r="K644" s="20"/>
    </row>
    <row r="645" customFormat="false" ht="15" hidden="false" customHeight="false" outlineLevel="0" collapsed="false">
      <c r="A645" s="21"/>
      <c r="B645" s="33" t="n">
        <f aca="false">IF($A645="",0,INT(($A645-Macrociclo!$C$11)/7)+1)</f>
        <v>0</v>
      </c>
      <c r="C645" s="20"/>
      <c r="D645" s="22"/>
      <c r="E645" s="22"/>
      <c r="F645" s="22"/>
      <c r="G645" s="22"/>
      <c r="H645" s="33" t="n">
        <f aca="false">IF(COUNT($D645:$G645)&lt;4,0,SUM($D645:$G645))</f>
        <v>0</v>
      </c>
      <c r="I645" s="19" t="str">
        <f aca="false">IF($H645=0,"",IF($H645&lt;=8,"Ótimo",IF($H645&lt;=12,"Bom",IF($H645&lt;=16,"Regular",IF($H645&lt;=20,"Alerta","Crítico")))))</f>
        <v/>
      </c>
      <c r="J645" s="20"/>
      <c r="K645" s="20"/>
    </row>
    <row r="646" customFormat="false" ht="15" hidden="false" customHeight="false" outlineLevel="0" collapsed="false">
      <c r="A646" s="21"/>
      <c r="B646" s="33" t="n">
        <f aca="false">IF($A646="",0,INT(($A646-Macrociclo!$C$11)/7)+1)</f>
        <v>0</v>
      </c>
      <c r="C646" s="20"/>
      <c r="D646" s="22"/>
      <c r="E646" s="22"/>
      <c r="F646" s="22"/>
      <c r="G646" s="22"/>
      <c r="H646" s="33" t="n">
        <f aca="false">IF(COUNT($D646:$G646)&lt;4,0,SUM($D646:$G646))</f>
        <v>0</v>
      </c>
      <c r="I646" s="19" t="str">
        <f aca="false">IF($H646=0,"",IF($H646&lt;=8,"Ótimo",IF($H646&lt;=12,"Bom",IF($H646&lt;=16,"Regular",IF($H646&lt;=20,"Alerta","Crítico")))))</f>
        <v/>
      </c>
      <c r="J646" s="20"/>
      <c r="K646" s="20"/>
    </row>
    <row r="647" customFormat="false" ht="15" hidden="false" customHeight="false" outlineLevel="0" collapsed="false">
      <c r="A647" s="21"/>
      <c r="B647" s="33" t="n">
        <f aca="false">IF($A647="",0,INT(($A647-Macrociclo!$C$11)/7)+1)</f>
        <v>0</v>
      </c>
      <c r="C647" s="20"/>
      <c r="D647" s="22"/>
      <c r="E647" s="22"/>
      <c r="F647" s="22"/>
      <c r="G647" s="22"/>
      <c r="H647" s="33" t="n">
        <f aca="false">IF(COUNT($D647:$G647)&lt;4,0,SUM($D647:$G647))</f>
        <v>0</v>
      </c>
      <c r="I647" s="19" t="str">
        <f aca="false">IF($H647=0,"",IF($H647&lt;=8,"Ótimo",IF($H647&lt;=12,"Bom",IF($H647&lt;=16,"Regular",IF($H647&lt;=20,"Alerta","Crítico")))))</f>
        <v/>
      </c>
      <c r="J647" s="20"/>
      <c r="K647" s="20"/>
    </row>
    <row r="648" customFormat="false" ht="15" hidden="false" customHeight="false" outlineLevel="0" collapsed="false">
      <c r="A648" s="21"/>
      <c r="B648" s="33" t="n">
        <f aca="false">IF($A648="",0,INT(($A648-Macrociclo!$C$11)/7)+1)</f>
        <v>0</v>
      </c>
      <c r="C648" s="20"/>
      <c r="D648" s="22"/>
      <c r="E648" s="22"/>
      <c r="F648" s="22"/>
      <c r="G648" s="22"/>
      <c r="H648" s="33" t="n">
        <f aca="false">IF(COUNT($D648:$G648)&lt;4,0,SUM($D648:$G648))</f>
        <v>0</v>
      </c>
      <c r="I648" s="19" t="str">
        <f aca="false">IF($H648=0,"",IF($H648&lt;=8,"Ótimo",IF($H648&lt;=12,"Bom",IF($H648&lt;=16,"Regular",IF($H648&lt;=20,"Alerta","Crítico")))))</f>
        <v/>
      </c>
      <c r="J648" s="20"/>
      <c r="K648" s="20"/>
    </row>
    <row r="649" customFormat="false" ht="15" hidden="false" customHeight="false" outlineLevel="0" collapsed="false">
      <c r="A649" s="21"/>
      <c r="B649" s="33" t="n">
        <f aca="false">IF($A649="",0,INT(($A649-Macrociclo!$C$11)/7)+1)</f>
        <v>0</v>
      </c>
      <c r="C649" s="20"/>
      <c r="D649" s="22"/>
      <c r="E649" s="22"/>
      <c r="F649" s="22"/>
      <c r="G649" s="22"/>
      <c r="H649" s="33" t="n">
        <f aca="false">IF(COUNT($D649:$G649)&lt;4,0,SUM($D649:$G649))</f>
        <v>0</v>
      </c>
      <c r="I649" s="19" t="str">
        <f aca="false">IF($H649=0,"",IF($H649&lt;=8,"Ótimo",IF($H649&lt;=12,"Bom",IF($H649&lt;=16,"Regular",IF($H649&lt;=20,"Alerta","Crítico")))))</f>
        <v/>
      </c>
      <c r="J649" s="20"/>
      <c r="K649" s="20"/>
    </row>
    <row r="650" customFormat="false" ht="15" hidden="false" customHeight="false" outlineLevel="0" collapsed="false">
      <c r="A650" s="21"/>
      <c r="B650" s="33" t="n">
        <f aca="false">IF($A650="",0,INT(($A650-Macrociclo!$C$11)/7)+1)</f>
        <v>0</v>
      </c>
      <c r="C650" s="20"/>
      <c r="D650" s="22"/>
      <c r="E650" s="22"/>
      <c r="F650" s="22"/>
      <c r="G650" s="22"/>
      <c r="H650" s="33" t="n">
        <f aca="false">IF(COUNT($D650:$G650)&lt;4,0,SUM($D650:$G650))</f>
        <v>0</v>
      </c>
      <c r="I650" s="19" t="str">
        <f aca="false">IF($H650=0,"",IF($H650&lt;=8,"Ótimo",IF($H650&lt;=12,"Bom",IF($H650&lt;=16,"Regular",IF($H650&lt;=20,"Alerta","Crítico")))))</f>
        <v/>
      </c>
      <c r="J650" s="20"/>
      <c r="K650" s="20"/>
    </row>
    <row r="651" customFormat="false" ht="15" hidden="false" customHeight="false" outlineLevel="0" collapsed="false">
      <c r="A651" s="21"/>
      <c r="B651" s="33" t="n">
        <f aca="false">IF($A651="",0,INT(($A651-Macrociclo!$C$11)/7)+1)</f>
        <v>0</v>
      </c>
      <c r="C651" s="20"/>
      <c r="D651" s="22"/>
      <c r="E651" s="22"/>
      <c r="F651" s="22"/>
      <c r="G651" s="22"/>
      <c r="H651" s="33" t="n">
        <f aca="false">IF(COUNT($D651:$G651)&lt;4,0,SUM($D651:$G651))</f>
        <v>0</v>
      </c>
      <c r="I651" s="19" t="str">
        <f aca="false">IF($H651=0,"",IF($H651&lt;=8,"Ótimo",IF($H651&lt;=12,"Bom",IF($H651&lt;=16,"Regular",IF($H651&lt;=20,"Alerta","Crítico")))))</f>
        <v/>
      </c>
      <c r="J651" s="20"/>
      <c r="K651" s="20"/>
    </row>
    <row r="652" customFormat="false" ht="15" hidden="false" customHeight="false" outlineLevel="0" collapsed="false">
      <c r="A652" s="21"/>
      <c r="B652" s="33" t="n">
        <f aca="false">IF($A652="",0,INT(($A652-Macrociclo!$C$11)/7)+1)</f>
        <v>0</v>
      </c>
      <c r="C652" s="20"/>
      <c r="D652" s="22"/>
      <c r="E652" s="22"/>
      <c r="F652" s="22"/>
      <c r="G652" s="22"/>
      <c r="H652" s="33" t="n">
        <f aca="false">IF(COUNT($D652:$G652)&lt;4,0,SUM($D652:$G652))</f>
        <v>0</v>
      </c>
      <c r="I652" s="19" t="str">
        <f aca="false">IF($H652=0,"",IF($H652&lt;=8,"Ótimo",IF($H652&lt;=12,"Bom",IF($H652&lt;=16,"Regular",IF($H652&lt;=20,"Alerta","Crítico")))))</f>
        <v/>
      </c>
      <c r="J652" s="20"/>
      <c r="K652" s="20"/>
    </row>
    <row r="653" customFormat="false" ht="15" hidden="false" customHeight="false" outlineLevel="0" collapsed="false">
      <c r="A653" s="21"/>
      <c r="B653" s="33" t="n">
        <f aca="false">IF($A653="",0,INT(($A653-Macrociclo!$C$11)/7)+1)</f>
        <v>0</v>
      </c>
      <c r="C653" s="20"/>
      <c r="D653" s="22"/>
      <c r="E653" s="22"/>
      <c r="F653" s="22"/>
      <c r="G653" s="22"/>
      <c r="H653" s="33" t="n">
        <f aca="false">IF(COUNT($D653:$G653)&lt;4,0,SUM($D653:$G653))</f>
        <v>0</v>
      </c>
      <c r="I653" s="19" t="str">
        <f aca="false">IF($H653=0,"",IF($H653&lt;=8,"Ótimo",IF($H653&lt;=12,"Bom",IF($H653&lt;=16,"Regular",IF($H653&lt;=20,"Alerta","Crítico")))))</f>
        <v/>
      </c>
      <c r="J653" s="20"/>
      <c r="K653" s="20"/>
    </row>
    <row r="654" customFormat="false" ht="15" hidden="false" customHeight="false" outlineLevel="0" collapsed="false">
      <c r="A654" s="21"/>
      <c r="B654" s="33" t="n">
        <f aca="false">IF($A654="",0,INT(($A654-Macrociclo!$C$11)/7)+1)</f>
        <v>0</v>
      </c>
      <c r="C654" s="20"/>
      <c r="D654" s="22"/>
      <c r="E654" s="22"/>
      <c r="F654" s="22"/>
      <c r="G654" s="22"/>
      <c r="H654" s="33" t="n">
        <f aca="false">IF(COUNT($D654:$G654)&lt;4,0,SUM($D654:$G654))</f>
        <v>0</v>
      </c>
      <c r="I654" s="19" t="str">
        <f aca="false">IF($H654=0,"",IF($H654&lt;=8,"Ótimo",IF($H654&lt;=12,"Bom",IF($H654&lt;=16,"Regular",IF($H654&lt;=20,"Alerta","Crítico")))))</f>
        <v/>
      </c>
      <c r="J654" s="20"/>
      <c r="K654" s="20"/>
    </row>
    <row r="655" customFormat="false" ht="15" hidden="false" customHeight="false" outlineLevel="0" collapsed="false">
      <c r="A655" s="21"/>
      <c r="B655" s="33" t="n">
        <f aca="false">IF($A655="",0,INT(($A655-Macrociclo!$C$11)/7)+1)</f>
        <v>0</v>
      </c>
      <c r="C655" s="20"/>
      <c r="D655" s="22"/>
      <c r="E655" s="22"/>
      <c r="F655" s="22"/>
      <c r="G655" s="22"/>
      <c r="H655" s="33" t="n">
        <f aca="false">IF(COUNT($D655:$G655)&lt;4,0,SUM($D655:$G655))</f>
        <v>0</v>
      </c>
      <c r="I655" s="19" t="str">
        <f aca="false">IF($H655=0,"",IF($H655&lt;=8,"Ótimo",IF($H655&lt;=12,"Bom",IF($H655&lt;=16,"Regular",IF($H655&lt;=20,"Alerta","Crítico")))))</f>
        <v/>
      </c>
      <c r="J655" s="20"/>
      <c r="K655" s="20"/>
    </row>
    <row r="656" customFormat="false" ht="15" hidden="false" customHeight="false" outlineLevel="0" collapsed="false">
      <c r="A656" s="21"/>
      <c r="B656" s="33" t="n">
        <f aca="false">IF($A656="",0,INT(($A656-Macrociclo!$C$11)/7)+1)</f>
        <v>0</v>
      </c>
      <c r="C656" s="20"/>
      <c r="D656" s="22"/>
      <c r="E656" s="22"/>
      <c r="F656" s="22"/>
      <c r="G656" s="22"/>
      <c r="H656" s="33" t="n">
        <f aca="false">IF(COUNT($D656:$G656)&lt;4,0,SUM($D656:$G656))</f>
        <v>0</v>
      </c>
      <c r="I656" s="19" t="str">
        <f aca="false">IF($H656=0,"",IF($H656&lt;=8,"Ótimo",IF($H656&lt;=12,"Bom",IF($H656&lt;=16,"Regular",IF($H656&lt;=20,"Alerta","Crítico")))))</f>
        <v/>
      </c>
      <c r="J656" s="20"/>
      <c r="K656" s="20"/>
    </row>
    <row r="657" customFormat="false" ht="15" hidden="false" customHeight="false" outlineLevel="0" collapsed="false">
      <c r="A657" s="21"/>
      <c r="B657" s="33" t="n">
        <f aca="false">IF($A657="",0,INT(($A657-Macrociclo!$C$11)/7)+1)</f>
        <v>0</v>
      </c>
      <c r="C657" s="20"/>
      <c r="D657" s="22"/>
      <c r="E657" s="22"/>
      <c r="F657" s="22"/>
      <c r="G657" s="22"/>
      <c r="H657" s="33" t="n">
        <f aca="false">IF(COUNT($D657:$G657)&lt;4,0,SUM($D657:$G657))</f>
        <v>0</v>
      </c>
      <c r="I657" s="19" t="str">
        <f aca="false">IF($H657=0,"",IF($H657&lt;=8,"Ótimo",IF($H657&lt;=12,"Bom",IF($H657&lt;=16,"Regular",IF($H657&lt;=20,"Alerta","Crítico")))))</f>
        <v/>
      </c>
      <c r="J657" s="20"/>
      <c r="K657" s="20"/>
    </row>
    <row r="658" customFormat="false" ht="15" hidden="false" customHeight="false" outlineLevel="0" collapsed="false">
      <c r="A658" s="21"/>
      <c r="B658" s="33" t="n">
        <f aca="false">IF($A658="",0,INT(($A658-Macrociclo!$C$11)/7)+1)</f>
        <v>0</v>
      </c>
      <c r="C658" s="20"/>
      <c r="D658" s="22"/>
      <c r="E658" s="22"/>
      <c r="F658" s="22"/>
      <c r="G658" s="22"/>
      <c r="H658" s="33" t="n">
        <f aca="false">IF(COUNT($D658:$G658)&lt;4,0,SUM($D658:$G658))</f>
        <v>0</v>
      </c>
      <c r="I658" s="19" t="str">
        <f aca="false">IF($H658=0,"",IF($H658&lt;=8,"Ótimo",IF($H658&lt;=12,"Bom",IF($H658&lt;=16,"Regular",IF($H658&lt;=20,"Alerta","Crítico")))))</f>
        <v/>
      </c>
      <c r="J658" s="20"/>
      <c r="K658" s="20"/>
    </row>
    <row r="659" customFormat="false" ht="15" hidden="false" customHeight="false" outlineLevel="0" collapsed="false">
      <c r="A659" s="21"/>
      <c r="B659" s="33" t="n">
        <f aca="false">IF($A659="",0,INT(($A659-Macrociclo!$C$11)/7)+1)</f>
        <v>0</v>
      </c>
      <c r="C659" s="20"/>
      <c r="D659" s="22"/>
      <c r="E659" s="22"/>
      <c r="F659" s="22"/>
      <c r="G659" s="22"/>
      <c r="H659" s="33" t="n">
        <f aca="false">IF(COUNT($D659:$G659)&lt;4,0,SUM($D659:$G659))</f>
        <v>0</v>
      </c>
      <c r="I659" s="19" t="str">
        <f aca="false">IF($H659=0,"",IF($H659&lt;=8,"Ótimo",IF($H659&lt;=12,"Bom",IF($H659&lt;=16,"Regular",IF($H659&lt;=20,"Alerta","Crítico")))))</f>
        <v/>
      </c>
      <c r="J659" s="20"/>
      <c r="K659" s="20"/>
    </row>
    <row r="660" customFormat="false" ht="15" hidden="false" customHeight="false" outlineLevel="0" collapsed="false">
      <c r="A660" s="21"/>
      <c r="B660" s="33" t="n">
        <f aca="false">IF($A660="",0,INT(($A660-Macrociclo!$C$11)/7)+1)</f>
        <v>0</v>
      </c>
      <c r="C660" s="20"/>
      <c r="D660" s="22"/>
      <c r="E660" s="22"/>
      <c r="F660" s="22"/>
      <c r="G660" s="22"/>
      <c r="H660" s="33" t="n">
        <f aca="false">IF(COUNT($D660:$G660)&lt;4,0,SUM($D660:$G660))</f>
        <v>0</v>
      </c>
      <c r="I660" s="19" t="str">
        <f aca="false">IF($H660=0,"",IF($H660&lt;=8,"Ótimo",IF($H660&lt;=12,"Bom",IF($H660&lt;=16,"Regular",IF($H660&lt;=20,"Alerta","Crítico")))))</f>
        <v/>
      </c>
      <c r="J660" s="20"/>
      <c r="K660" s="20"/>
    </row>
    <row r="661" customFormat="false" ht="15" hidden="false" customHeight="false" outlineLevel="0" collapsed="false">
      <c r="A661" s="21"/>
      <c r="B661" s="33" t="n">
        <f aca="false">IF($A661="",0,INT(($A661-Macrociclo!$C$11)/7)+1)</f>
        <v>0</v>
      </c>
      <c r="C661" s="20"/>
      <c r="D661" s="22"/>
      <c r="E661" s="22"/>
      <c r="F661" s="22"/>
      <c r="G661" s="22"/>
      <c r="H661" s="33" t="n">
        <f aca="false">IF(COUNT($D661:$G661)&lt;4,0,SUM($D661:$G661))</f>
        <v>0</v>
      </c>
      <c r="I661" s="19" t="str">
        <f aca="false">IF($H661=0,"",IF($H661&lt;=8,"Ótimo",IF($H661&lt;=12,"Bom",IF($H661&lt;=16,"Regular",IF($H661&lt;=20,"Alerta","Crítico")))))</f>
        <v/>
      </c>
      <c r="J661" s="20"/>
      <c r="K661" s="20"/>
    </row>
    <row r="662" customFormat="false" ht="15" hidden="false" customHeight="false" outlineLevel="0" collapsed="false">
      <c r="A662" s="21"/>
      <c r="B662" s="33" t="n">
        <f aca="false">IF($A662="",0,INT(($A662-Macrociclo!$C$11)/7)+1)</f>
        <v>0</v>
      </c>
      <c r="C662" s="20"/>
      <c r="D662" s="22"/>
      <c r="E662" s="22"/>
      <c r="F662" s="22"/>
      <c r="G662" s="22"/>
      <c r="H662" s="33" t="n">
        <f aca="false">IF(COUNT($D662:$G662)&lt;4,0,SUM($D662:$G662))</f>
        <v>0</v>
      </c>
      <c r="I662" s="19" t="str">
        <f aca="false">IF($H662=0,"",IF($H662&lt;=8,"Ótimo",IF($H662&lt;=12,"Bom",IF($H662&lt;=16,"Regular",IF($H662&lt;=20,"Alerta","Crítico")))))</f>
        <v/>
      </c>
      <c r="J662" s="20"/>
      <c r="K662" s="20"/>
    </row>
    <row r="663" customFormat="false" ht="15" hidden="false" customHeight="false" outlineLevel="0" collapsed="false">
      <c r="A663" s="21"/>
      <c r="B663" s="33" t="n">
        <f aca="false">IF($A663="",0,INT(($A663-Macrociclo!$C$11)/7)+1)</f>
        <v>0</v>
      </c>
      <c r="C663" s="20"/>
      <c r="D663" s="22"/>
      <c r="E663" s="22"/>
      <c r="F663" s="22"/>
      <c r="G663" s="22"/>
      <c r="H663" s="33" t="n">
        <f aca="false">IF(COUNT($D663:$G663)&lt;4,0,SUM($D663:$G663))</f>
        <v>0</v>
      </c>
      <c r="I663" s="19" t="str">
        <f aca="false">IF($H663=0,"",IF($H663&lt;=8,"Ótimo",IF($H663&lt;=12,"Bom",IF($H663&lt;=16,"Regular",IF($H663&lt;=20,"Alerta","Crítico")))))</f>
        <v/>
      </c>
      <c r="J663" s="20"/>
      <c r="K663" s="20"/>
    </row>
    <row r="664" customFormat="false" ht="15" hidden="false" customHeight="false" outlineLevel="0" collapsed="false">
      <c r="A664" s="21"/>
      <c r="B664" s="33" t="n">
        <f aca="false">IF($A664="",0,INT(($A664-Macrociclo!$C$11)/7)+1)</f>
        <v>0</v>
      </c>
      <c r="C664" s="20"/>
      <c r="D664" s="22"/>
      <c r="E664" s="22"/>
      <c r="F664" s="22"/>
      <c r="G664" s="22"/>
      <c r="H664" s="33" t="n">
        <f aca="false">IF(COUNT($D664:$G664)&lt;4,0,SUM($D664:$G664))</f>
        <v>0</v>
      </c>
      <c r="I664" s="19" t="str">
        <f aca="false">IF($H664=0,"",IF($H664&lt;=8,"Ótimo",IF($H664&lt;=12,"Bom",IF($H664&lt;=16,"Regular",IF($H664&lt;=20,"Alerta","Crítico")))))</f>
        <v/>
      </c>
      <c r="J664" s="20"/>
      <c r="K664" s="20"/>
    </row>
    <row r="665" customFormat="false" ht="15" hidden="false" customHeight="false" outlineLevel="0" collapsed="false">
      <c r="A665" s="21"/>
      <c r="B665" s="33" t="n">
        <f aca="false">IF($A665="",0,INT(($A665-Macrociclo!$C$11)/7)+1)</f>
        <v>0</v>
      </c>
      <c r="C665" s="20"/>
      <c r="D665" s="22"/>
      <c r="E665" s="22"/>
      <c r="F665" s="22"/>
      <c r="G665" s="22"/>
      <c r="H665" s="33" t="n">
        <f aca="false">IF(COUNT($D665:$G665)&lt;4,0,SUM($D665:$G665))</f>
        <v>0</v>
      </c>
      <c r="I665" s="19" t="str">
        <f aca="false">IF($H665=0,"",IF($H665&lt;=8,"Ótimo",IF($H665&lt;=12,"Bom",IF($H665&lt;=16,"Regular",IF($H665&lt;=20,"Alerta","Crítico")))))</f>
        <v/>
      </c>
      <c r="J665" s="20"/>
      <c r="K665" s="20"/>
    </row>
    <row r="666" customFormat="false" ht="15" hidden="false" customHeight="false" outlineLevel="0" collapsed="false">
      <c r="A666" s="21"/>
      <c r="B666" s="33" t="n">
        <f aca="false">IF($A666="",0,INT(($A666-Macrociclo!$C$11)/7)+1)</f>
        <v>0</v>
      </c>
      <c r="C666" s="20"/>
      <c r="D666" s="22"/>
      <c r="E666" s="22"/>
      <c r="F666" s="22"/>
      <c r="G666" s="22"/>
      <c r="H666" s="33" t="n">
        <f aca="false">IF(COUNT($D666:$G666)&lt;4,0,SUM($D666:$G666))</f>
        <v>0</v>
      </c>
      <c r="I666" s="19" t="str">
        <f aca="false">IF($H666=0,"",IF($H666&lt;=8,"Ótimo",IF($H666&lt;=12,"Bom",IF($H666&lt;=16,"Regular",IF($H666&lt;=20,"Alerta","Crítico")))))</f>
        <v/>
      </c>
      <c r="J666" s="20"/>
      <c r="K666" s="20"/>
    </row>
    <row r="667" customFormat="false" ht="15" hidden="false" customHeight="false" outlineLevel="0" collapsed="false">
      <c r="A667" s="21"/>
      <c r="B667" s="33" t="n">
        <f aca="false">IF($A667="",0,INT(($A667-Macrociclo!$C$11)/7)+1)</f>
        <v>0</v>
      </c>
      <c r="C667" s="20"/>
      <c r="D667" s="22"/>
      <c r="E667" s="22"/>
      <c r="F667" s="22"/>
      <c r="G667" s="22"/>
      <c r="H667" s="33" t="n">
        <f aca="false">IF(COUNT($D667:$G667)&lt;4,0,SUM($D667:$G667))</f>
        <v>0</v>
      </c>
      <c r="I667" s="19" t="str">
        <f aca="false">IF($H667=0,"",IF($H667&lt;=8,"Ótimo",IF($H667&lt;=12,"Bom",IF($H667&lt;=16,"Regular",IF($H667&lt;=20,"Alerta","Crítico")))))</f>
        <v/>
      </c>
      <c r="J667" s="20"/>
      <c r="K667" s="20"/>
    </row>
    <row r="668" customFormat="false" ht="15" hidden="false" customHeight="false" outlineLevel="0" collapsed="false">
      <c r="A668" s="21"/>
      <c r="B668" s="33" t="n">
        <f aca="false">IF($A668="",0,INT(($A668-Macrociclo!$C$11)/7)+1)</f>
        <v>0</v>
      </c>
      <c r="C668" s="20"/>
      <c r="D668" s="22"/>
      <c r="E668" s="22"/>
      <c r="F668" s="22"/>
      <c r="G668" s="22"/>
      <c r="H668" s="33" t="n">
        <f aca="false">IF(COUNT($D668:$G668)&lt;4,0,SUM($D668:$G668))</f>
        <v>0</v>
      </c>
      <c r="I668" s="19" t="str">
        <f aca="false">IF($H668=0,"",IF($H668&lt;=8,"Ótimo",IF($H668&lt;=12,"Bom",IF($H668&lt;=16,"Regular",IF($H668&lt;=20,"Alerta","Crítico")))))</f>
        <v/>
      </c>
      <c r="J668" s="20"/>
      <c r="K668" s="20"/>
    </row>
    <row r="669" customFormat="false" ht="15" hidden="false" customHeight="false" outlineLevel="0" collapsed="false">
      <c r="A669" s="21"/>
      <c r="B669" s="33" t="n">
        <f aca="false">IF($A669="",0,INT(($A669-Macrociclo!$C$11)/7)+1)</f>
        <v>0</v>
      </c>
      <c r="C669" s="20"/>
      <c r="D669" s="22"/>
      <c r="E669" s="22"/>
      <c r="F669" s="22"/>
      <c r="G669" s="22"/>
      <c r="H669" s="33" t="n">
        <f aca="false">IF(COUNT($D669:$G669)&lt;4,0,SUM($D669:$G669))</f>
        <v>0</v>
      </c>
      <c r="I669" s="19" t="str">
        <f aca="false">IF($H669=0,"",IF($H669&lt;=8,"Ótimo",IF($H669&lt;=12,"Bom",IF($H669&lt;=16,"Regular",IF($H669&lt;=20,"Alerta","Crítico")))))</f>
        <v/>
      </c>
      <c r="J669" s="20"/>
      <c r="K669" s="20"/>
    </row>
    <row r="670" customFormat="false" ht="15" hidden="false" customHeight="false" outlineLevel="0" collapsed="false">
      <c r="A670" s="21"/>
      <c r="B670" s="33" t="n">
        <f aca="false">IF($A670="",0,INT(($A670-Macrociclo!$C$11)/7)+1)</f>
        <v>0</v>
      </c>
      <c r="C670" s="20"/>
      <c r="D670" s="22"/>
      <c r="E670" s="22"/>
      <c r="F670" s="22"/>
      <c r="G670" s="22"/>
      <c r="H670" s="33" t="n">
        <f aca="false">IF(COUNT($D670:$G670)&lt;4,0,SUM($D670:$G670))</f>
        <v>0</v>
      </c>
      <c r="I670" s="19" t="str">
        <f aca="false">IF($H670=0,"",IF($H670&lt;=8,"Ótimo",IF($H670&lt;=12,"Bom",IF($H670&lt;=16,"Regular",IF($H670&lt;=20,"Alerta","Crítico")))))</f>
        <v/>
      </c>
      <c r="J670" s="20"/>
      <c r="K670" s="20"/>
    </row>
    <row r="671" customFormat="false" ht="15" hidden="false" customHeight="false" outlineLevel="0" collapsed="false">
      <c r="A671" s="21"/>
      <c r="B671" s="33" t="n">
        <f aca="false">IF($A671="",0,INT(($A671-Macrociclo!$C$11)/7)+1)</f>
        <v>0</v>
      </c>
      <c r="C671" s="20"/>
      <c r="D671" s="22"/>
      <c r="E671" s="22"/>
      <c r="F671" s="22"/>
      <c r="G671" s="22"/>
      <c r="H671" s="33" t="n">
        <f aca="false">IF(COUNT($D671:$G671)&lt;4,0,SUM($D671:$G671))</f>
        <v>0</v>
      </c>
      <c r="I671" s="19" t="str">
        <f aca="false">IF($H671=0,"",IF($H671&lt;=8,"Ótimo",IF($H671&lt;=12,"Bom",IF($H671&lt;=16,"Regular",IF($H671&lt;=20,"Alerta","Crítico")))))</f>
        <v/>
      </c>
      <c r="J671" s="20"/>
      <c r="K671" s="20"/>
    </row>
    <row r="672" customFormat="false" ht="15" hidden="false" customHeight="false" outlineLevel="0" collapsed="false">
      <c r="A672" s="21"/>
      <c r="B672" s="33" t="n">
        <f aca="false">IF($A672="",0,INT(($A672-Macrociclo!$C$11)/7)+1)</f>
        <v>0</v>
      </c>
      <c r="C672" s="20"/>
      <c r="D672" s="22"/>
      <c r="E672" s="22"/>
      <c r="F672" s="22"/>
      <c r="G672" s="22"/>
      <c r="H672" s="33" t="n">
        <f aca="false">IF(COUNT($D672:$G672)&lt;4,0,SUM($D672:$G672))</f>
        <v>0</v>
      </c>
      <c r="I672" s="19" t="str">
        <f aca="false">IF($H672=0,"",IF($H672&lt;=8,"Ótimo",IF($H672&lt;=12,"Bom",IF($H672&lt;=16,"Regular",IF($H672&lt;=20,"Alerta","Crítico")))))</f>
        <v/>
      </c>
      <c r="J672" s="20"/>
      <c r="K672" s="20"/>
    </row>
    <row r="673" customFormat="false" ht="15" hidden="false" customHeight="false" outlineLevel="0" collapsed="false">
      <c r="A673" s="21"/>
      <c r="B673" s="33" t="n">
        <f aca="false">IF($A673="",0,INT(($A673-Macrociclo!$C$11)/7)+1)</f>
        <v>0</v>
      </c>
      <c r="C673" s="20"/>
      <c r="D673" s="22"/>
      <c r="E673" s="22"/>
      <c r="F673" s="22"/>
      <c r="G673" s="22"/>
      <c r="H673" s="33" t="n">
        <f aca="false">IF(COUNT($D673:$G673)&lt;4,0,SUM($D673:$G673))</f>
        <v>0</v>
      </c>
      <c r="I673" s="19" t="str">
        <f aca="false">IF($H673=0,"",IF($H673&lt;=8,"Ótimo",IF($H673&lt;=12,"Bom",IF($H673&lt;=16,"Regular",IF($H673&lt;=20,"Alerta","Crítico")))))</f>
        <v/>
      </c>
      <c r="J673" s="20"/>
      <c r="K673" s="20"/>
    </row>
    <row r="674" customFormat="false" ht="15" hidden="false" customHeight="false" outlineLevel="0" collapsed="false">
      <c r="A674" s="21"/>
      <c r="B674" s="33" t="n">
        <f aca="false">IF($A674="",0,INT(($A674-Macrociclo!$C$11)/7)+1)</f>
        <v>0</v>
      </c>
      <c r="C674" s="20"/>
      <c r="D674" s="22"/>
      <c r="E674" s="22"/>
      <c r="F674" s="22"/>
      <c r="G674" s="22"/>
      <c r="H674" s="33" t="n">
        <f aca="false">IF(COUNT($D674:$G674)&lt;4,0,SUM($D674:$G674))</f>
        <v>0</v>
      </c>
      <c r="I674" s="19" t="str">
        <f aca="false">IF($H674=0,"",IF($H674&lt;=8,"Ótimo",IF($H674&lt;=12,"Bom",IF($H674&lt;=16,"Regular",IF($H674&lt;=20,"Alerta","Crítico")))))</f>
        <v/>
      </c>
      <c r="J674" s="20"/>
      <c r="K674" s="20"/>
    </row>
    <row r="675" customFormat="false" ht="15" hidden="false" customHeight="false" outlineLevel="0" collapsed="false">
      <c r="A675" s="21"/>
      <c r="B675" s="33" t="n">
        <f aca="false">IF($A675="",0,INT(($A675-Macrociclo!$C$11)/7)+1)</f>
        <v>0</v>
      </c>
      <c r="C675" s="20"/>
      <c r="D675" s="22"/>
      <c r="E675" s="22"/>
      <c r="F675" s="22"/>
      <c r="G675" s="22"/>
      <c r="H675" s="33" t="n">
        <f aca="false">IF(COUNT($D675:$G675)&lt;4,0,SUM($D675:$G675))</f>
        <v>0</v>
      </c>
      <c r="I675" s="19" t="str">
        <f aca="false">IF($H675=0,"",IF($H675&lt;=8,"Ótimo",IF($H675&lt;=12,"Bom",IF($H675&lt;=16,"Regular",IF($H675&lt;=20,"Alerta","Crítico")))))</f>
        <v/>
      </c>
      <c r="J675" s="20"/>
      <c r="K675" s="20"/>
    </row>
    <row r="676" customFormat="false" ht="15" hidden="false" customHeight="false" outlineLevel="0" collapsed="false">
      <c r="A676" s="21"/>
      <c r="B676" s="33" t="n">
        <f aca="false">IF($A676="",0,INT(($A676-Macrociclo!$C$11)/7)+1)</f>
        <v>0</v>
      </c>
      <c r="C676" s="20"/>
      <c r="D676" s="22"/>
      <c r="E676" s="22"/>
      <c r="F676" s="22"/>
      <c r="G676" s="22"/>
      <c r="H676" s="33" t="n">
        <f aca="false">IF(COUNT($D676:$G676)&lt;4,0,SUM($D676:$G676))</f>
        <v>0</v>
      </c>
      <c r="I676" s="19" t="str">
        <f aca="false">IF($H676=0,"",IF($H676&lt;=8,"Ótimo",IF($H676&lt;=12,"Bom",IF($H676&lt;=16,"Regular",IF($H676&lt;=20,"Alerta","Crítico")))))</f>
        <v/>
      </c>
      <c r="J676" s="20"/>
      <c r="K676" s="20"/>
    </row>
    <row r="677" customFormat="false" ht="15" hidden="false" customHeight="false" outlineLevel="0" collapsed="false">
      <c r="A677" s="21"/>
      <c r="B677" s="33" t="n">
        <f aca="false">IF($A677="",0,INT(($A677-Macrociclo!$C$11)/7)+1)</f>
        <v>0</v>
      </c>
      <c r="C677" s="20"/>
      <c r="D677" s="22"/>
      <c r="E677" s="22"/>
      <c r="F677" s="22"/>
      <c r="G677" s="22"/>
      <c r="H677" s="33" t="n">
        <f aca="false">IF(COUNT($D677:$G677)&lt;4,0,SUM($D677:$G677))</f>
        <v>0</v>
      </c>
      <c r="I677" s="19" t="str">
        <f aca="false">IF($H677=0,"",IF($H677&lt;=8,"Ótimo",IF($H677&lt;=12,"Bom",IF($H677&lt;=16,"Regular",IF($H677&lt;=20,"Alerta","Crítico")))))</f>
        <v/>
      </c>
      <c r="J677" s="20"/>
      <c r="K677" s="20"/>
    </row>
    <row r="678" customFormat="false" ht="15" hidden="false" customHeight="false" outlineLevel="0" collapsed="false">
      <c r="A678" s="21"/>
      <c r="B678" s="33" t="n">
        <f aca="false">IF($A678="",0,INT(($A678-Macrociclo!$C$11)/7)+1)</f>
        <v>0</v>
      </c>
      <c r="C678" s="20"/>
      <c r="D678" s="22"/>
      <c r="E678" s="22"/>
      <c r="F678" s="22"/>
      <c r="G678" s="22"/>
      <c r="H678" s="33" t="n">
        <f aca="false">IF(COUNT($D678:$G678)&lt;4,0,SUM($D678:$G678))</f>
        <v>0</v>
      </c>
      <c r="I678" s="19" t="str">
        <f aca="false">IF($H678=0,"",IF($H678&lt;=8,"Ótimo",IF($H678&lt;=12,"Bom",IF($H678&lt;=16,"Regular",IF($H678&lt;=20,"Alerta","Crítico")))))</f>
        <v/>
      </c>
      <c r="J678" s="20"/>
      <c r="K678" s="20"/>
    </row>
    <row r="679" customFormat="false" ht="15" hidden="false" customHeight="false" outlineLevel="0" collapsed="false">
      <c r="A679" s="21"/>
      <c r="B679" s="33" t="n">
        <f aca="false">IF($A679="",0,INT(($A679-Macrociclo!$C$11)/7)+1)</f>
        <v>0</v>
      </c>
      <c r="C679" s="20"/>
      <c r="D679" s="22"/>
      <c r="E679" s="22"/>
      <c r="F679" s="22"/>
      <c r="G679" s="22"/>
      <c r="H679" s="33" t="n">
        <f aca="false">IF(COUNT($D679:$G679)&lt;4,0,SUM($D679:$G679))</f>
        <v>0</v>
      </c>
      <c r="I679" s="19" t="str">
        <f aca="false">IF($H679=0,"",IF($H679&lt;=8,"Ótimo",IF($H679&lt;=12,"Bom",IF($H679&lt;=16,"Regular",IF($H679&lt;=20,"Alerta","Crítico")))))</f>
        <v/>
      </c>
      <c r="J679" s="20"/>
      <c r="K679" s="20"/>
    </row>
    <row r="680" customFormat="false" ht="15" hidden="false" customHeight="false" outlineLevel="0" collapsed="false">
      <c r="A680" s="21"/>
      <c r="B680" s="33" t="n">
        <f aca="false">IF($A680="",0,INT(($A680-Macrociclo!$C$11)/7)+1)</f>
        <v>0</v>
      </c>
      <c r="C680" s="20"/>
      <c r="D680" s="22"/>
      <c r="E680" s="22"/>
      <c r="F680" s="22"/>
      <c r="G680" s="22"/>
      <c r="H680" s="33" t="n">
        <f aca="false">IF(COUNT($D680:$G680)&lt;4,0,SUM($D680:$G680))</f>
        <v>0</v>
      </c>
      <c r="I680" s="19" t="str">
        <f aca="false">IF($H680=0,"",IF($H680&lt;=8,"Ótimo",IF($H680&lt;=12,"Bom",IF($H680&lt;=16,"Regular",IF($H680&lt;=20,"Alerta","Crítico")))))</f>
        <v/>
      </c>
      <c r="J680" s="20"/>
      <c r="K680" s="20"/>
    </row>
    <row r="681" customFormat="false" ht="15" hidden="false" customHeight="false" outlineLevel="0" collapsed="false">
      <c r="A681" s="21"/>
      <c r="B681" s="33" t="n">
        <f aca="false">IF($A681="",0,INT(($A681-Macrociclo!$C$11)/7)+1)</f>
        <v>0</v>
      </c>
      <c r="C681" s="20"/>
      <c r="D681" s="22"/>
      <c r="E681" s="22"/>
      <c r="F681" s="22"/>
      <c r="G681" s="22"/>
      <c r="H681" s="33" t="n">
        <f aca="false">IF(COUNT($D681:$G681)&lt;4,0,SUM($D681:$G681))</f>
        <v>0</v>
      </c>
      <c r="I681" s="19" t="str">
        <f aca="false">IF($H681=0,"",IF($H681&lt;=8,"Ótimo",IF($H681&lt;=12,"Bom",IF($H681&lt;=16,"Regular",IF($H681&lt;=20,"Alerta","Crítico")))))</f>
        <v/>
      </c>
      <c r="J681" s="20"/>
      <c r="K681" s="20"/>
    </row>
    <row r="682" customFormat="false" ht="15" hidden="false" customHeight="false" outlineLevel="0" collapsed="false">
      <c r="A682" s="21"/>
      <c r="B682" s="33" t="n">
        <f aca="false">IF($A682="",0,INT(($A682-Macrociclo!$C$11)/7)+1)</f>
        <v>0</v>
      </c>
      <c r="C682" s="20"/>
      <c r="D682" s="22"/>
      <c r="E682" s="22"/>
      <c r="F682" s="22"/>
      <c r="G682" s="22"/>
      <c r="H682" s="33" t="n">
        <f aca="false">IF(COUNT($D682:$G682)&lt;4,0,SUM($D682:$G682))</f>
        <v>0</v>
      </c>
      <c r="I682" s="19" t="str">
        <f aca="false">IF($H682=0,"",IF($H682&lt;=8,"Ótimo",IF($H682&lt;=12,"Bom",IF($H682&lt;=16,"Regular",IF($H682&lt;=20,"Alerta","Crítico")))))</f>
        <v/>
      </c>
      <c r="J682" s="20"/>
      <c r="K682" s="20"/>
    </row>
    <row r="683" customFormat="false" ht="15" hidden="false" customHeight="false" outlineLevel="0" collapsed="false">
      <c r="A683" s="21"/>
      <c r="B683" s="33" t="n">
        <f aca="false">IF($A683="",0,INT(($A683-Macrociclo!$C$11)/7)+1)</f>
        <v>0</v>
      </c>
      <c r="C683" s="20"/>
      <c r="D683" s="22"/>
      <c r="E683" s="22"/>
      <c r="F683" s="22"/>
      <c r="G683" s="22"/>
      <c r="H683" s="33" t="n">
        <f aca="false">IF(COUNT($D683:$G683)&lt;4,0,SUM($D683:$G683))</f>
        <v>0</v>
      </c>
      <c r="I683" s="19" t="str">
        <f aca="false">IF($H683=0,"",IF($H683&lt;=8,"Ótimo",IF($H683&lt;=12,"Bom",IF($H683&lt;=16,"Regular",IF($H683&lt;=20,"Alerta","Crítico")))))</f>
        <v/>
      </c>
      <c r="J683" s="20"/>
      <c r="K683" s="20"/>
    </row>
    <row r="684" customFormat="false" ht="15" hidden="false" customHeight="false" outlineLevel="0" collapsed="false">
      <c r="A684" s="21"/>
      <c r="B684" s="33" t="n">
        <f aca="false">IF($A684="",0,INT(($A684-Macrociclo!$C$11)/7)+1)</f>
        <v>0</v>
      </c>
      <c r="C684" s="20"/>
      <c r="D684" s="22"/>
      <c r="E684" s="22"/>
      <c r="F684" s="22"/>
      <c r="G684" s="22"/>
      <c r="H684" s="33" t="n">
        <f aca="false">IF(COUNT($D684:$G684)&lt;4,0,SUM($D684:$G684))</f>
        <v>0</v>
      </c>
      <c r="I684" s="19" t="str">
        <f aca="false">IF($H684=0,"",IF($H684&lt;=8,"Ótimo",IF($H684&lt;=12,"Bom",IF($H684&lt;=16,"Regular",IF($H684&lt;=20,"Alerta","Crítico")))))</f>
        <v/>
      </c>
      <c r="J684" s="20"/>
      <c r="K684" s="20"/>
    </row>
    <row r="685" customFormat="false" ht="15" hidden="false" customHeight="false" outlineLevel="0" collapsed="false">
      <c r="A685" s="21"/>
      <c r="B685" s="33" t="n">
        <f aca="false">IF($A685="",0,INT(($A685-Macrociclo!$C$11)/7)+1)</f>
        <v>0</v>
      </c>
      <c r="C685" s="20"/>
      <c r="D685" s="22"/>
      <c r="E685" s="22"/>
      <c r="F685" s="22"/>
      <c r="G685" s="22"/>
      <c r="H685" s="33" t="n">
        <f aca="false">IF(COUNT($D685:$G685)&lt;4,0,SUM($D685:$G685))</f>
        <v>0</v>
      </c>
      <c r="I685" s="19" t="str">
        <f aca="false">IF($H685=0,"",IF($H685&lt;=8,"Ótimo",IF($H685&lt;=12,"Bom",IF($H685&lt;=16,"Regular",IF($H685&lt;=20,"Alerta","Crítico")))))</f>
        <v/>
      </c>
      <c r="J685" s="20"/>
      <c r="K685" s="20"/>
    </row>
    <row r="686" customFormat="false" ht="15" hidden="false" customHeight="false" outlineLevel="0" collapsed="false">
      <c r="A686" s="21"/>
      <c r="B686" s="33" t="n">
        <f aca="false">IF($A686="",0,INT(($A686-Macrociclo!$C$11)/7)+1)</f>
        <v>0</v>
      </c>
      <c r="C686" s="20"/>
      <c r="D686" s="22"/>
      <c r="E686" s="22"/>
      <c r="F686" s="22"/>
      <c r="G686" s="22"/>
      <c r="H686" s="33" t="n">
        <f aca="false">IF(COUNT($D686:$G686)&lt;4,0,SUM($D686:$G686))</f>
        <v>0</v>
      </c>
      <c r="I686" s="19" t="str">
        <f aca="false">IF($H686=0,"",IF($H686&lt;=8,"Ótimo",IF($H686&lt;=12,"Bom",IF($H686&lt;=16,"Regular",IF($H686&lt;=20,"Alerta","Crítico")))))</f>
        <v/>
      </c>
      <c r="J686" s="20"/>
      <c r="K686" s="20"/>
    </row>
    <row r="687" customFormat="false" ht="15" hidden="false" customHeight="false" outlineLevel="0" collapsed="false">
      <c r="A687" s="21"/>
      <c r="B687" s="33" t="n">
        <f aca="false">IF($A687="",0,INT(($A687-Macrociclo!$C$11)/7)+1)</f>
        <v>0</v>
      </c>
      <c r="C687" s="20"/>
      <c r="D687" s="22"/>
      <c r="E687" s="22"/>
      <c r="F687" s="22"/>
      <c r="G687" s="22"/>
      <c r="H687" s="33" t="n">
        <f aca="false">IF(COUNT($D687:$G687)&lt;4,0,SUM($D687:$G687))</f>
        <v>0</v>
      </c>
      <c r="I687" s="19" t="str">
        <f aca="false">IF($H687=0,"",IF($H687&lt;=8,"Ótimo",IF($H687&lt;=12,"Bom",IF($H687&lt;=16,"Regular",IF($H687&lt;=20,"Alerta","Crítico")))))</f>
        <v/>
      </c>
      <c r="J687" s="20"/>
      <c r="K687" s="20"/>
    </row>
    <row r="688" customFormat="false" ht="15" hidden="false" customHeight="false" outlineLevel="0" collapsed="false">
      <c r="A688" s="21"/>
      <c r="B688" s="33" t="n">
        <f aca="false">IF($A688="",0,INT(($A688-Macrociclo!$C$11)/7)+1)</f>
        <v>0</v>
      </c>
      <c r="C688" s="20"/>
      <c r="D688" s="22"/>
      <c r="E688" s="22"/>
      <c r="F688" s="22"/>
      <c r="G688" s="22"/>
      <c r="H688" s="33" t="n">
        <f aca="false">IF(COUNT($D688:$G688)&lt;4,0,SUM($D688:$G688))</f>
        <v>0</v>
      </c>
      <c r="I688" s="19" t="str">
        <f aca="false">IF($H688=0,"",IF($H688&lt;=8,"Ótimo",IF($H688&lt;=12,"Bom",IF($H688&lt;=16,"Regular",IF($H688&lt;=20,"Alerta","Crítico")))))</f>
        <v/>
      </c>
      <c r="J688" s="20"/>
      <c r="K688" s="20"/>
    </row>
    <row r="689" customFormat="false" ht="15" hidden="false" customHeight="false" outlineLevel="0" collapsed="false">
      <c r="A689" s="21"/>
      <c r="B689" s="33" t="n">
        <f aca="false">IF($A689="",0,INT(($A689-Macrociclo!$C$11)/7)+1)</f>
        <v>0</v>
      </c>
      <c r="C689" s="20"/>
      <c r="D689" s="22"/>
      <c r="E689" s="22"/>
      <c r="F689" s="22"/>
      <c r="G689" s="22"/>
      <c r="H689" s="33" t="n">
        <f aca="false">IF(COUNT($D689:$G689)&lt;4,0,SUM($D689:$G689))</f>
        <v>0</v>
      </c>
      <c r="I689" s="19" t="str">
        <f aca="false">IF($H689=0,"",IF($H689&lt;=8,"Ótimo",IF($H689&lt;=12,"Bom",IF($H689&lt;=16,"Regular",IF($H689&lt;=20,"Alerta","Crítico")))))</f>
        <v/>
      </c>
      <c r="J689" s="20"/>
      <c r="K689" s="20"/>
    </row>
    <row r="690" customFormat="false" ht="15" hidden="false" customHeight="false" outlineLevel="0" collapsed="false">
      <c r="A690" s="21"/>
      <c r="B690" s="33" t="n">
        <f aca="false">IF($A690="",0,INT(($A690-Macrociclo!$C$11)/7)+1)</f>
        <v>0</v>
      </c>
      <c r="C690" s="20"/>
      <c r="D690" s="22"/>
      <c r="E690" s="22"/>
      <c r="F690" s="22"/>
      <c r="G690" s="22"/>
      <c r="H690" s="33" t="n">
        <f aca="false">IF(COUNT($D690:$G690)&lt;4,0,SUM($D690:$G690))</f>
        <v>0</v>
      </c>
      <c r="I690" s="19" t="str">
        <f aca="false">IF($H690=0,"",IF($H690&lt;=8,"Ótimo",IF($H690&lt;=12,"Bom",IF($H690&lt;=16,"Regular",IF($H690&lt;=20,"Alerta","Crítico")))))</f>
        <v/>
      </c>
      <c r="J690" s="20"/>
      <c r="K690" s="20"/>
    </row>
    <row r="691" customFormat="false" ht="15" hidden="false" customHeight="false" outlineLevel="0" collapsed="false">
      <c r="A691" s="21"/>
      <c r="B691" s="33" t="n">
        <f aca="false">IF($A691="",0,INT(($A691-Macrociclo!$C$11)/7)+1)</f>
        <v>0</v>
      </c>
      <c r="C691" s="20"/>
      <c r="D691" s="22"/>
      <c r="E691" s="22"/>
      <c r="F691" s="22"/>
      <c r="G691" s="22"/>
      <c r="H691" s="33" t="n">
        <f aca="false">IF(COUNT($D691:$G691)&lt;4,0,SUM($D691:$G691))</f>
        <v>0</v>
      </c>
      <c r="I691" s="19" t="str">
        <f aca="false">IF($H691=0,"",IF($H691&lt;=8,"Ótimo",IF($H691&lt;=12,"Bom",IF($H691&lt;=16,"Regular",IF($H691&lt;=20,"Alerta","Crítico")))))</f>
        <v/>
      </c>
      <c r="J691" s="20"/>
      <c r="K691" s="20"/>
    </row>
    <row r="692" customFormat="false" ht="15" hidden="false" customHeight="false" outlineLevel="0" collapsed="false">
      <c r="A692" s="21"/>
      <c r="B692" s="33" t="n">
        <f aca="false">IF($A692="",0,INT(($A692-Macrociclo!$C$11)/7)+1)</f>
        <v>0</v>
      </c>
      <c r="C692" s="20"/>
      <c r="D692" s="22"/>
      <c r="E692" s="22"/>
      <c r="F692" s="22"/>
      <c r="G692" s="22"/>
      <c r="H692" s="33" t="n">
        <f aca="false">IF(COUNT($D692:$G692)&lt;4,0,SUM($D692:$G692))</f>
        <v>0</v>
      </c>
      <c r="I692" s="19" t="str">
        <f aca="false">IF($H692=0,"",IF($H692&lt;=8,"Ótimo",IF($H692&lt;=12,"Bom",IF($H692&lt;=16,"Regular",IF($H692&lt;=20,"Alerta","Crítico")))))</f>
        <v/>
      </c>
      <c r="J692" s="20"/>
      <c r="K692" s="20"/>
    </row>
    <row r="693" customFormat="false" ht="15" hidden="false" customHeight="false" outlineLevel="0" collapsed="false">
      <c r="A693" s="21"/>
      <c r="B693" s="33" t="n">
        <f aca="false">IF($A693="",0,INT(($A693-Macrociclo!$C$11)/7)+1)</f>
        <v>0</v>
      </c>
      <c r="C693" s="20"/>
      <c r="D693" s="22"/>
      <c r="E693" s="22"/>
      <c r="F693" s="22"/>
      <c r="G693" s="22"/>
      <c r="H693" s="33" t="n">
        <f aca="false">IF(COUNT($D693:$G693)&lt;4,0,SUM($D693:$G693))</f>
        <v>0</v>
      </c>
      <c r="I693" s="19" t="str">
        <f aca="false">IF($H693=0,"",IF($H693&lt;=8,"Ótimo",IF($H693&lt;=12,"Bom",IF($H693&lt;=16,"Regular",IF($H693&lt;=20,"Alerta","Crítico")))))</f>
        <v/>
      </c>
      <c r="J693" s="20"/>
      <c r="K693" s="20"/>
    </row>
    <row r="694" customFormat="false" ht="15" hidden="false" customHeight="false" outlineLevel="0" collapsed="false">
      <c r="A694" s="21"/>
      <c r="B694" s="33" t="n">
        <f aca="false">IF($A694="",0,INT(($A694-Macrociclo!$C$11)/7)+1)</f>
        <v>0</v>
      </c>
      <c r="C694" s="20"/>
      <c r="D694" s="22"/>
      <c r="E694" s="22"/>
      <c r="F694" s="22"/>
      <c r="G694" s="22"/>
      <c r="H694" s="33" t="n">
        <f aca="false">IF(COUNT($D694:$G694)&lt;4,0,SUM($D694:$G694))</f>
        <v>0</v>
      </c>
      <c r="I694" s="19" t="str">
        <f aca="false">IF($H694=0,"",IF($H694&lt;=8,"Ótimo",IF($H694&lt;=12,"Bom",IF($H694&lt;=16,"Regular",IF($H694&lt;=20,"Alerta","Crítico")))))</f>
        <v/>
      </c>
      <c r="J694" s="20"/>
      <c r="K694" s="20"/>
    </row>
    <row r="695" customFormat="false" ht="15" hidden="false" customHeight="false" outlineLevel="0" collapsed="false">
      <c r="A695" s="21"/>
      <c r="B695" s="33" t="n">
        <f aca="false">IF($A695="",0,INT(($A695-Macrociclo!$C$11)/7)+1)</f>
        <v>0</v>
      </c>
      <c r="C695" s="20"/>
      <c r="D695" s="22"/>
      <c r="E695" s="22"/>
      <c r="F695" s="22"/>
      <c r="G695" s="22"/>
      <c r="H695" s="33" t="n">
        <f aca="false">IF(COUNT($D695:$G695)&lt;4,0,SUM($D695:$G695))</f>
        <v>0</v>
      </c>
      <c r="I695" s="19" t="str">
        <f aca="false">IF($H695=0,"",IF($H695&lt;=8,"Ótimo",IF($H695&lt;=12,"Bom",IF($H695&lt;=16,"Regular",IF($H695&lt;=20,"Alerta","Crítico")))))</f>
        <v/>
      </c>
      <c r="J695" s="20"/>
      <c r="K695" s="20"/>
    </row>
    <row r="696" customFormat="false" ht="15" hidden="false" customHeight="false" outlineLevel="0" collapsed="false">
      <c r="A696" s="21"/>
      <c r="B696" s="33" t="n">
        <f aca="false">IF($A696="",0,INT(($A696-Macrociclo!$C$11)/7)+1)</f>
        <v>0</v>
      </c>
      <c r="C696" s="20"/>
      <c r="D696" s="22"/>
      <c r="E696" s="22"/>
      <c r="F696" s="22"/>
      <c r="G696" s="22"/>
      <c r="H696" s="33" t="n">
        <f aca="false">IF(COUNT($D696:$G696)&lt;4,0,SUM($D696:$G696))</f>
        <v>0</v>
      </c>
      <c r="I696" s="19" t="str">
        <f aca="false">IF($H696=0,"",IF($H696&lt;=8,"Ótimo",IF($H696&lt;=12,"Bom",IF($H696&lt;=16,"Regular",IF($H696&lt;=20,"Alerta","Crítico")))))</f>
        <v/>
      </c>
      <c r="J696" s="20"/>
      <c r="K696" s="20"/>
    </row>
    <row r="697" customFormat="false" ht="15" hidden="false" customHeight="false" outlineLevel="0" collapsed="false">
      <c r="A697" s="21"/>
      <c r="B697" s="33" t="n">
        <f aca="false">IF($A697="",0,INT(($A697-Macrociclo!$C$11)/7)+1)</f>
        <v>0</v>
      </c>
      <c r="C697" s="20"/>
      <c r="D697" s="22"/>
      <c r="E697" s="22"/>
      <c r="F697" s="22"/>
      <c r="G697" s="22"/>
      <c r="H697" s="33" t="n">
        <f aca="false">IF(COUNT($D697:$G697)&lt;4,0,SUM($D697:$G697))</f>
        <v>0</v>
      </c>
      <c r="I697" s="19" t="str">
        <f aca="false">IF($H697=0,"",IF($H697&lt;=8,"Ótimo",IF($H697&lt;=12,"Bom",IF($H697&lt;=16,"Regular",IF($H697&lt;=20,"Alerta","Crítico")))))</f>
        <v/>
      </c>
      <c r="J697" s="20"/>
      <c r="K697" s="20"/>
    </row>
    <row r="698" customFormat="false" ht="15" hidden="false" customHeight="false" outlineLevel="0" collapsed="false">
      <c r="A698" s="21"/>
      <c r="B698" s="33" t="n">
        <f aca="false">IF($A698="",0,INT(($A698-Macrociclo!$C$11)/7)+1)</f>
        <v>0</v>
      </c>
      <c r="C698" s="20"/>
      <c r="D698" s="22"/>
      <c r="E698" s="22"/>
      <c r="F698" s="22"/>
      <c r="G698" s="22"/>
      <c r="H698" s="33" t="n">
        <f aca="false">IF(COUNT($D698:$G698)&lt;4,0,SUM($D698:$G698))</f>
        <v>0</v>
      </c>
      <c r="I698" s="19" t="str">
        <f aca="false">IF($H698=0,"",IF($H698&lt;=8,"Ótimo",IF($H698&lt;=12,"Bom",IF($H698&lt;=16,"Regular",IF($H698&lt;=20,"Alerta","Crítico")))))</f>
        <v/>
      </c>
      <c r="J698" s="20"/>
      <c r="K698" s="20"/>
    </row>
    <row r="699" customFormat="false" ht="15" hidden="false" customHeight="false" outlineLevel="0" collapsed="false">
      <c r="A699" s="21"/>
      <c r="B699" s="33" t="n">
        <f aca="false">IF($A699="",0,INT(($A699-Macrociclo!$C$11)/7)+1)</f>
        <v>0</v>
      </c>
      <c r="C699" s="20"/>
      <c r="D699" s="22"/>
      <c r="E699" s="22"/>
      <c r="F699" s="22"/>
      <c r="G699" s="22"/>
      <c r="H699" s="33" t="n">
        <f aca="false">IF(COUNT($D699:$G699)&lt;4,0,SUM($D699:$G699))</f>
        <v>0</v>
      </c>
      <c r="I699" s="19" t="str">
        <f aca="false">IF($H699=0,"",IF($H699&lt;=8,"Ótimo",IF($H699&lt;=12,"Bom",IF($H699&lt;=16,"Regular",IF($H699&lt;=20,"Alerta","Crítico")))))</f>
        <v/>
      </c>
      <c r="J699" s="20"/>
      <c r="K699" s="20"/>
    </row>
    <row r="700" customFormat="false" ht="15" hidden="false" customHeight="false" outlineLevel="0" collapsed="false">
      <c r="A700" s="21"/>
      <c r="B700" s="33" t="n">
        <f aca="false">IF($A700="",0,INT(($A700-Macrociclo!$C$11)/7)+1)</f>
        <v>0</v>
      </c>
      <c r="C700" s="20"/>
      <c r="D700" s="22"/>
      <c r="E700" s="22"/>
      <c r="F700" s="22"/>
      <c r="G700" s="22"/>
      <c r="H700" s="33" t="n">
        <f aca="false">IF(COUNT($D700:$G700)&lt;4,0,SUM($D700:$G700))</f>
        <v>0</v>
      </c>
      <c r="I700" s="19" t="str">
        <f aca="false">IF($H700=0,"",IF($H700&lt;=8,"Ótimo",IF($H700&lt;=12,"Bom",IF($H700&lt;=16,"Regular",IF($H700&lt;=20,"Alerta","Crítico")))))</f>
        <v/>
      </c>
      <c r="J700" s="20"/>
      <c r="K700" s="20"/>
    </row>
    <row r="701" customFormat="false" ht="15" hidden="false" customHeight="false" outlineLevel="0" collapsed="false">
      <c r="A701" s="21"/>
      <c r="B701" s="33" t="n">
        <f aca="false">IF($A701="",0,INT(($A701-Macrociclo!$C$11)/7)+1)</f>
        <v>0</v>
      </c>
      <c r="C701" s="20"/>
      <c r="D701" s="22"/>
      <c r="E701" s="22"/>
      <c r="F701" s="22"/>
      <c r="G701" s="22"/>
      <c r="H701" s="33" t="n">
        <f aca="false">IF(COUNT($D701:$G701)&lt;4,0,SUM($D701:$G701))</f>
        <v>0</v>
      </c>
      <c r="I701" s="19" t="str">
        <f aca="false">IF($H701=0,"",IF($H701&lt;=8,"Ótimo",IF($H701&lt;=12,"Bom",IF($H701&lt;=16,"Regular",IF($H701&lt;=20,"Alerta","Crítico")))))</f>
        <v/>
      </c>
      <c r="J701" s="20"/>
      <c r="K701" s="20"/>
    </row>
    <row r="702" customFormat="false" ht="15" hidden="false" customHeight="false" outlineLevel="0" collapsed="false">
      <c r="A702" s="21"/>
      <c r="B702" s="33" t="n">
        <f aca="false">IF($A702="",0,INT(($A702-Macrociclo!$C$11)/7)+1)</f>
        <v>0</v>
      </c>
      <c r="C702" s="20"/>
      <c r="D702" s="22"/>
      <c r="E702" s="22"/>
      <c r="F702" s="22"/>
      <c r="G702" s="22"/>
      <c r="H702" s="33" t="n">
        <f aca="false">IF(COUNT($D702:$G702)&lt;4,0,SUM($D702:$G702))</f>
        <v>0</v>
      </c>
      <c r="I702" s="19" t="str">
        <f aca="false">IF($H702=0,"",IF($H702&lt;=8,"Ótimo",IF($H702&lt;=12,"Bom",IF($H702&lt;=16,"Regular",IF($H702&lt;=20,"Alerta","Crítico")))))</f>
        <v/>
      </c>
      <c r="J702" s="20"/>
      <c r="K702" s="20"/>
    </row>
    <row r="703" customFormat="false" ht="15" hidden="false" customHeight="false" outlineLevel="0" collapsed="false">
      <c r="A703" s="21"/>
      <c r="B703" s="33" t="n">
        <f aca="false">IF($A703="",0,INT(($A703-Macrociclo!$C$11)/7)+1)</f>
        <v>0</v>
      </c>
      <c r="C703" s="20"/>
      <c r="D703" s="22"/>
      <c r="E703" s="22"/>
      <c r="F703" s="22"/>
      <c r="G703" s="22"/>
      <c r="H703" s="33" t="n">
        <f aca="false">IF(COUNT($D703:$G703)&lt;4,0,SUM($D703:$G703))</f>
        <v>0</v>
      </c>
      <c r="I703" s="19" t="str">
        <f aca="false">IF($H703=0,"",IF($H703&lt;=8,"Ótimo",IF($H703&lt;=12,"Bom",IF($H703&lt;=16,"Regular",IF($H703&lt;=20,"Alerta","Crítico")))))</f>
        <v/>
      </c>
      <c r="J703" s="20"/>
      <c r="K703" s="20"/>
    </row>
    <row r="704" customFormat="false" ht="15" hidden="false" customHeight="false" outlineLevel="0" collapsed="false">
      <c r="A704" s="21"/>
      <c r="B704" s="33" t="n">
        <f aca="false">IF($A704="",0,INT(($A704-Macrociclo!$C$11)/7)+1)</f>
        <v>0</v>
      </c>
      <c r="C704" s="20"/>
      <c r="D704" s="22"/>
      <c r="E704" s="22"/>
      <c r="F704" s="22"/>
      <c r="G704" s="22"/>
      <c r="H704" s="33" t="n">
        <f aca="false">IF(COUNT($D704:$G704)&lt;4,0,SUM($D704:$G704))</f>
        <v>0</v>
      </c>
      <c r="I704" s="19" t="str">
        <f aca="false">IF($H704=0,"",IF($H704&lt;=8,"Ótimo",IF($H704&lt;=12,"Bom",IF($H704&lt;=16,"Regular",IF($H704&lt;=20,"Alerta","Crítico")))))</f>
        <v/>
      </c>
      <c r="J704" s="20"/>
      <c r="K704" s="20"/>
    </row>
    <row r="705" customFormat="false" ht="15" hidden="false" customHeight="false" outlineLevel="0" collapsed="false">
      <c r="A705" s="21"/>
      <c r="B705" s="33" t="n">
        <f aca="false">IF($A705="",0,INT(($A705-Macrociclo!$C$11)/7)+1)</f>
        <v>0</v>
      </c>
      <c r="C705" s="20"/>
      <c r="D705" s="22"/>
      <c r="E705" s="22"/>
      <c r="F705" s="22"/>
      <c r="G705" s="22"/>
      <c r="H705" s="33" t="n">
        <f aca="false">IF(COUNT($D705:$G705)&lt;4,0,SUM($D705:$G705))</f>
        <v>0</v>
      </c>
      <c r="I705" s="19" t="str">
        <f aca="false">IF($H705=0,"",IF($H705&lt;=8,"Ótimo",IF($H705&lt;=12,"Bom",IF($H705&lt;=16,"Regular",IF($H705&lt;=20,"Alerta","Crítico")))))</f>
        <v/>
      </c>
      <c r="J705" s="20"/>
      <c r="K705" s="20"/>
    </row>
    <row r="706" customFormat="false" ht="15" hidden="false" customHeight="false" outlineLevel="0" collapsed="false">
      <c r="A706" s="21"/>
      <c r="B706" s="33" t="n">
        <f aca="false">IF($A706="",0,INT(($A706-Macrociclo!$C$11)/7)+1)</f>
        <v>0</v>
      </c>
      <c r="C706" s="20"/>
      <c r="D706" s="22"/>
      <c r="E706" s="22"/>
      <c r="F706" s="22"/>
      <c r="G706" s="22"/>
      <c r="H706" s="33" t="n">
        <f aca="false">IF(COUNT($D706:$G706)&lt;4,0,SUM($D706:$G706))</f>
        <v>0</v>
      </c>
      <c r="I706" s="19" t="str">
        <f aca="false">IF($H706=0,"",IF($H706&lt;=8,"Ótimo",IF($H706&lt;=12,"Bom",IF($H706&lt;=16,"Regular",IF($H706&lt;=20,"Alerta","Crítico")))))</f>
        <v/>
      </c>
      <c r="J706" s="20"/>
      <c r="K706" s="20"/>
    </row>
    <row r="707" customFormat="false" ht="15" hidden="false" customHeight="false" outlineLevel="0" collapsed="false">
      <c r="A707" s="21"/>
      <c r="B707" s="33" t="n">
        <f aca="false">IF($A707="",0,INT(($A707-Macrociclo!$C$11)/7)+1)</f>
        <v>0</v>
      </c>
      <c r="C707" s="20"/>
      <c r="D707" s="22"/>
      <c r="E707" s="22"/>
      <c r="F707" s="22"/>
      <c r="G707" s="22"/>
      <c r="H707" s="33" t="n">
        <f aca="false">IF(COUNT($D707:$G707)&lt;4,0,SUM($D707:$G707))</f>
        <v>0</v>
      </c>
      <c r="I707" s="19" t="str">
        <f aca="false">IF($H707=0,"",IF($H707&lt;=8,"Ótimo",IF($H707&lt;=12,"Bom",IF($H707&lt;=16,"Regular",IF($H707&lt;=20,"Alerta","Crítico")))))</f>
        <v/>
      </c>
      <c r="J707" s="20"/>
      <c r="K707" s="20"/>
    </row>
    <row r="708" customFormat="false" ht="15" hidden="false" customHeight="false" outlineLevel="0" collapsed="false">
      <c r="A708" s="21"/>
      <c r="B708" s="33" t="n">
        <f aca="false">IF($A708="",0,INT(($A708-Macrociclo!$C$11)/7)+1)</f>
        <v>0</v>
      </c>
      <c r="C708" s="20"/>
      <c r="D708" s="22"/>
      <c r="E708" s="22"/>
      <c r="F708" s="22"/>
      <c r="G708" s="22"/>
      <c r="H708" s="33" t="n">
        <f aca="false">IF(COUNT($D708:$G708)&lt;4,0,SUM($D708:$G708))</f>
        <v>0</v>
      </c>
      <c r="I708" s="19" t="str">
        <f aca="false">IF($H708=0,"",IF($H708&lt;=8,"Ótimo",IF($H708&lt;=12,"Bom",IF($H708&lt;=16,"Regular",IF($H708&lt;=20,"Alerta","Crítico")))))</f>
        <v/>
      </c>
      <c r="J708" s="20"/>
      <c r="K708" s="20"/>
    </row>
    <row r="709" customFormat="false" ht="15" hidden="false" customHeight="false" outlineLevel="0" collapsed="false">
      <c r="A709" s="21"/>
      <c r="B709" s="33" t="n">
        <f aca="false">IF($A709="",0,INT(($A709-Macrociclo!$C$11)/7)+1)</f>
        <v>0</v>
      </c>
      <c r="C709" s="20"/>
      <c r="D709" s="22"/>
      <c r="E709" s="22"/>
      <c r="F709" s="22"/>
      <c r="G709" s="22"/>
      <c r="H709" s="33" t="n">
        <f aca="false">IF(COUNT($D709:$G709)&lt;4,0,SUM($D709:$G709))</f>
        <v>0</v>
      </c>
      <c r="I709" s="19" t="str">
        <f aca="false">IF($H709=0,"",IF($H709&lt;=8,"Ótimo",IF($H709&lt;=12,"Bom",IF($H709&lt;=16,"Regular",IF($H709&lt;=20,"Alerta","Crítico")))))</f>
        <v/>
      </c>
      <c r="J709" s="20"/>
      <c r="K709" s="20"/>
    </row>
    <row r="710" customFormat="false" ht="15" hidden="false" customHeight="false" outlineLevel="0" collapsed="false">
      <c r="A710" s="21"/>
      <c r="B710" s="33" t="n">
        <f aca="false">IF($A710="",0,INT(($A710-Macrociclo!$C$11)/7)+1)</f>
        <v>0</v>
      </c>
      <c r="C710" s="20"/>
      <c r="D710" s="22"/>
      <c r="E710" s="22"/>
      <c r="F710" s="22"/>
      <c r="G710" s="22"/>
      <c r="H710" s="33" t="n">
        <f aca="false">IF(COUNT($D710:$G710)&lt;4,0,SUM($D710:$G710))</f>
        <v>0</v>
      </c>
      <c r="I710" s="19" t="str">
        <f aca="false">IF($H710=0,"",IF($H710&lt;=8,"Ótimo",IF($H710&lt;=12,"Bom",IF($H710&lt;=16,"Regular",IF($H710&lt;=20,"Alerta","Crítico")))))</f>
        <v/>
      </c>
      <c r="J710" s="20"/>
      <c r="K710" s="20"/>
    </row>
    <row r="711" customFormat="false" ht="15" hidden="false" customHeight="false" outlineLevel="0" collapsed="false">
      <c r="A711" s="21"/>
      <c r="B711" s="33" t="n">
        <f aca="false">IF($A711="",0,INT(($A711-Macrociclo!$C$11)/7)+1)</f>
        <v>0</v>
      </c>
      <c r="C711" s="20"/>
      <c r="D711" s="22"/>
      <c r="E711" s="22"/>
      <c r="F711" s="22"/>
      <c r="G711" s="22"/>
      <c r="H711" s="33" t="n">
        <f aca="false">IF(COUNT($D711:$G711)&lt;4,0,SUM($D711:$G711))</f>
        <v>0</v>
      </c>
      <c r="I711" s="19" t="str">
        <f aca="false">IF($H711=0,"",IF($H711&lt;=8,"Ótimo",IF($H711&lt;=12,"Bom",IF($H711&lt;=16,"Regular",IF($H711&lt;=20,"Alerta","Crítico")))))</f>
        <v/>
      </c>
      <c r="J711" s="20"/>
      <c r="K711" s="20"/>
    </row>
    <row r="712" customFormat="false" ht="15" hidden="false" customHeight="false" outlineLevel="0" collapsed="false">
      <c r="A712" s="21"/>
      <c r="B712" s="33" t="n">
        <f aca="false">IF($A712="",0,INT(($A712-Macrociclo!$C$11)/7)+1)</f>
        <v>0</v>
      </c>
      <c r="C712" s="20"/>
      <c r="D712" s="22"/>
      <c r="E712" s="22"/>
      <c r="F712" s="22"/>
      <c r="G712" s="22"/>
      <c r="H712" s="33" t="n">
        <f aca="false">IF(COUNT($D712:$G712)&lt;4,0,SUM($D712:$G712))</f>
        <v>0</v>
      </c>
      <c r="I712" s="19" t="str">
        <f aca="false">IF($H712=0,"",IF($H712&lt;=8,"Ótimo",IF($H712&lt;=12,"Bom",IF($H712&lt;=16,"Regular",IF($H712&lt;=20,"Alerta","Crítico")))))</f>
        <v/>
      </c>
      <c r="J712" s="20"/>
      <c r="K712" s="20"/>
    </row>
    <row r="713" customFormat="false" ht="15" hidden="false" customHeight="false" outlineLevel="0" collapsed="false">
      <c r="A713" s="21"/>
      <c r="B713" s="33" t="n">
        <f aca="false">IF($A713="",0,INT(($A713-Macrociclo!$C$11)/7)+1)</f>
        <v>0</v>
      </c>
      <c r="C713" s="20"/>
      <c r="D713" s="22"/>
      <c r="E713" s="22"/>
      <c r="F713" s="22"/>
      <c r="G713" s="22"/>
      <c r="H713" s="33" t="n">
        <f aca="false">IF(COUNT($D713:$G713)&lt;4,0,SUM($D713:$G713))</f>
        <v>0</v>
      </c>
      <c r="I713" s="19" t="str">
        <f aca="false">IF($H713=0,"",IF($H713&lt;=8,"Ótimo",IF($H713&lt;=12,"Bom",IF($H713&lt;=16,"Regular",IF($H713&lt;=20,"Alerta","Crítico")))))</f>
        <v/>
      </c>
      <c r="J713" s="20"/>
      <c r="K713" s="20"/>
    </row>
    <row r="714" customFormat="false" ht="15" hidden="false" customHeight="false" outlineLevel="0" collapsed="false">
      <c r="A714" s="21"/>
      <c r="B714" s="33" t="n">
        <f aca="false">IF($A714="",0,INT(($A714-Macrociclo!$C$11)/7)+1)</f>
        <v>0</v>
      </c>
      <c r="C714" s="20"/>
      <c r="D714" s="22"/>
      <c r="E714" s="22"/>
      <c r="F714" s="22"/>
      <c r="G714" s="22"/>
      <c r="H714" s="33" t="n">
        <f aca="false">IF(COUNT($D714:$G714)&lt;4,0,SUM($D714:$G714))</f>
        <v>0</v>
      </c>
      <c r="I714" s="19" t="str">
        <f aca="false">IF($H714=0,"",IF($H714&lt;=8,"Ótimo",IF($H714&lt;=12,"Bom",IF($H714&lt;=16,"Regular",IF($H714&lt;=20,"Alerta","Crítico")))))</f>
        <v/>
      </c>
      <c r="J714" s="20"/>
      <c r="K714" s="20"/>
    </row>
    <row r="715" customFormat="false" ht="15" hidden="false" customHeight="false" outlineLevel="0" collapsed="false">
      <c r="A715" s="21"/>
      <c r="B715" s="33" t="n">
        <f aca="false">IF($A715="",0,INT(($A715-Macrociclo!$C$11)/7)+1)</f>
        <v>0</v>
      </c>
      <c r="C715" s="20"/>
      <c r="D715" s="22"/>
      <c r="E715" s="22"/>
      <c r="F715" s="22"/>
      <c r="G715" s="22"/>
      <c r="H715" s="33" t="n">
        <f aca="false">IF(COUNT($D715:$G715)&lt;4,0,SUM($D715:$G715))</f>
        <v>0</v>
      </c>
      <c r="I715" s="19" t="str">
        <f aca="false">IF($H715=0,"",IF($H715&lt;=8,"Ótimo",IF($H715&lt;=12,"Bom",IF($H715&lt;=16,"Regular",IF($H715&lt;=20,"Alerta","Crítico")))))</f>
        <v/>
      </c>
      <c r="J715" s="20"/>
      <c r="K715" s="20"/>
    </row>
    <row r="716" customFormat="false" ht="15" hidden="false" customHeight="false" outlineLevel="0" collapsed="false">
      <c r="A716" s="21"/>
      <c r="B716" s="33" t="n">
        <f aca="false">IF($A716="",0,INT(($A716-Macrociclo!$C$11)/7)+1)</f>
        <v>0</v>
      </c>
      <c r="C716" s="20"/>
      <c r="D716" s="22"/>
      <c r="E716" s="22"/>
      <c r="F716" s="22"/>
      <c r="G716" s="22"/>
      <c r="H716" s="33" t="n">
        <f aca="false">IF(COUNT($D716:$G716)&lt;4,0,SUM($D716:$G716))</f>
        <v>0</v>
      </c>
      <c r="I716" s="19" t="str">
        <f aca="false">IF($H716=0,"",IF($H716&lt;=8,"Ótimo",IF($H716&lt;=12,"Bom",IF($H716&lt;=16,"Regular",IF($H716&lt;=20,"Alerta","Crítico")))))</f>
        <v/>
      </c>
      <c r="J716" s="20"/>
      <c r="K716" s="20"/>
    </row>
    <row r="717" customFormat="false" ht="15" hidden="false" customHeight="false" outlineLevel="0" collapsed="false">
      <c r="A717" s="21"/>
      <c r="B717" s="33" t="n">
        <f aca="false">IF($A717="",0,INT(($A717-Macrociclo!$C$11)/7)+1)</f>
        <v>0</v>
      </c>
      <c r="C717" s="20"/>
      <c r="D717" s="22"/>
      <c r="E717" s="22"/>
      <c r="F717" s="22"/>
      <c r="G717" s="22"/>
      <c r="H717" s="33" t="n">
        <f aca="false">IF(COUNT($D717:$G717)&lt;4,0,SUM($D717:$G717))</f>
        <v>0</v>
      </c>
      <c r="I717" s="19" t="str">
        <f aca="false">IF($H717=0,"",IF($H717&lt;=8,"Ótimo",IF($H717&lt;=12,"Bom",IF($H717&lt;=16,"Regular",IF($H717&lt;=20,"Alerta","Crítico")))))</f>
        <v/>
      </c>
      <c r="J717" s="20"/>
      <c r="K717" s="20"/>
    </row>
    <row r="718" customFormat="false" ht="15" hidden="false" customHeight="false" outlineLevel="0" collapsed="false">
      <c r="A718" s="21"/>
      <c r="B718" s="33" t="n">
        <f aca="false">IF($A718="",0,INT(($A718-Macrociclo!$C$11)/7)+1)</f>
        <v>0</v>
      </c>
      <c r="C718" s="20"/>
      <c r="D718" s="22"/>
      <c r="E718" s="22"/>
      <c r="F718" s="22"/>
      <c r="G718" s="22"/>
      <c r="H718" s="33" t="n">
        <f aca="false">IF(COUNT($D718:$G718)&lt;4,0,SUM($D718:$G718))</f>
        <v>0</v>
      </c>
      <c r="I718" s="19" t="str">
        <f aca="false">IF($H718=0,"",IF($H718&lt;=8,"Ótimo",IF($H718&lt;=12,"Bom",IF($H718&lt;=16,"Regular",IF($H718&lt;=20,"Alerta","Crítico")))))</f>
        <v/>
      </c>
      <c r="J718" s="20"/>
      <c r="K718" s="20"/>
    </row>
    <row r="719" customFormat="false" ht="15" hidden="false" customHeight="false" outlineLevel="0" collapsed="false">
      <c r="A719" s="21"/>
      <c r="B719" s="33" t="n">
        <f aca="false">IF($A719="",0,INT(($A719-Macrociclo!$C$11)/7)+1)</f>
        <v>0</v>
      </c>
      <c r="C719" s="20"/>
      <c r="D719" s="22"/>
      <c r="E719" s="22"/>
      <c r="F719" s="22"/>
      <c r="G719" s="22"/>
      <c r="H719" s="33" t="n">
        <f aca="false">IF(COUNT($D719:$G719)&lt;4,0,SUM($D719:$G719))</f>
        <v>0</v>
      </c>
      <c r="I719" s="19" t="str">
        <f aca="false">IF($H719=0,"",IF($H719&lt;=8,"Ótimo",IF($H719&lt;=12,"Bom",IF($H719&lt;=16,"Regular",IF($H719&lt;=20,"Alerta","Crítico")))))</f>
        <v/>
      </c>
      <c r="J719" s="20"/>
      <c r="K719" s="20"/>
    </row>
    <row r="720" customFormat="false" ht="15" hidden="false" customHeight="false" outlineLevel="0" collapsed="false">
      <c r="A720" s="21"/>
      <c r="B720" s="33" t="n">
        <f aca="false">IF($A720="",0,INT(($A720-Macrociclo!$C$11)/7)+1)</f>
        <v>0</v>
      </c>
      <c r="C720" s="20"/>
      <c r="D720" s="22"/>
      <c r="E720" s="22"/>
      <c r="F720" s="22"/>
      <c r="G720" s="22"/>
      <c r="H720" s="33" t="n">
        <f aca="false">IF(COUNT($D720:$G720)&lt;4,0,SUM($D720:$G720))</f>
        <v>0</v>
      </c>
      <c r="I720" s="19" t="str">
        <f aca="false">IF($H720=0,"",IF($H720&lt;=8,"Ótimo",IF($H720&lt;=12,"Bom",IF($H720&lt;=16,"Regular",IF($H720&lt;=20,"Alerta","Crítico")))))</f>
        <v/>
      </c>
      <c r="J720" s="20"/>
      <c r="K720" s="20"/>
    </row>
    <row r="721" customFormat="false" ht="15" hidden="false" customHeight="false" outlineLevel="0" collapsed="false">
      <c r="A721" s="21"/>
      <c r="B721" s="33" t="n">
        <f aca="false">IF($A721="",0,INT(($A721-Macrociclo!$C$11)/7)+1)</f>
        <v>0</v>
      </c>
      <c r="C721" s="20"/>
      <c r="D721" s="22"/>
      <c r="E721" s="22"/>
      <c r="F721" s="22"/>
      <c r="G721" s="22"/>
      <c r="H721" s="33" t="n">
        <f aca="false">IF(COUNT($D721:$G721)&lt;4,0,SUM($D721:$G721))</f>
        <v>0</v>
      </c>
      <c r="I721" s="19" t="str">
        <f aca="false">IF($H721=0,"",IF($H721&lt;=8,"Ótimo",IF($H721&lt;=12,"Bom",IF($H721&lt;=16,"Regular",IF($H721&lt;=20,"Alerta","Crítico")))))</f>
        <v/>
      </c>
      <c r="J721" s="20"/>
      <c r="K721" s="20"/>
    </row>
    <row r="722" customFormat="false" ht="15" hidden="false" customHeight="false" outlineLevel="0" collapsed="false">
      <c r="A722" s="21"/>
      <c r="B722" s="33" t="n">
        <f aca="false">IF($A722="",0,INT(($A722-Macrociclo!$C$11)/7)+1)</f>
        <v>0</v>
      </c>
      <c r="C722" s="20"/>
      <c r="D722" s="22"/>
      <c r="E722" s="22"/>
      <c r="F722" s="22"/>
      <c r="G722" s="22"/>
      <c r="H722" s="33" t="n">
        <f aca="false">IF(COUNT($D722:$G722)&lt;4,0,SUM($D722:$G722))</f>
        <v>0</v>
      </c>
      <c r="I722" s="19" t="str">
        <f aca="false">IF($H722=0,"",IF($H722&lt;=8,"Ótimo",IF($H722&lt;=12,"Bom",IF($H722&lt;=16,"Regular",IF($H722&lt;=20,"Alerta","Crítico")))))</f>
        <v/>
      </c>
      <c r="J722" s="20"/>
      <c r="K722" s="20"/>
    </row>
    <row r="723" customFormat="false" ht="15" hidden="false" customHeight="false" outlineLevel="0" collapsed="false">
      <c r="A723" s="21"/>
      <c r="B723" s="33" t="n">
        <f aca="false">IF($A723="",0,INT(($A723-Macrociclo!$C$11)/7)+1)</f>
        <v>0</v>
      </c>
      <c r="C723" s="20"/>
      <c r="D723" s="22"/>
      <c r="E723" s="22"/>
      <c r="F723" s="22"/>
      <c r="G723" s="22"/>
      <c r="H723" s="33" t="n">
        <f aca="false">IF(COUNT($D723:$G723)&lt;4,0,SUM($D723:$G723))</f>
        <v>0</v>
      </c>
      <c r="I723" s="19" t="str">
        <f aca="false">IF($H723=0,"",IF($H723&lt;=8,"Ótimo",IF($H723&lt;=12,"Bom",IF($H723&lt;=16,"Regular",IF($H723&lt;=20,"Alerta","Crítico")))))</f>
        <v/>
      </c>
      <c r="J723" s="20"/>
      <c r="K723" s="20"/>
    </row>
    <row r="724" customFormat="false" ht="15" hidden="false" customHeight="false" outlineLevel="0" collapsed="false">
      <c r="A724" s="21"/>
      <c r="B724" s="33" t="n">
        <f aca="false">IF($A724="",0,INT(($A724-Macrociclo!$C$11)/7)+1)</f>
        <v>0</v>
      </c>
      <c r="C724" s="20"/>
      <c r="D724" s="22"/>
      <c r="E724" s="22"/>
      <c r="F724" s="22"/>
      <c r="G724" s="22"/>
      <c r="H724" s="33" t="n">
        <f aca="false">IF(COUNT($D724:$G724)&lt;4,0,SUM($D724:$G724))</f>
        <v>0</v>
      </c>
      <c r="I724" s="19" t="str">
        <f aca="false">IF($H724=0,"",IF($H724&lt;=8,"Ótimo",IF($H724&lt;=12,"Bom",IF($H724&lt;=16,"Regular",IF($H724&lt;=20,"Alerta","Crítico")))))</f>
        <v/>
      </c>
      <c r="J724" s="20"/>
      <c r="K724" s="20"/>
    </row>
    <row r="725" customFormat="false" ht="15" hidden="false" customHeight="false" outlineLevel="0" collapsed="false">
      <c r="A725" s="21"/>
      <c r="B725" s="33" t="n">
        <f aca="false">IF($A725="",0,INT(($A725-Macrociclo!$C$11)/7)+1)</f>
        <v>0</v>
      </c>
      <c r="C725" s="20"/>
      <c r="D725" s="22"/>
      <c r="E725" s="22"/>
      <c r="F725" s="22"/>
      <c r="G725" s="22"/>
      <c r="H725" s="33" t="n">
        <f aca="false">IF(COUNT($D725:$G725)&lt;4,0,SUM($D725:$G725))</f>
        <v>0</v>
      </c>
      <c r="I725" s="19" t="str">
        <f aca="false">IF($H725=0,"",IF($H725&lt;=8,"Ótimo",IF($H725&lt;=12,"Bom",IF($H725&lt;=16,"Regular",IF($H725&lt;=20,"Alerta","Crítico")))))</f>
        <v/>
      </c>
      <c r="J725" s="20"/>
      <c r="K725" s="20"/>
    </row>
    <row r="726" customFormat="false" ht="15" hidden="false" customHeight="false" outlineLevel="0" collapsed="false">
      <c r="A726" s="21"/>
      <c r="B726" s="33" t="n">
        <f aca="false">IF($A726="",0,INT(($A726-Macrociclo!$C$11)/7)+1)</f>
        <v>0</v>
      </c>
      <c r="C726" s="20"/>
      <c r="D726" s="22"/>
      <c r="E726" s="22"/>
      <c r="F726" s="22"/>
      <c r="G726" s="22"/>
      <c r="H726" s="33" t="n">
        <f aca="false">IF(COUNT($D726:$G726)&lt;4,0,SUM($D726:$G726))</f>
        <v>0</v>
      </c>
      <c r="I726" s="19" t="str">
        <f aca="false">IF($H726=0,"",IF($H726&lt;=8,"Ótimo",IF($H726&lt;=12,"Bom",IF($H726&lt;=16,"Regular",IF($H726&lt;=20,"Alerta","Crítico")))))</f>
        <v/>
      </c>
      <c r="J726" s="20"/>
      <c r="K726" s="20"/>
    </row>
    <row r="727" customFormat="false" ht="15" hidden="false" customHeight="false" outlineLevel="0" collapsed="false">
      <c r="A727" s="21"/>
      <c r="B727" s="33" t="n">
        <f aca="false">IF($A727="",0,INT(($A727-Macrociclo!$C$11)/7)+1)</f>
        <v>0</v>
      </c>
      <c r="C727" s="20"/>
      <c r="D727" s="22"/>
      <c r="E727" s="22"/>
      <c r="F727" s="22"/>
      <c r="G727" s="22"/>
      <c r="H727" s="33" t="n">
        <f aca="false">IF(COUNT($D727:$G727)&lt;4,0,SUM($D727:$G727))</f>
        <v>0</v>
      </c>
      <c r="I727" s="19" t="str">
        <f aca="false">IF($H727=0,"",IF($H727&lt;=8,"Ótimo",IF($H727&lt;=12,"Bom",IF($H727&lt;=16,"Regular",IF($H727&lt;=20,"Alerta","Crítico")))))</f>
        <v/>
      </c>
      <c r="J727" s="20"/>
      <c r="K727" s="20"/>
    </row>
    <row r="728" customFormat="false" ht="15" hidden="false" customHeight="false" outlineLevel="0" collapsed="false">
      <c r="A728" s="21"/>
      <c r="B728" s="33" t="n">
        <f aca="false">IF($A728="",0,INT(($A728-Macrociclo!$C$11)/7)+1)</f>
        <v>0</v>
      </c>
      <c r="C728" s="20"/>
      <c r="D728" s="22"/>
      <c r="E728" s="22"/>
      <c r="F728" s="22"/>
      <c r="G728" s="22"/>
      <c r="H728" s="33" t="n">
        <f aca="false">IF(COUNT($D728:$G728)&lt;4,0,SUM($D728:$G728))</f>
        <v>0</v>
      </c>
      <c r="I728" s="19" t="str">
        <f aca="false">IF($H728=0,"",IF($H728&lt;=8,"Ótimo",IF($H728&lt;=12,"Bom",IF($H728&lt;=16,"Regular",IF($H728&lt;=20,"Alerta","Crítico")))))</f>
        <v/>
      </c>
      <c r="J728" s="20"/>
      <c r="K728" s="20"/>
    </row>
    <row r="729" customFormat="false" ht="15" hidden="false" customHeight="false" outlineLevel="0" collapsed="false">
      <c r="A729" s="21"/>
      <c r="B729" s="33" t="n">
        <f aca="false">IF($A729="",0,INT(($A729-Macrociclo!$C$11)/7)+1)</f>
        <v>0</v>
      </c>
      <c r="C729" s="20"/>
      <c r="D729" s="22"/>
      <c r="E729" s="22"/>
      <c r="F729" s="22"/>
      <c r="G729" s="22"/>
      <c r="H729" s="33" t="n">
        <f aca="false">IF(COUNT($D729:$G729)&lt;4,0,SUM($D729:$G729))</f>
        <v>0</v>
      </c>
      <c r="I729" s="19" t="str">
        <f aca="false">IF($H729=0,"",IF($H729&lt;=8,"Ótimo",IF($H729&lt;=12,"Bom",IF($H729&lt;=16,"Regular",IF($H729&lt;=20,"Alerta","Crítico")))))</f>
        <v/>
      </c>
      <c r="J729" s="20"/>
      <c r="K729" s="20"/>
    </row>
    <row r="730" customFormat="false" ht="15" hidden="false" customHeight="false" outlineLevel="0" collapsed="false">
      <c r="A730" s="21"/>
      <c r="B730" s="33" t="n">
        <f aca="false">IF($A730="",0,INT(($A730-Macrociclo!$C$11)/7)+1)</f>
        <v>0</v>
      </c>
      <c r="C730" s="20"/>
      <c r="D730" s="22"/>
      <c r="E730" s="22"/>
      <c r="F730" s="22"/>
      <c r="G730" s="22"/>
      <c r="H730" s="33" t="n">
        <f aca="false">IF(COUNT($D730:$G730)&lt;4,0,SUM($D730:$G730))</f>
        <v>0</v>
      </c>
      <c r="I730" s="19" t="str">
        <f aca="false">IF($H730=0,"",IF($H730&lt;=8,"Ótimo",IF($H730&lt;=12,"Bom",IF($H730&lt;=16,"Regular",IF($H730&lt;=20,"Alerta","Crítico")))))</f>
        <v/>
      </c>
      <c r="J730" s="20"/>
      <c r="K730" s="20"/>
    </row>
    <row r="731" customFormat="false" ht="15" hidden="false" customHeight="false" outlineLevel="0" collapsed="false">
      <c r="A731" s="21"/>
      <c r="B731" s="33" t="n">
        <f aca="false">IF($A731="",0,INT(($A731-Macrociclo!$C$11)/7)+1)</f>
        <v>0</v>
      </c>
      <c r="C731" s="20"/>
      <c r="D731" s="22"/>
      <c r="E731" s="22"/>
      <c r="F731" s="22"/>
      <c r="G731" s="22"/>
      <c r="H731" s="33" t="n">
        <f aca="false">IF(COUNT($D731:$G731)&lt;4,0,SUM($D731:$G731))</f>
        <v>0</v>
      </c>
      <c r="I731" s="19" t="str">
        <f aca="false">IF($H731=0,"",IF($H731&lt;=8,"Ótimo",IF($H731&lt;=12,"Bom",IF($H731&lt;=16,"Regular",IF($H731&lt;=20,"Alerta","Crítico")))))</f>
        <v/>
      </c>
      <c r="J731" s="20"/>
      <c r="K731" s="20"/>
    </row>
    <row r="732" customFormat="false" ht="15" hidden="false" customHeight="false" outlineLevel="0" collapsed="false">
      <c r="A732" s="21"/>
      <c r="B732" s="33" t="n">
        <f aca="false">IF($A732="",0,INT(($A732-Macrociclo!$C$11)/7)+1)</f>
        <v>0</v>
      </c>
      <c r="C732" s="20"/>
      <c r="D732" s="22"/>
      <c r="E732" s="22"/>
      <c r="F732" s="22"/>
      <c r="G732" s="22"/>
      <c r="H732" s="33" t="n">
        <f aca="false">IF(COUNT($D732:$G732)&lt;4,0,SUM($D732:$G732))</f>
        <v>0</v>
      </c>
      <c r="I732" s="19" t="str">
        <f aca="false">IF($H732=0,"",IF($H732&lt;=8,"Ótimo",IF($H732&lt;=12,"Bom",IF($H732&lt;=16,"Regular",IF($H732&lt;=20,"Alerta","Crítico")))))</f>
        <v/>
      </c>
      <c r="J732" s="20"/>
      <c r="K732" s="20"/>
    </row>
    <row r="733" customFormat="false" ht="15" hidden="false" customHeight="false" outlineLevel="0" collapsed="false">
      <c r="A733" s="21"/>
      <c r="B733" s="33" t="n">
        <f aca="false">IF($A733="",0,INT(($A733-Macrociclo!$C$11)/7)+1)</f>
        <v>0</v>
      </c>
      <c r="C733" s="20"/>
      <c r="D733" s="22"/>
      <c r="E733" s="22"/>
      <c r="F733" s="22"/>
      <c r="G733" s="22"/>
      <c r="H733" s="33" t="n">
        <f aca="false">IF(COUNT($D733:$G733)&lt;4,0,SUM($D733:$G733))</f>
        <v>0</v>
      </c>
      <c r="I733" s="19" t="str">
        <f aca="false">IF($H733=0,"",IF($H733&lt;=8,"Ótimo",IF($H733&lt;=12,"Bom",IF($H733&lt;=16,"Regular",IF($H733&lt;=20,"Alerta","Crítico")))))</f>
        <v/>
      </c>
      <c r="J733" s="20"/>
      <c r="K733" s="20"/>
    </row>
    <row r="734" customFormat="false" ht="15" hidden="false" customHeight="false" outlineLevel="0" collapsed="false">
      <c r="A734" s="21"/>
      <c r="B734" s="33" t="n">
        <f aca="false">IF($A734="",0,INT(($A734-Macrociclo!$C$11)/7)+1)</f>
        <v>0</v>
      </c>
      <c r="C734" s="20"/>
      <c r="D734" s="22"/>
      <c r="E734" s="22"/>
      <c r="F734" s="22"/>
      <c r="G734" s="22"/>
      <c r="H734" s="33" t="n">
        <f aca="false">IF(COUNT($D734:$G734)&lt;4,0,SUM($D734:$G734))</f>
        <v>0</v>
      </c>
      <c r="I734" s="19" t="str">
        <f aca="false">IF($H734=0,"",IF($H734&lt;=8,"Ótimo",IF($H734&lt;=12,"Bom",IF($H734&lt;=16,"Regular",IF($H734&lt;=20,"Alerta","Crítico")))))</f>
        <v/>
      </c>
      <c r="J734" s="20"/>
      <c r="K734" s="20"/>
    </row>
    <row r="735" customFormat="false" ht="15" hidden="false" customHeight="false" outlineLevel="0" collapsed="false">
      <c r="A735" s="21"/>
      <c r="B735" s="33" t="n">
        <f aca="false">IF($A735="",0,INT(($A735-Macrociclo!$C$11)/7)+1)</f>
        <v>0</v>
      </c>
      <c r="C735" s="20"/>
      <c r="D735" s="22"/>
      <c r="E735" s="22"/>
      <c r="F735" s="22"/>
      <c r="G735" s="22"/>
      <c r="H735" s="33" t="n">
        <f aca="false">IF(COUNT($D735:$G735)&lt;4,0,SUM($D735:$G735))</f>
        <v>0</v>
      </c>
      <c r="I735" s="19" t="str">
        <f aca="false">IF($H735=0,"",IF($H735&lt;=8,"Ótimo",IF($H735&lt;=12,"Bom",IF($H735&lt;=16,"Regular",IF($H735&lt;=20,"Alerta","Crítico")))))</f>
        <v/>
      </c>
      <c r="J735" s="20"/>
      <c r="K735" s="20"/>
    </row>
    <row r="736" customFormat="false" ht="15" hidden="false" customHeight="false" outlineLevel="0" collapsed="false">
      <c r="A736" s="21"/>
      <c r="B736" s="33" t="n">
        <f aca="false">IF($A736="",0,INT(($A736-Macrociclo!$C$11)/7)+1)</f>
        <v>0</v>
      </c>
      <c r="C736" s="20"/>
      <c r="D736" s="22"/>
      <c r="E736" s="22"/>
      <c r="F736" s="22"/>
      <c r="G736" s="22"/>
      <c r="H736" s="33" t="n">
        <f aca="false">IF(COUNT($D736:$G736)&lt;4,0,SUM($D736:$G736))</f>
        <v>0</v>
      </c>
      <c r="I736" s="19" t="str">
        <f aca="false">IF($H736=0,"",IF($H736&lt;=8,"Ótimo",IF($H736&lt;=12,"Bom",IF($H736&lt;=16,"Regular",IF($H736&lt;=20,"Alerta","Crítico")))))</f>
        <v/>
      </c>
      <c r="J736" s="20"/>
      <c r="K736" s="20"/>
    </row>
    <row r="737" customFormat="false" ht="15" hidden="false" customHeight="false" outlineLevel="0" collapsed="false">
      <c r="A737" s="21"/>
      <c r="B737" s="33" t="n">
        <f aca="false">IF($A737="",0,INT(($A737-Macrociclo!$C$11)/7)+1)</f>
        <v>0</v>
      </c>
      <c r="C737" s="20"/>
      <c r="D737" s="22"/>
      <c r="E737" s="22"/>
      <c r="F737" s="22"/>
      <c r="G737" s="22"/>
      <c r="H737" s="33" t="n">
        <f aca="false">IF(COUNT($D737:$G737)&lt;4,0,SUM($D737:$G737))</f>
        <v>0</v>
      </c>
      <c r="I737" s="19" t="str">
        <f aca="false">IF($H737=0,"",IF($H737&lt;=8,"Ótimo",IF($H737&lt;=12,"Bom",IF($H737&lt;=16,"Regular",IF($H737&lt;=20,"Alerta","Crítico")))))</f>
        <v/>
      </c>
      <c r="J737" s="20"/>
      <c r="K737" s="20"/>
    </row>
    <row r="738" customFormat="false" ht="15" hidden="false" customHeight="false" outlineLevel="0" collapsed="false">
      <c r="A738" s="21"/>
      <c r="B738" s="33" t="n">
        <f aca="false">IF($A738="",0,INT(($A738-Macrociclo!$C$11)/7)+1)</f>
        <v>0</v>
      </c>
      <c r="C738" s="20"/>
      <c r="D738" s="22"/>
      <c r="E738" s="22"/>
      <c r="F738" s="22"/>
      <c r="G738" s="22"/>
      <c r="H738" s="33" t="n">
        <f aca="false">IF(COUNT($D738:$G738)&lt;4,0,SUM($D738:$G738))</f>
        <v>0</v>
      </c>
      <c r="I738" s="19" t="str">
        <f aca="false">IF($H738=0,"",IF($H738&lt;=8,"Ótimo",IF($H738&lt;=12,"Bom",IF($H738&lt;=16,"Regular",IF($H738&lt;=20,"Alerta","Crítico")))))</f>
        <v/>
      </c>
      <c r="J738" s="20"/>
      <c r="K738" s="20"/>
    </row>
    <row r="739" customFormat="false" ht="15" hidden="false" customHeight="false" outlineLevel="0" collapsed="false">
      <c r="A739" s="21"/>
      <c r="B739" s="33" t="n">
        <f aca="false">IF($A739="",0,INT(($A739-Macrociclo!$C$11)/7)+1)</f>
        <v>0</v>
      </c>
      <c r="C739" s="20"/>
      <c r="D739" s="22"/>
      <c r="E739" s="22"/>
      <c r="F739" s="22"/>
      <c r="G739" s="22"/>
      <c r="H739" s="33" t="n">
        <f aca="false">IF(COUNT($D739:$G739)&lt;4,0,SUM($D739:$G739))</f>
        <v>0</v>
      </c>
      <c r="I739" s="19" t="str">
        <f aca="false">IF($H739=0,"",IF($H739&lt;=8,"Ótimo",IF($H739&lt;=12,"Bom",IF($H739&lt;=16,"Regular",IF($H739&lt;=20,"Alerta","Crítico")))))</f>
        <v/>
      </c>
      <c r="J739" s="20"/>
      <c r="K739" s="20"/>
    </row>
    <row r="740" customFormat="false" ht="15" hidden="false" customHeight="false" outlineLevel="0" collapsed="false">
      <c r="A740" s="21"/>
      <c r="B740" s="33" t="n">
        <f aca="false">IF($A740="",0,INT(($A740-Macrociclo!$C$11)/7)+1)</f>
        <v>0</v>
      </c>
      <c r="C740" s="20"/>
      <c r="D740" s="22"/>
      <c r="E740" s="22"/>
      <c r="F740" s="22"/>
      <c r="G740" s="22"/>
      <c r="H740" s="33" t="n">
        <f aca="false">IF(COUNT($D740:$G740)&lt;4,0,SUM($D740:$G740))</f>
        <v>0</v>
      </c>
      <c r="I740" s="19" t="str">
        <f aca="false">IF($H740=0,"",IF($H740&lt;=8,"Ótimo",IF($H740&lt;=12,"Bom",IF($H740&lt;=16,"Regular",IF($H740&lt;=20,"Alerta","Crítico")))))</f>
        <v/>
      </c>
      <c r="J740" s="20"/>
      <c r="K740" s="20"/>
    </row>
    <row r="741" customFormat="false" ht="15" hidden="false" customHeight="false" outlineLevel="0" collapsed="false">
      <c r="A741" s="21"/>
      <c r="B741" s="33" t="n">
        <f aca="false">IF($A741="",0,INT(($A741-Macrociclo!$C$11)/7)+1)</f>
        <v>0</v>
      </c>
      <c r="C741" s="20"/>
      <c r="D741" s="22"/>
      <c r="E741" s="22"/>
      <c r="F741" s="22"/>
      <c r="G741" s="22"/>
      <c r="H741" s="33" t="n">
        <f aca="false">IF(COUNT($D741:$G741)&lt;4,0,SUM($D741:$G741))</f>
        <v>0</v>
      </c>
      <c r="I741" s="19" t="str">
        <f aca="false">IF($H741=0,"",IF($H741&lt;=8,"Ótimo",IF($H741&lt;=12,"Bom",IF($H741&lt;=16,"Regular",IF($H741&lt;=20,"Alerta","Crítico")))))</f>
        <v/>
      </c>
      <c r="J741" s="20"/>
      <c r="K741" s="20"/>
    </row>
    <row r="742" customFormat="false" ht="15" hidden="false" customHeight="false" outlineLevel="0" collapsed="false">
      <c r="A742" s="21"/>
      <c r="B742" s="33" t="n">
        <f aca="false">IF($A742="",0,INT(($A742-Macrociclo!$C$11)/7)+1)</f>
        <v>0</v>
      </c>
      <c r="C742" s="20"/>
      <c r="D742" s="22"/>
      <c r="E742" s="22"/>
      <c r="F742" s="22"/>
      <c r="G742" s="22"/>
      <c r="H742" s="33" t="n">
        <f aca="false">IF(COUNT($D742:$G742)&lt;4,0,SUM($D742:$G742))</f>
        <v>0</v>
      </c>
      <c r="I742" s="19" t="str">
        <f aca="false">IF($H742=0,"",IF($H742&lt;=8,"Ótimo",IF($H742&lt;=12,"Bom",IF($H742&lt;=16,"Regular",IF($H742&lt;=20,"Alerta","Crítico")))))</f>
        <v/>
      </c>
      <c r="J742" s="20"/>
      <c r="K742" s="20"/>
    </row>
    <row r="743" customFormat="false" ht="15" hidden="false" customHeight="false" outlineLevel="0" collapsed="false">
      <c r="A743" s="21"/>
      <c r="B743" s="33" t="n">
        <f aca="false">IF($A743="",0,INT(($A743-Macrociclo!$C$11)/7)+1)</f>
        <v>0</v>
      </c>
      <c r="C743" s="20"/>
      <c r="D743" s="22"/>
      <c r="E743" s="22"/>
      <c r="F743" s="22"/>
      <c r="G743" s="22"/>
      <c r="H743" s="33" t="n">
        <f aca="false">IF(COUNT($D743:$G743)&lt;4,0,SUM($D743:$G743))</f>
        <v>0</v>
      </c>
      <c r="I743" s="19" t="str">
        <f aca="false">IF($H743=0,"",IF($H743&lt;=8,"Ótimo",IF($H743&lt;=12,"Bom",IF($H743&lt;=16,"Regular",IF($H743&lt;=20,"Alerta","Crítico")))))</f>
        <v/>
      </c>
      <c r="J743" s="20"/>
      <c r="K743" s="20"/>
    </row>
    <row r="744" customFormat="false" ht="15" hidden="false" customHeight="false" outlineLevel="0" collapsed="false">
      <c r="A744" s="21"/>
      <c r="B744" s="33" t="n">
        <f aca="false">IF($A744="",0,INT(($A744-Macrociclo!$C$11)/7)+1)</f>
        <v>0</v>
      </c>
      <c r="C744" s="20"/>
      <c r="D744" s="22"/>
      <c r="E744" s="22"/>
      <c r="F744" s="22"/>
      <c r="G744" s="22"/>
      <c r="H744" s="33" t="n">
        <f aca="false">IF(COUNT($D744:$G744)&lt;4,0,SUM($D744:$G744))</f>
        <v>0</v>
      </c>
      <c r="I744" s="19" t="str">
        <f aca="false">IF($H744=0,"",IF($H744&lt;=8,"Ótimo",IF($H744&lt;=12,"Bom",IF($H744&lt;=16,"Regular",IF($H744&lt;=20,"Alerta","Crítico")))))</f>
        <v/>
      </c>
      <c r="J744" s="20"/>
      <c r="K744" s="20"/>
    </row>
    <row r="745" customFormat="false" ht="15" hidden="false" customHeight="false" outlineLevel="0" collapsed="false">
      <c r="A745" s="21"/>
      <c r="B745" s="33" t="n">
        <f aca="false">IF($A745="",0,INT(($A745-Macrociclo!$C$11)/7)+1)</f>
        <v>0</v>
      </c>
      <c r="C745" s="20"/>
      <c r="D745" s="22"/>
      <c r="E745" s="22"/>
      <c r="F745" s="22"/>
      <c r="G745" s="22"/>
      <c r="H745" s="33" t="n">
        <f aca="false">IF(COUNT($D745:$G745)&lt;4,0,SUM($D745:$G745))</f>
        <v>0</v>
      </c>
      <c r="I745" s="19" t="str">
        <f aca="false">IF($H745=0,"",IF($H745&lt;=8,"Ótimo",IF($H745&lt;=12,"Bom",IF($H745&lt;=16,"Regular",IF($H745&lt;=20,"Alerta","Crítico")))))</f>
        <v/>
      </c>
      <c r="J745" s="20"/>
      <c r="K745" s="20"/>
    </row>
    <row r="746" customFormat="false" ht="15" hidden="false" customHeight="false" outlineLevel="0" collapsed="false">
      <c r="A746" s="21"/>
      <c r="B746" s="33" t="n">
        <f aca="false">IF($A746="",0,INT(($A746-Macrociclo!$C$11)/7)+1)</f>
        <v>0</v>
      </c>
      <c r="C746" s="20"/>
      <c r="D746" s="22"/>
      <c r="E746" s="22"/>
      <c r="F746" s="22"/>
      <c r="G746" s="22"/>
      <c r="H746" s="33" t="n">
        <f aca="false">IF(COUNT($D746:$G746)&lt;4,0,SUM($D746:$G746))</f>
        <v>0</v>
      </c>
      <c r="I746" s="19" t="str">
        <f aca="false">IF($H746=0,"",IF($H746&lt;=8,"Ótimo",IF($H746&lt;=12,"Bom",IF($H746&lt;=16,"Regular",IF($H746&lt;=20,"Alerta","Crítico")))))</f>
        <v/>
      </c>
      <c r="J746" s="20"/>
      <c r="K746" s="20"/>
    </row>
    <row r="747" customFormat="false" ht="15" hidden="false" customHeight="false" outlineLevel="0" collapsed="false">
      <c r="A747" s="21"/>
      <c r="B747" s="33" t="n">
        <f aca="false">IF($A747="",0,INT(($A747-Macrociclo!$C$11)/7)+1)</f>
        <v>0</v>
      </c>
      <c r="C747" s="20"/>
      <c r="D747" s="22"/>
      <c r="E747" s="22"/>
      <c r="F747" s="22"/>
      <c r="G747" s="22"/>
      <c r="H747" s="33" t="n">
        <f aca="false">IF(COUNT($D747:$G747)&lt;4,0,SUM($D747:$G747))</f>
        <v>0</v>
      </c>
      <c r="I747" s="19" t="str">
        <f aca="false">IF($H747=0,"",IF($H747&lt;=8,"Ótimo",IF($H747&lt;=12,"Bom",IF($H747&lt;=16,"Regular",IF($H747&lt;=20,"Alerta","Crítico")))))</f>
        <v/>
      </c>
      <c r="J747" s="20"/>
      <c r="K747" s="20"/>
    </row>
    <row r="748" customFormat="false" ht="15" hidden="false" customHeight="false" outlineLevel="0" collapsed="false">
      <c r="A748" s="21"/>
      <c r="B748" s="33" t="n">
        <f aca="false">IF($A748="",0,INT(($A748-Macrociclo!$C$11)/7)+1)</f>
        <v>0</v>
      </c>
      <c r="C748" s="20"/>
      <c r="D748" s="22"/>
      <c r="E748" s="22"/>
      <c r="F748" s="22"/>
      <c r="G748" s="22"/>
      <c r="H748" s="33" t="n">
        <f aca="false">IF(COUNT($D748:$G748)&lt;4,0,SUM($D748:$G748))</f>
        <v>0</v>
      </c>
      <c r="I748" s="19" t="str">
        <f aca="false">IF($H748=0,"",IF($H748&lt;=8,"Ótimo",IF($H748&lt;=12,"Bom",IF($H748&lt;=16,"Regular",IF($H748&lt;=20,"Alerta","Crítico")))))</f>
        <v/>
      </c>
      <c r="J748" s="20"/>
      <c r="K748" s="20"/>
    </row>
    <row r="749" customFormat="false" ht="15" hidden="false" customHeight="false" outlineLevel="0" collapsed="false">
      <c r="A749" s="21"/>
      <c r="B749" s="33" t="n">
        <f aca="false">IF($A749="",0,INT(($A749-Macrociclo!$C$11)/7)+1)</f>
        <v>0</v>
      </c>
      <c r="C749" s="20"/>
      <c r="D749" s="22"/>
      <c r="E749" s="22"/>
      <c r="F749" s="22"/>
      <c r="G749" s="22"/>
      <c r="H749" s="33" t="n">
        <f aca="false">IF(COUNT($D749:$G749)&lt;4,0,SUM($D749:$G749))</f>
        <v>0</v>
      </c>
      <c r="I749" s="19" t="str">
        <f aca="false">IF($H749=0,"",IF($H749&lt;=8,"Ótimo",IF($H749&lt;=12,"Bom",IF($H749&lt;=16,"Regular",IF($H749&lt;=20,"Alerta","Crítico")))))</f>
        <v/>
      </c>
      <c r="J749" s="20"/>
      <c r="K749" s="20"/>
    </row>
    <row r="750" customFormat="false" ht="15" hidden="false" customHeight="false" outlineLevel="0" collapsed="false">
      <c r="A750" s="21"/>
      <c r="B750" s="33" t="n">
        <f aca="false">IF($A750="",0,INT(($A750-Macrociclo!$C$11)/7)+1)</f>
        <v>0</v>
      </c>
      <c r="C750" s="20"/>
      <c r="D750" s="22"/>
      <c r="E750" s="22"/>
      <c r="F750" s="22"/>
      <c r="G750" s="22"/>
      <c r="H750" s="33" t="n">
        <f aca="false">IF(COUNT($D750:$G750)&lt;4,0,SUM($D750:$G750))</f>
        <v>0</v>
      </c>
      <c r="I750" s="19" t="str">
        <f aca="false">IF($H750=0,"",IF($H750&lt;=8,"Ótimo",IF($H750&lt;=12,"Bom",IF($H750&lt;=16,"Regular",IF($H750&lt;=20,"Alerta","Crítico")))))</f>
        <v/>
      </c>
      <c r="J750" s="20"/>
      <c r="K750" s="20"/>
    </row>
    <row r="751" customFormat="false" ht="15" hidden="false" customHeight="false" outlineLevel="0" collapsed="false">
      <c r="A751" s="21"/>
      <c r="B751" s="33" t="n">
        <f aca="false">IF($A751="",0,INT(($A751-Macrociclo!$C$11)/7)+1)</f>
        <v>0</v>
      </c>
      <c r="C751" s="20"/>
      <c r="D751" s="22"/>
      <c r="E751" s="22"/>
      <c r="F751" s="22"/>
      <c r="G751" s="22"/>
      <c r="H751" s="33" t="n">
        <f aca="false">IF(COUNT($D751:$G751)&lt;4,0,SUM($D751:$G751))</f>
        <v>0</v>
      </c>
      <c r="I751" s="19" t="str">
        <f aca="false">IF($H751=0,"",IF($H751&lt;=8,"Ótimo",IF($H751&lt;=12,"Bom",IF($H751&lt;=16,"Regular",IF($H751&lt;=20,"Alerta","Crítico")))))</f>
        <v/>
      </c>
      <c r="J751" s="20"/>
      <c r="K751" s="20"/>
    </row>
    <row r="752" customFormat="false" ht="15" hidden="false" customHeight="false" outlineLevel="0" collapsed="false">
      <c r="A752" s="21"/>
      <c r="B752" s="33" t="n">
        <f aca="false">IF($A752="",0,INT(($A752-Macrociclo!$C$11)/7)+1)</f>
        <v>0</v>
      </c>
      <c r="C752" s="20"/>
      <c r="D752" s="22"/>
      <c r="E752" s="22"/>
      <c r="F752" s="22"/>
      <c r="G752" s="22"/>
      <c r="H752" s="33" t="n">
        <f aca="false">IF(COUNT($D752:$G752)&lt;4,0,SUM($D752:$G752))</f>
        <v>0</v>
      </c>
      <c r="I752" s="19" t="str">
        <f aca="false">IF($H752=0,"",IF($H752&lt;=8,"Ótimo",IF($H752&lt;=12,"Bom",IF($H752&lt;=16,"Regular",IF($H752&lt;=20,"Alerta","Crítico")))))</f>
        <v/>
      </c>
      <c r="J752" s="20"/>
      <c r="K752" s="20"/>
    </row>
    <row r="753" customFormat="false" ht="15" hidden="false" customHeight="false" outlineLevel="0" collapsed="false">
      <c r="A753" s="21"/>
      <c r="B753" s="33" t="n">
        <f aca="false">IF($A753="",0,INT(($A753-Macrociclo!$C$11)/7)+1)</f>
        <v>0</v>
      </c>
      <c r="C753" s="20"/>
      <c r="D753" s="22"/>
      <c r="E753" s="22"/>
      <c r="F753" s="22"/>
      <c r="G753" s="22"/>
      <c r="H753" s="33" t="n">
        <f aca="false">IF(COUNT($D753:$G753)&lt;4,0,SUM($D753:$G753))</f>
        <v>0</v>
      </c>
      <c r="I753" s="19" t="str">
        <f aca="false">IF($H753=0,"",IF($H753&lt;=8,"Ótimo",IF($H753&lt;=12,"Bom",IF($H753&lt;=16,"Regular",IF($H753&lt;=20,"Alerta","Crítico")))))</f>
        <v/>
      </c>
      <c r="J753" s="20"/>
      <c r="K753" s="20"/>
    </row>
    <row r="754" customFormat="false" ht="15" hidden="false" customHeight="false" outlineLevel="0" collapsed="false">
      <c r="A754" s="21"/>
      <c r="B754" s="33" t="n">
        <f aca="false">IF($A754="",0,INT(($A754-Macrociclo!$C$11)/7)+1)</f>
        <v>0</v>
      </c>
      <c r="C754" s="20"/>
      <c r="D754" s="22"/>
      <c r="E754" s="22"/>
      <c r="F754" s="22"/>
      <c r="G754" s="22"/>
      <c r="H754" s="33" t="n">
        <f aca="false">IF(COUNT($D754:$G754)&lt;4,0,SUM($D754:$G754))</f>
        <v>0</v>
      </c>
      <c r="I754" s="19" t="str">
        <f aca="false">IF($H754=0,"",IF($H754&lt;=8,"Ótimo",IF($H754&lt;=12,"Bom",IF($H754&lt;=16,"Regular",IF($H754&lt;=20,"Alerta","Crítico")))))</f>
        <v/>
      </c>
      <c r="J754" s="20"/>
      <c r="K754" s="20"/>
    </row>
    <row r="755" customFormat="false" ht="15" hidden="false" customHeight="false" outlineLevel="0" collapsed="false">
      <c r="A755" s="21"/>
      <c r="B755" s="33" t="n">
        <f aca="false">IF($A755="",0,INT(($A755-Macrociclo!$C$11)/7)+1)</f>
        <v>0</v>
      </c>
      <c r="C755" s="20"/>
      <c r="D755" s="22"/>
      <c r="E755" s="22"/>
      <c r="F755" s="22"/>
      <c r="G755" s="22"/>
      <c r="H755" s="33" t="n">
        <f aca="false">IF(COUNT($D755:$G755)&lt;4,0,SUM($D755:$G755))</f>
        <v>0</v>
      </c>
      <c r="I755" s="19" t="str">
        <f aca="false">IF($H755=0,"",IF($H755&lt;=8,"Ótimo",IF($H755&lt;=12,"Bom",IF($H755&lt;=16,"Regular",IF($H755&lt;=20,"Alerta","Crítico")))))</f>
        <v/>
      </c>
      <c r="J755" s="20"/>
      <c r="K755" s="20"/>
    </row>
    <row r="756" customFormat="false" ht="15" hidden="false" customHeight="false" outlineLevel="0" collapsed="false">
      <c r="A756" s="21"/>
      <c r="B756" s="33" t="n">
        <f aca="false">IF($A756="",0,INT(($A756-Macrociclo!$C$11)/7)+1)</f>
        <v>0</v>
      </c>
      <c r="C756" s="20"/>
      <c r="D756" s="22"/>
      <c r="E756" s="22"/>
      <c r="F756" s="22"/>
      <c r="G756" s="22"/>
      <c r="H756" s="33" t="n">
        <f aca="false">IF(COUNT($D756:$G756)&lt;4,0,SUM($D756:$G756))</f>
        <v>0</v>
      </c>
      <c r="I756" s="19" t="str">
        <f aca="false">IF($H756=0,"",IF($H756&lt;=8,"Ótimo",IF($H756&lt;=12,"Bom",IF($H756&lt;=16,"Regular",IF($H756&lt;=20,"Alerta","Crítico")))))</f>
        <v/>
      </c>
      <c r="J756" s="20"/>
      <c r="K756" s="20"/>
    </row>
    <row r="757" customFormat="false" ht="15" hidden="false" customHeight="false" outlineLevel="0" collapsed="false">
      <c r="A757" s="21"/>
      <c r="B757" s="33" t="n">
        <f aca="false">IF($A757="",0,INT(($A757-Macrociclo!$C$11)/7)+1)</f>
        <v>0</v>
      </c>
      <c r="C757" s="20"/>
      <c r="D757" s="22"/>
      <c r="E757" s="22"/>
      <c r="F757" s="22"/>
      <c r="G757" s="22"/>
      <c r="H757" s="33" t="n">
        <f aca="false">IF(COUNT($D757:$G757)&lt;4,0,SUM($D757:$G757))</f>
        <v>0</v>
      </c>
      <c r="I757" s="19" t="str">
        <f aca="false">IF($H757=0,"",IF($H757&lt;=8,"Ótimo",IF($H757&lt;=12,"Bom",IF($H757&lt;=16,"Regular",IF($H757&lt;=20,"Alerta","Crítico")))))</f>
        <v/>
      </c>
      <c r="J757" s="20"/>
      <c r="K757" s="20"/>
    </row>
    <row r="758" customFormat="false" ht="15" hidden="false" customHeight="false" outlineLevel="0" collapsed="false">
      <c r="A758" s="21"/>
      <c r="B758" s="33" t="n">
        <f aca="false">IF($A758="",0,INT(($A758-Macrociclo!$C$11)/7)+1)</f>
        <v>0</v>
      </c>
      <c r="C758" s="20"/>
      <c r="D758" s="22"/>
      <c r="E758" s="22"/>
      <c r="F758" s="22"/>
      <c r="G758" s="22"/>
      <c r="H758" s="33" t="n">
        <f aca="false">IF(COUNT($D758:$G758)&lt;4,0,SUM($D758:$G758))</f>
        <v>0</v>
      </c>
      <c r="I758" s="19" t="str">
        <f aca="false">IF($H758=0,"",IF($H758&lt;=8,"Ótimo",IF($H758&lt;=12,"Bom",IF($H758&lt;=16,"Regular",IF($H758&lt;=20,"Alerta","Crítico")))))</f>
        <v/>
      </c>
      <c r="J758" s="20"/>
      <c r="K758" s="20"/>
    </row>
    <row r="759" customFormat="false" ht="15" hidden="false" customHeight="false" outlineLevel="0" collapsed="false">
      <c r="A759" s="21"/>
      <c r="B759" s="33" t="n">
        <f aca="false">IF($A759="",0,INT(($A759-Macrociclo!$C$11)/7)+1)</f>
        <v>0</v>
      </c>
      <c r="C759" s="20"/>
      <c r="D759" s="22"/>
      <c r="E759" s="22"/>
      <c r="F759" s="22"/>
      <c r="G759" s="22"/>
      <c r="H759" s="33" t="n">
        <f aca="false">IF(COUNT($D759:$G759)&lt;4,0,SUM($D759:$G759))</f>
        <v>0</v>
      </c>
      <c r="I759" s="19" t="str">
        <f aca="false">IF($H759=0,"",IF($H759&lt;=8,"Ótimo",IF($H759&lt;=12,"Bom",IF($H759&lt;=16,"Regular",IF($H759&lt;=20,"Alerta","Crítico")))))</f>
        <v/>
      </c>
      <c r="J759" s="20"/>
      <c r="K759" s="20"/>
    </row>
    <row r="760" customFormat="false" ht="15" hidden="false" customHeight="false" outlineLevel="0" collapsed="false">
      <c r="A760" s="21"/>
      <c r="B760" s="33" t="n">
        <f aca="false">IF($A760="",0,INT(($A760-Macrociclo!$C$11)/7)+1)</f>
        <v>0</v>
      </c>
      <c r="C760" s="20"/>
      <c r="D760" s="22"/>
      <c r="E760" s="22"/>
      <c r="F760" s="22"/>
      <c r="G760" s="22"/>
      <c r="H760" s="33" t="n">
        <f aca="false">IF(COUNT($D760:$G760)&lt;4,0,SUM($D760:$G760))</f>
        <v>0</v>
      </c>
      <c r="I760" s="19" t="str">
        <f aca="false">IF($H760=0,"",IF($H760&lt;=8,"Ótimo",IF($H760&lt;=12,"Bom",IF($H760&lt;=16,"Regular",IF($H760&lt;=20,"Alerta","Crítico")))))</f>
        <v/>
      </c>
      <c r="J760" s="20"/>
      <c r="K760" s="20"/>
    </row>
    <row r="761" customFormat="false" ht="15" hidden="false" customHeight="false" outlineLevel="0" collapsed="false">
      <c r="A761" s="21"/>
      <c r="B761" s="33" t="n">
        <f aca="false">IF($A761="",0,INT(($A761-Macrociclo!$C$11)/7)+1)</f>
        <v>0</v>
      </c>
      <c r="C761" s="20"/>
      <c r="D761" s="22"/>
      <c r="E761" s="22"/>
      <c r="F761" s="22"/>
      <c r="G761" s="22"/>
      <c r="H761" s="33" t="n">
        <f aca="false">IF(COUNT($D761:$G761)&lt;4,0,SUM($D761:$G761))</f>
        <v>0</v>
      </c>
      <c r="I761" s="19" t="str">
        <f aca="false">IF($H761=0,"",IF($H761&lt;=8,"Ótimo",IF($H761&lt;=12,"Bom",IF($H761&lt;=16,"Regular",IF($H761&lt;=20,"Alerta","Crítico")))))</f>
        <v/>
      </c>
      <c r="J761" s="20"/>
      <c r="K761" s="20"/>
    </row>
    <row r="762" customFormat="false" ht="15" hidden="false" customHeight="false" outlineLevel="0" collapsed="false">
      <c r="A762" s="21"/>
      <c r="B762" s="33" t="n">
        <f aca="false">IF($A762="",0,INT(($A762-Macrociclo!$C$11)/7)+1)</f>
        <v>0</v>
      </c>
      <c r="C762" s="20"/>
      <c r="D762" s="22"/>
      <c r="E762" s="22"/>
      <c r="F762" s="22"/>
      <c r="G762" s="22"/>
      <c r="H762" s="33" t="n">
        <f aca="false">IF(COUNT($D762:$G762)&lt;4,0,SUM($D762:$G762))</f>
        <v>0</v>
      </c>
      <c r="I762" s="19" t="str">
        <f aca="false">IF($H762=0,"",IF($H762&lt;=8,"Ótimo",IF($H762&lt;=12,"Bom",IF($H762&lt;=16,"Regular",IF($H762&lt;=20,"Alerta","Crítico")))))</f>
        <v/>
      </c>
      <c r="J762" s="20"/>
      <c r="K762" s="20"/>
    </row>
    <row r="763" customFormat="false" ht="15" hidden="false" customHeight="false" outlineLevel="0" collapsed="false">
      <c r="A763" s="21"/>
      <c r="B763" s="33" t="n">
        <f aca="false">IF($A763="",0,INT(($A763-Macrociclo!$C$11)/7)+1)</f>
        <v>0</v>
      </c>
      <c r="C763" s="20"/>
      <c r="D763" s="22"/>
      <c r="E763" s="22"/>
      <c r="F763" s="22"/>
      <c r="G763" s="22"/>
      <c r="H763" s="33" t="n">
        <f aca="false">IF(COUNT($D763:$G763)&lt;4,0,SUM($D763:$G763))</f>
        <v>0</v>
      </c>
      <c r="I763" s="19" t="str">
        <f aca="false">IF($H763=0,"",IF($H763&lt;=8,"Ótimo",IF($H763&lt;=12,"Bom",IF($H763&lt;=16,"Regular",IF($H763&lt;=20,"Alerta","Crítico")))))</f>
        <v/>
      </c>
      <c r="J763" s="20"/>
      <c r="K763" s="20"/>
    </row>
    <row r="764" customFormat="false" ht="15" hidden="false" customHeight="false" outlineLevel="0" collapsed="false">
      <c r="A764" s="21"/>
      <c r="B764" s="33" t="n">
        <f aca="false">IF($A764="",0,INT(($A764-Macrociclo!$C$11)/7)+1)</f>
        <v>0</v>
      </c>
      <c r="C764" s="20"/>
      <c r="D764" s="22"/>
      <c r="E764" s="22"/>
      <c r="F764" s="22"/>
      <c r="G764" s="22"/>
      <c r="H764" s="33" t="n">
        <f aca="false">IF(COUNT($D764:$G764)&lt;4,0,SUM($D764:$G764))</f>
        <v>0</v>
      </c>
      <c r="I764" s="19" t="str">
        <f aca="false">IF($H764=0,"",IF($H764&lt;=8,"Ótimo",IF($H764&lt;=12,"Bom",IF($H764&lt;=16,"Regular",IF($H764&lt;=20,"Alerta","Crítico")))))</f>
        <v/>
      </c>
      <c r="J764" s="20"/>
      <c r="K764" s="20"/>
    </row>
    <row r="765" customFormat="false" ht="15" hidden="false" customHeight="false" outlineLevel="0" collapsed="false">
      <c r="A765" s="21"/>
      <c r="B765" s="33" t="n">
        <f aca="false">IF($A765="",0,INT(($A765-Macrociclo!$C$11)/7)+1)</f>
        <v>0</v>
      </c>
      <c r="C765" s="20"/>
      <c r="D765" s="22"/>
      <c r="E765" s="22"/>
      <c r="F765" s="22"/>
      <c r="G765" s="22"/>
      <c r="H765" s="33" t="n">
        <f aca="false">IF(COUNT($D765:$G765)&lt;4,0,SUM($D765:$G765))</f>
        <v>0</v>
      </c>
      <c r="I765" s="19" t="str">
        <f aca="false">IF($H765=0,"",IF($H765&lt;=8,"Ótimo",IF($H765&lt;=12,"Bom",IF($H765&lt;=16,"Regular",IF($H765&lt;=20,"Alerta","Crítico")))))</f>
        <v/>
      </c>
      <c r="J765" s="20"/>
      <c r="K765" s="20"/>
    </row>
    <row r="766" customFormat="false" ht="15" hidden="false" customHeight="false" outlineLevel="0" collapsed="false">
      <c r="A766" s="21"/>
      <c r="B766" s="33" t="n">
        <f aca="false">IF($A766="",0,INT(($A766-Macrociclo!$C$11)/7)+1)</f>
        <v>0</v>
      </c>
      <c r="C766" s="20"/>
      <c r="D766" s="22"/>
      <c r="E766" s="22"/>
      <c r="F766" s="22"/>
      <c r="G766" s="22"/>
      <c r="H766" s="33" t="n">
        <f aca="false">IF(COUNT($D766:$G766)&lt;4,0,SUM($D766:$G766))</f>
        <v>0</v>
      </c>
      <c r="I766" s="19" t="str">
        <f aca="false">IF($H766=0,"",IF($H766&lt;=8,"Ótimo",IF($H766&lt;=12,"Bom",IF($H766&lt;=16,"Regular",IF($H766&lt;=20,"Alerta","Crítico")))))</f>
        <v/>
      </c>
      <c r="J766" s="20"/>
      <c r="K766" s="20"/>
    </row>
    <row r="767" customFormat="false" ht="15" hidden="false" customHeight="false" outlineLevel="0" collapsed="false">
      <c r="A767" s="21"/>
      <c r="B767" s="33" t="n">
        <f aca="false">IF($A767="",0,INT(($A767-Macrociclo!$C$11)/7)+1)</f>
        <v>0</v>
      </c>
      <c r="C767" s="20"/>
      <c r="D767" s="22"/>
      <c r="E767" s="22"/>
      <c r="F767" s="22"/>
      <c r="G767" s="22"/>
      <c r="H767" s="33" t="n">
        <f aca="false">IF(COUNT($D767:$G767)&lt;4,0,SUM($D767:$G767))</f>
        <v>0</v>
      </c>
      <c r="I767" s="19" t="str">
        <f aca="false">IF($H767=0,"",IF($H767&lt;=8,"Ótimo",IF($H767&lt;=12,"Bom",IF($H767&lt;=16,"Regular",IF($H767&lt;=20,"Alerta","Crítico")))))</f>
        <v/>
      </c>
      <c r="J767" s="20"/>
      <c r="K767" s="20"/>
    </row>
    <row r="768" customFormat="false" ht="15" hidden="false" customHeight="false" outlineLevel="0" collapsed="false">
      <c r="A768" s="21"/>
      <c r="B768" s="33" t="n">
        <f aca="false">IF($A768="",0,INT(($A768-Macrociclo!$C$11)/7)+1)</f>
        <v>0</v>
      </c>
      <c r="C768" s="20"/>
      <c r="D768" s="22"/>
      <c r="E768" s="22"/>
      <c r="F768" s="22"/>
      <c r="G768" s="22"/>
      <c r="H768" s="33" t="n">
        <f aca="false">IF(COUNT($D768:$G768)&lt;4,0,SUM($D768:$G768))</f>
        <v>0</v>
      </c>
      <c r="I768" s="19" t="str">
        <f aca="false">IF($H768=0,"",IF($H768&lt;=8,"Ótimo",IF($H768&lt;=12,"Bom",IF($H768&lt;=16,"Regular",IF($H768&lt;=20,"Alerta","Crítico")))))</f>
        <v/>
      </c>
      <c r="J768" s="20"/>
      <c r="K768" s="20"/>
    </row>
    <row r="769" customFormat="false" ht="15" hidden="false" customHeight="false" outlineLevel="0" collapsed="false">
      <c r="A769" s="21"/>
      <c r="B769" s="33" t="n">
        <f aca="false">IF($A769="",0,INT(($A769-Macrociclo!$C$11)/7)+1)</f>
        <v>0</v>
      </c>
      <c r="C769" s="20"/>
      <c r="D769" s="22"/>
      <c r="E769" s="22"/>
      <c r="F769" s="22"/>
      <c r="G769" s="22"/>
      <c r="H769" s="33" t="n">
        <f aca="false">IF(COUNT($D769:$G769)&lt;4,0,SUM($D769:$G769))</f>
        <v>0</v>
      </c>
      <c r="I769" s="19" t="str">
        <f aca="false">IF($H769=0,"",IF($H769&lt;=8,"Ótimo",IF($H769&lt;=12,"Bom",IF($H769&lt;=16,"Regular",IF($H769&lt;=20,"Alerta","Crítico")))))</f>
        <v/>
      </c>
      <c r="J769" s="20"/>
      <c r="K769" s="20"/>
    </row>
    <row r="770" customFormat="false" ht="15" hidden="false" customHeight="false" outlineLevel="0" collapsed="false">
      <c r="A770" s="21"/>
      <c r="B770" s="33" t="n">
        <f aca="false">IF($A770="",0,INT(($A770-Macrociclo!$C$11)/7)+1)</f>
        <v>0</v>
      </c>
      <c r="C770" s="20"/>
      <c r="D770" s="22"/>
      <c r="E770" s="22"/>
      <c r="F770" s="22"/>
      <c r="G770" s="22"/>
      <c r="H770" s="33" t="n">
        <f aca="false">IF(COUNT($D770:$G770)&lt;4,0,SUM($D770:$G770))</f>
        <v>0</v>
      </c>
      <c r="I770" s="19" t="str">
        <f aca="false">IF($H770=0,"",IF($H770&lt;=8,"Ótimo",IF($H770&lt;=12,"Bom",IF($H770&lt;=16,"Regular",IF($H770&lt;=20,"Alerta","Crítico")))))</f>
        <v/>
      </c>
      <c r="J770" s="20"/>
      <c r="K770" s="20"/>
    </row>
    <row r="771" customFormat="false" ht="15" hidden="false" customHeight="false" outlineLevel="0" collapsed="false">
      <c r="A771" s="21"/>
      <c r="B771" s="33" t="n">
        <f aca="false">IF($A771="",0,INT(($A771-Macrociclo!$C$11)/7)+1)</f>
        <v>0</v>
      </c>
      <c r="C771" s="20"/>
      <c r="D771" s="22"/>
      <c r="E771" s="22"/>
      <c r="F771" s="22"/>
      <c r="G771" s="22"/>
      <c r="H771" s="33" t="n">
        <f aca="false">IF(COUNT($D771:$G771)&lt;4,0,SUM($D771:$G771))</f>
        <v>0</v>
      </c>
      <c r="I771" s="19" t="str">
        <f aca="false">IF($H771=0,"",IF($H771&lt;=8,"Ótimo",IF($H771&lt;=12,"Bom",IF($H771&lt;=16,"Regular",IF($H771&lt;=20,"Alerta","Crítico")))))</f>
        <v/>
      </c>
      <c r="J771" s="20"/>
      <c r="K771" s="20"/>
    </row>
    <row r="772" customFormat="false" ht="15" hidden="false" customHeight="false" outlineLevel="0" collapsed="false">
      <c r="A772" s="21"/>
      <c r="B772" s="33" t="n">
        <f aca="false">IF($A772="",0,INT(($A772-Macrociclo!$C$11)/7)+1)</f>
        <v>0</v>
      </c>
      <c r="C772" s="20"/>
      <c r="D772" s="22"/>
      <c r="E772" s="22"/>
      <c r="F772" s="22"/>
      <c r="G772" s="22"/>
      <c r="H772" s="33" t="n">
        <f aca="false">IF(COUNT($D772:$G772)&lt;4,0,SUM($D772:$G772))</f>
        <v>0</v>
      </c>
      <c r="I772" s="19" t="str">
        <f aca="false">IF($H772=0,"",IF($H772&lt;=8,"Ótimo",IF($H772&lt;=12,"Bom",IF($H772&lt;=16,"Regular",IF($H772&lt;=20,"Alerta","Crítico")))))</f>
        <v/>
      </c>
      <c r="J772" s="20"/>
      <c r="K772" s="20"/>
    </row>
    <row r="773" customFormat="false" ht="15" hidden="false" customHeight="false" outlineLevel="0" collapsed="false">
      <c r="A773" s="21"/>
      <c r="B773" s="33" t="n">
        <f aca="false">IF($A773="",0,INT(($A773-Macrociclo!$C$11)/7)+1)</f>
        <v>0</v>
      </c>
      <c r="C773" s="20"/>
      <c r="D773" s="22"/>
      <c r="E773" s="22"/>
      <c r="F773" s="22"/>
      <c r="G773" s="22"/>
      <c r="H773" s="33" t="n">
        <f aca="false">IF(COUNT($D773:$G773)&lt;4,0,SUM($D773:$G773))</f>
        <v>0</v>
      </c>
      <c r="I773" s="19" t="str">
        <f aca="false">IF($H773=0,"",IF($H773&lt;=8,"Ótimo",IF($H773&lt;=12,"Bom",IF($H773&lt;=16,"Regular",IF($H773&lt;=20,"Alerta","Crítico")))))</f>
        <v/>
      </c>
      <c r="J773" s="20"/>
      <c r="K773" s="20"/>
    </row>
    <row r="774" customFormat="false" ht="15" hidden="false" customHeight="false" outlineLevel="0" collapsed="false">
      <c r="A774" s="21"/>
      <c r="B774" s="33" t="n">
        <f aca="false">IF($A774="",0,INT(($A774-Macrociclo!$C$11)/7)+1)</f>
        <v>0</v>
      </c>
      <c r="C774" s="20"/>
      <c r="D774" s="22"/>
      <c r="E774" s="22"/>
      <c r="F774" s="22"/>
      <c r="G774" s="22"/>
      <c r="H774" s="33" t="n">
        <f aca="false">IF(COUNT($D774:$G774)&lt;4,0,SUM($D774:$G774))</f>
        <v>0</v>
      </c>
      <c r="I774" s="19" t="str">
        <f aca="false">IF($H774=0,"",IF($H774&lt;=8,"Ótimo",IF($H774&lt;=12,"Bom",IF($H774&lt;=16,"Regular",IF($H774&lt;=20,"Alerta","Crítico")))))</f>
        <v/>
      </c>
      <c r="J774" s="20"/>
      <c r="K774" s="20"/>
    </row>
    <row r="775" customFormat="false" ht="15" hidden="false" customHeight="false" outlineLevel="0" collapsed="false">
      <c r="A775" s="21"/>
      <c r="B775" s="33" t="n">
        <f aca="false">IF($A775="",0,INT(($A775-Macrociclo!$C$11)/7)+1)</f>
        <v>0</v>
      </c>
      <c r="C775" s="20"/>
      <c r="D775" s="22"/>
      <c r="E775" s="22"/>
      <c r="F775" s="22"/>
      <c r="G775" s="22"/>
      <c r="H775" s="33" t="n">
        <f aca="false">IF(COUNT($D775:$G775)&lt;4,0,SUM($D775:$G775))</f>
        <v>0</v>
      </c>
      <c r="I775" s="19" t="str">
        <f aca="false">IF($H775=0,"",IF($H775&lt;=8,"Ótimo",IF($H775&lt;=12,"Bom",IF($H775&lt;=16,"Regular",IF($H775&lt;=20,"Alerta","Crítico")))))</f>
        <v/>
      </c>
      <c r="J775" s="20"/>
      <c r="K775" s="20"/>
    </row>
    <row r="776" customFormat="false" ht="15" hidden="false" customHeight="false" outlineLevel="0" collapsed="false">
      <c r="A776" s="21"/>
      <c r="B776" s="33" t="n">
        <f aca="false">IF($A776="",0,INT(($A776-Macrociclo!$C$11)/7)+1)</f>
        <v>0</v>
      </c>
      <c r="C776" s="20"/>
      <c r="D776" s="22"/>
      <c r="E776" s="22"/>
      <c r="F776" s="22"/>
      <c r="G776" s="22"/>
      <c r="H776" s="33" t="n">
        <f aca="false">IF(COUNT($D776:$G776)&lt;4,0,SUM($D776:$G776))</f>
        <v>0</v>
      </c>
      <c r="I776" s="19" t="str">
        <f aca="false">IF($H776=0,"",IF($H776&lt;=8,"Ótimo",IF($H776&lt;=12,"Bom",IF($H776&lt;=16,"Regular",IF($H776&lt;=20,"Alerta","Crítico")))))</f>
        <v/>
      </c>
      <c r="J776" s="20"/>
      <c r="K776" s="20"/>
    </row>
    <row r="777" customFormat="false" ht="15" hidden="false" customHeight="false" outlineLevel="0" collapsed="false">
      <c r="A777" s="21"/>
      <c r="B777" s="33" t="n">
        <f aca="false">IF($A777="",0,INT(($A777-Macrociclo!$C$11)/7)+1)</f>
        <v>0</v>
      </c>
      <c r="C777" s="20"/>
      <c r="D777" s="22"/>
      <c r="E777" s="22"/>
      <c r="F777" s="22"/>
      <c r="G777" s="22"/>
      <c r="H777" s="33" t="n">
        <f aca="false">IF(COUNT($D777:$G777)&lt;4,0,SUM($D777:$G777))</f>
        <v>0</v>
      </c>
      <c r="I777" s="19" t="str">
        <f aca="false">IF($H777=0,"",IF($H777&lt;=8,"Ótimo",IF($H777&lt;=12,"Bom",IF($H777&lt;=16,"Regular",IF($H777&lt;=20,"Alerta","Crítico")))))</f>
        <v/>
      </c>
      <c r="J777" s="20"/>
      <c r="K777" s="20"/>
    </row>
    <row r="778" customFormat="false" ht="15" hidden="false" customHeight="false" outlineLevel="0" collapsed="false">
      <c r="A778" s="21"/>
      <c r="B778" s="33" t="n">
        <f aca="false">IF($A778="",0,INT(($A778-Macrociclo!$C$11)/7)+1)</f>
        <v>0</v>
      </c>
      <c r="C778" s="20"/>
      <c r="D778" s="22"/>
      <c r="E778" s="22"/>
      <c r="F778" s="22"/>
      <c r="G778" s="22"/>
      <c r="H778" s="33" t="n">
        <f aca="false">IF(COUNT($D778:$G778)&lt;4,0,SUM($D778:$G778))</f>
        <v>0</v>
      </c>
      <c r="I778" s="19" t="str">
        <f aca="false">IF($H778=0,"",IF($H778&lt;=8,"Ótimo",IF($H778&lt;=12,"Bom",IF($H778&lt;=16,"Regular",IF($H778&lt;=20,"Alerta","Crítico")))))</f>
        <v/>
      </c>
      <c r="J778" s="20"/>
      <c r="K778" s="20"/>
    </row>
    <row r="779" customFormat="false" ht="15" hidden="false" customHeight="false" outlineLevel="0" collapsed="false">
      <c r="A779" s="21"/>
      <c r="B779" s="33" t="n">
        <f aca="false">IF($A779="",0,INT(($A779-Macrociclo!$C$11)/7)+1)</f>
        <v>0</v>
      </c>
      <c r="C779" s="20"/>
      <c r="D779" s="22"/>
      <c r="E779" s="22"/>
      <c r="F779" s="22"/>
      <c r="G779" s="22"/>
      <c r="H779" s="33" t="n">
        <f aca="false">IF(COUNT($D779:$G779)&lt;4,0,SUM($D779:$G779))</f>
        <v>0</v>
      </c>
      <c r="I779" s="19" t="str">
        <f aca="false">IF($H779=0,"",IF($H779&lt;=8,"Ótimo",IF($H779&lt;=12,"Bom",IF($H779&lt;=16,"Regular",IF($H779&lt;=20,"Alerta","Crítico")))))</f>
        <v/>
      </c>
      <c r="J779" s="20"/>
      <c r="K779" s="20"/>
    </row>
    <row r="780" customFormat="false" ht="15" hidden="false" customHeight="false" outlineLevel="0" collapsed="false">
      <c r="A780" s="21"/>
      <c r="B780" s="33" t="n">
        <f aca="false">IF($A780="",0,INT(($A780-Macrociclo!$C$11)/7)+1)</f>
        <v>0</v>
      </c>
      <c r="C780" s="20"/>
      <c r="D780" s="22"/>
      <c r="E780" s="22"/>
      <c r="F780" s="22"/>
      <c r="G780" s="22"/>
      <c r="H780" s="33" t="n">
        <f aca="false">IF(COUNT($D780:$G780)&lt;4,0,SUM($D780:$G780))</f>
        <v>0</v>
      </c>
      <c r="I780" s="19" t="str">
        <f aca="false">IF($H780=0,"",IF($H780&lt;=8,"Ótimo",IF($H780&lt;=12,"Bom",IF($H780&lt;=16,"Regular",IF($H780&lt;=20,"Alerta","Crítico")))))</f>
        <v/>
      </c>
      <c r="J780" s="20"/>
      <c r="K780" s="20"/>
    </row>
    <row r="781" customFormat="false" ht="15" hidden="false" customHeight="false" outlineLevel="0" collapsed="false">
      <c r="A781" s="21"/>
      <c r="B781" s="33" t="n">
        <f aca="false">IF($A781="",0,INT(($A781-Macrociclo!$C$11)/7)+1)</f>
        <v>0</v>
      </c>
      <c r="C781" s="20"/>
      <c r="D781" s="22"/>
      <c r="E781" s="22"/>
      <c r="F781" s="22"/>
      <c r="G781" s="22"/>
      <c r="H781" s="33" t="n">
        <f aca="false">IF(COUNT($D781:$G781)&lt;4,0,SUM($D781:$G781))</f>
        <v>0</v>
      </c>
      <c r="I781" s="19" t="str">
        <f aca="false">IF($H781=0,"",IF($H781&lt;=8,"Ótimo",IF($H781&lt;=12,"Bom",IF($H781&lt;=16,"Regular",IF($H781&lt;=20,"Alerta","Crítico")))))</f>
        <v/>
      </c>
      <c r="J781" s="20"/>
      <c r="K781" s="20"/>
    </row>
    <row r="782" customFormat="false" ht="15" hidden="false" customHeight="false" outlineLevel="0" collapsed="false">
      <c r="A782" s="21"/>
      <c r="B782" s="33" t="n">
        <f aca="false">IF($A782="",0,INT(($A782-Macrociclo!$C$11)/7)+1)</f>
        <v>0</v>
      </c>
      <c r="C782" s="20"/>
      <c r="D782" s="22"/>
      <c r="E782" s="22"/>
      <c r="F782" s="22"/>
      <c r="G782" s="22"/>
      <c r="H782" s="33" t="n">
        <f aca="false">IF(COUNT($D782:$G782)&lt;4,0,SUM($D782:$G782))</f>
        <v>0</v>
      </c>
      <c r="I782" s="19" t="str">
        <f aca="false">IF($H782=0,"",IF($H782&lt;=8,"Ótimo",IF($H782&lt;=12,"Bom",IF($H782&lt;=16,"Regular",IF($H782&lt;=20,"Alerta","Crítico")))))</f>
        <v/>
      </c>
      <c r="J782" s="20"/>
      <c r="K782" s="20"/>
    </row>
    <row r="783" customFormat="false" ht="15" hidden="false" customHeight="false" outlineLevel="0" collapsed="false">
      <c r="A783" s="21"/>
      <c r="B783" s="33" t="n">
        <f aca="false">IF($A783="",0,INT(($A783-Macrociclo!$C$11)/7)+1)</f>
        <v>0</v>
      </c>
      <c r="C783" s="20"/>
      <c r="D783" s="22"/>
      <c r="E783" s="22"/>
      <c r="F783" s="22"/>
      <c r="G783" s="22"/>
      <c r="H783" s="33" t="n">
        <f aca="false">IF(COUNT($D783:$G783)&lt;4,0,SUM($D783:$G783))</f>
        <v>0</v>
      </c>
      <c r="I783" s="19" t="str">
        <f aca="false">IF($H783=0,"",IF($H783&lt;=8,"Ótimo",IF($H783&lt;=12,"Bom",IF($H783&lt;=16,"Regular",IF($H783&lt;=20,"Alerta","Crítico")))))</f>
        <v/>
      </c>
      <c r="J783" s="20"/>
      <c r="K783" s="20"/>
    </row>
    <row r="784" customFormat="false" ht="15" hidden="false" customHeight="false" outlineLevel="0" collapsed="false">
      <c r="A784" s="21"/>
      <c r="B784" s="33" t="n">
        <f aca="false">IF($A784="",0,INT(($A784-Macrociclo!$C$11)/7)+1)</f>
        <v>0</v>
      </c>
      <c r="C784" s="20"/>
      <c r="D784" s="22"/>
      <c r="E784" s="22"/>
      <c r="F784" s="22"/>
      <c r="G784" s="22"/>
      <c r="H784" s="33" t="n">
        <f aca="false">IF(COUNT($D784:$G784)&lt;4,0,SUM($D784:$G784))</f>
        <v>0</v>
      </c>
      <c r="I784" s="19" t="str">
        <f aca="false">IF($H784=0,"",IF($H784&lt;=8,"Ótimo",IF($H784&lt;=12,"Bom",IF($H784&lt;=16,"Regular",IF($H784&lt;=20,"Alerta","Crítico")))))</f>
        <v/>
      </c>
      <c r="J784" s="20"/>
      <c r="K784" s="20"/>
    </row>
    <row r="785" customFormat="false" ht="15" hidden="false" customHeight="false" outlineLevel="0" collapsed="false">
      <c r="A785" s="21"/>
      <c r="B785" s="33" t="n">
        <f aca="false">IF($A785="",0,INT(($A785-Macrociclo!$C$11)/7)+1)</f>
        <v>0</v>
      </c>
      <c r="C785" s="20"/>
      <c r="D785" s="22"/>
      <c r="E785" s="22"/>
      <c r="F785" s="22"/>
      <c r="G785" s="22"/>
      <c r="H785" s="33" t="n">
        <f aca="false">IF(COUNT($D785:$G785)&lt;4,0,SUM($D785:$G785))</f>
        <v>0</v>
      </c>
      <c r="I785" s="19" t="str">
        <f aca="false">IF($H785=0,"",IF($H785&lt;=8,"Ótimo",IF($H785&lt;=12,"Bom",IF($H785&lt;=16,"Regular",IF($H785&lt;=20,"Alerta","Crítico")))))</f>
        <v/>
      </c>
      <c r="J785" s="20"/>
      <c r="K785" s="20"/>
    </row>
    <row r="786" customFormat="false" ht="15" hidden="false" customHeight="false" outlineLevel="0" collapsed="false">
      <c r="A786" s="21"/>
      <c r="B786" s="33" t="n">
        <f aca="false">IF($A786="",0,INT(($A786-Macrociclo!$C$11)/7)+1)</f>
        <v>0</v>
      </c>
      <c r="C786" s="20"/>
      <c r="D786" s="22"/>
      <c r="E786" s="22"/>
      <c r="F786" s="22"/>
      <c r="G786" s="22"/>
      <c r="H786" s="33" t="n">
        <f aca="false">IF(COUNT($D786:$G786)&lt;4,0,SUM($D786:$G786))</f>
        <v>0</v>
      </c>
      <c r="I786" s="19" t="str">
        <f aca="false">IF($H786=0,"",IF($H786&lt;=8,"Ótimo",IF($H786&lt;=12,"Bom",IF($H786&lt;=16,"Regular",IF($H786&lt;=20,"Alerta","Crítico")))))</f>
        <v/>
      </c>
      <c r="J786" s="20"/>
      <c r="K786" s="20"/>
    </row>
    <row r="787" customFormat="false" ht="15" hidden="false" customHeight="false" outlineLevel="0" collapsed="false">
      <c r="A787" s="21"/>
      <c r="B787" s="33" t="n">
        <f aca="false">IF($A787="",0,INT(($A787-Macrociclo!$C$11)/7)+1)</f>
        <v>0</v>
      </c>
      <c r="C787" s="20"/>
      <c r="D787" s="22"/>
      <c r="E787" s="22"/>
      <c r="F787" s="22"/>
      <c r="G787" s="22"/>
      <c r="H787" s="33" t="n">
        <f aca="false">IF(COUNT($D787:$G787)&lt;4,0,SUM($D787:$G787))</f>
        <v>0</v>
      </c>
      <c r="I787" s="19" t="str">
        <f aca="false">IF($H787=0,"",IF($H787&lt;=8,"Ótimo",IF($H787&lt;=12,"Bom",IF($H787&lt;=16,"Regular",IF($H787&lt;=20,"Alerta","Crítico")))))</f>
        <v/>
      </c>
      <c r="J787" s="20"/>
      <c r="K787" s="20"/>
    </row>
    <row r="788" customFormat="false" ht="15" hidden="false" customHeight="false" outlineLevel="0" collapsed="false">
      <c r="A788" s="21"/>
      <c r="B788" s="33" t="n">
        <f aca="false">IF($A788="",0,INT(($A788-Macrociclo!$C$11)/7)+1)</f>
        <v>0</v>
      </c>
      <c r="C788" s="20"/>
      <c r="D788" s="22"/>
      <c r="E788" s="22"/>
      <c r="F788" s="22"/>
      <c r="G788" s="22"/>
      <c r="H788" s="33" t="n">
        <f aca="false">IF(COUNT($D788:$G788)&lt;4,0,SUM($D788:$G788))</f>
        <v>0</v>
      </c>
      <c r="I788" s="19" t="str">
        <f aca="false">IF($H788=0,"",IF($H788&lt;=8,"Ótimo",IF($H788&lt;=12,"Bom",IF($H788&lt;=16,"Regular",IF($H788&lt;=20,"Alerta","Crítico")))))</f>
        <v/>
      </c>
      <c r="J788" s="20"/>
      <c r="K788" s="20"/>
    </row>
    <row r="789" customFormat="false" ht="15" hidden="false" customHeight="false" outlineLevel="0" collapsed="false">
      <c r="A789" s="21"/>
      <c r="B789" s="33" t="n">
        <f aca="false">IF($A789="",0,INT(($A789-Macrociclo!$C$11)/7)+1)</f>
        <v>0</v>
      </c>
      <c r="C789" s="20"/>
      <c r="D789" s="22"/>
      <c r="E789" s="22"/>
      <c r="F789" s="22"/>
      <c r="G789" s="22"/>
      <c r="H789" s="33" t="n">
        <f aca="false">IF(COUNT($D789:$G789)&lt;4,0,SUM($D789:$G789))</f>
        <v>0</v>
      </c>
      <c r="I789" s="19" t="str">
        <f aca="false">IF($H789=0,"",IF($H789&lt;=8,"Ótimo",IF($H789&lt;=12,"Bom",IF($H789&lt;=16,"Regular",IF($H789&lt;=20,"Alerta","Crítico")))))</f>
        <v/>
      </c>
      <c r="J789" s="20"/>
      <c r="K789" s="20"/>
    </row>
    <row r="790" customFormat="false" ht="15" hidden="false" customHeight="false" outlineLevel="0" collapsed="false">
      <c r="A790" s="21"/>
      <c r="B790" s="33" t="n">
        <f aca="false">IF($A790="",0,INT(($A790-Macrociclo!$C$11)/7)+1)</f>
        <v>0</v>
      </c>
      <c r="C790" s="20"/>
      <c r="D790" s="22"/>
      <c r="E790" s="22"/>
      <c r="F790" s="22"/>
      <c r="G790" s="22"/>
      <c r="H790" s="33" t="n">
        <f aca="false">IF(COUNT($D790:$G790)&lt;4,0,SUM($D790:$G790))</f>
        <v>0</v>
      </c>
      <c r="I790" s="19" t="str">
        <f aca="false">IF($H790=0,"",IF($H790&lt;=8,"Ótimo",IF($H790&lt;=12,"Bom",IF($H790&lt;=16,"Regular",IF($H790&lt;=20,"Alerta","Crítico")))))</f>
        <v/>
      </c>
      <c r="J790" s="20"/>
      <c r="K790" s="20"/>
    </row>
    <row r="791" customFormat="false" ht="15" hidden="false" customHeight="false" outlineLevel="0" collapsed="false">
      <c r="A791" s="21"/>
      <c r="B791" s="33" t="n">
        <f aca="false">IF($A791="",0,INT(($A791-Macrociclo!$C$11)/7)+1)</f>
        <v>0</v>
      </c>
      <c r="C791" s="20"/>
      <c r="D791" s="22"/>
      <c r="E791" s="22"/>
      <c r="F791" s="22"/>
      <c r="G791" s="22"/>
      <c r="H791" s="33" t="n">
        <f aca="false">IF(COUNT($D791:$G791)&lt;4,0,SUM($D791:$G791))</f>
        <v>0</v>
      </c>
      <c r="I791" s="19" t="str">
        <f aca="false">IF($H791=0,"",IF($H791&lt;=8,"Ótimo",IF($H791&lt;=12,"Bom",IF($H791&lt;=16,"Regular",IF($H791&lt;=20,"Alerta","Crítico")))))</f>
        <v/>
      </c>
      <c r="J791" s="20"/>
      <c r="K791" s="20"/>
    </row>
    <row r="792" customFormat="false" ht="15" hidden="false" customHeight="false" outlineLevel="0" collapsed="false">
      <c r="A792" s="21"/>
      <c r="B792" s="33" t="n">
        <f aca="false">IF($A792="",0,INT(($A792-Macrociclo!$C$11)/7)+1)</f>
        <v>0</v>
      </c>
      <c r="C792" s="20"/>
      <c r="D792" s="22"/>
      <c r="E792" s="22"/>
      <c r="F792" s="22"/>
      <c r="G792" s="22"/>
      <c r="H792" s="33" t="n">
        <f aca="false">IF(COUNT($D792:$G792)&lt;4,0,SUM($D792:$G792))</f>
        <v>0</v>
      </c>
      <c r="I792" s="19" t="str">
        <f aca="false">IF($H792=0,"",IF($H792&lt;=8,"Ótimo",IF($H792&lt;=12,"Bom",IF($H792&lt;=16,"Regular",IF($H792&lt;=20,"Alerta","Crítico")))))</f>
        <v/>
      </c>
      <c r="J792" s="20"/>
      <c r="K792" s="20"/>
    </row>
    <row r="793" customFormat="false" ht="15" hidden="false" customHeight="false" outlineLevel="0" collapsed="false">
      <c r="A793" s="21"/>
      <c r="B793" s="33" t="n">
        <f aca="false">IF($A793="",0,INT(($A793-Macrociclo!$C$11)/7)+1)</f>
        <v>0</v>
      </c>
      <c r="C793" s="20"/>
      <c r="D793" s="22"/>
      <c r="E793" s="22"/>
      <c r="F793" s="22"/>
      <c r="G793" s="22"/>
      <c r="H793" s="33" t="n">
        <f aca="false">IF(COUNT($D793:$G793)&lt;4,0,SUM($D793:$G793))</f>
        <v>0</v>
      </c>
      <c r="I793" s="19" t="str">
        <f aca="false">IF($H793=0,"",IF($H793&lt;=8,"Ótimo",IF($H793&lt;=12,"Bom",IF($H793&lt;=16,"Regular",IF($H793&lt;=20,"Alerta","Crítico")))))</f>
        <v/>
      </c>
      <c r="J793" s="20"/>
      <c r="K793" s="20"/>
    </row>
    <row r="794" customFormat="false" ht="15" hidden="false" customHeight="false" outlineLevel="0" collapsed="false">
      <c r="A794" s="21"/>
      <c r="B794" s="33" t="n">
        <f aca="false">IF($A794="",0,INT(($A794-Macrociclo!$C$11)/7)+1)</f>
        <v>0</v>
      </c>
      <c r="C794" s="20"/>
      <c r="D794" s="22"/>
      <c r="E794" s="22"/>
      <c r="F794" s="22"/>
      <c r="G794" s="22"/>
      <c r="H794" s="33" t="n">
        <f aca="false">IF(COUNT($D794:$G794)&lt;4,0,SUM($D794:$G794))</f>
        <v>0</v>
      </c>
      <c r="I794" s="19" t="str">
        <f aca="false">IF($H794=0,"",IF($H794&lt;=8,"Ótimo",IF($H794&lt;=12,"Bom",IF($H794&lt;=16,"Regular",IF($H794&lt;=20,"Alerta","Crítico")))))</f>
        <v/>
      </c>
      <c r="J794" s="20"/>
      <c r="K794" s="20"/>
    </row>
    <row r="795" customFormat="false" ht="15" hidden="false" customHeight="false" outlineLevel="0" collapsed="false">
      <c r="A795" s="21"/>
      <c r="B795" s="33" t="n">
        <f aca="false">IF($A795="",0,INT(($A795-Macrociclo!$C$11)/7)+1)</f>
        <v>0</v>
      </c>
      <c r="C795" s="20"/>
      <c r="D795" s="22"/>
      <c r="E795" s="22"/>
      <c r="F795" s="22"/>
      <c r="G795" s="22"/>
      <c r="H795" s="33" t="n">
        <f aca="false">IF(COUNT($D795:$G795)&lt;4,0,SUM($D795:$G795))</f>
        <v>0</v>
      </c>
      <c r="I795" s="19" t="str">
        <f aca="false">IF($H795=0,"",IF($H795&lt;=8,"Ótimo",IF($H795&lt;=12,"Bom",IF($H795&lt;=16,"Regular",IF($H795&lt;=20,"Alerta","Crítico")))))</f>
        <v/>
      </c>
      <c r="J795" s="20"/>
      <c r="K795" s="20"/>
    </row>
    <row r="796" customFormat="false" ht="15" hidden="false" customHeight="false" outlineLevel="0" collapsed="false">
      <c r="A796" s="21"/>
      <c r="B796" s="33" t="n">
        <f aca="false">IF($A796="",0,INT(($A796-Macrociclo!$C$11)/7)+1)</f>
        <v>0</v>
      </c>
      <c r="C796" s="20"/>
      <c r="D796" s="22"/>
      <c r="E796" s="22"/>
      <c r="F796" s="22"/>
      <c r="G796" s="22"/>
      <c r="H796" s="33" t="n">
        <f aca="false">IF(COUNT($D796:$G796)&lt;4,0,SUM($D796:$G796))</f>
        <v>0</v>
      </c>
      <c r="I796" s="19" t="str">
        <f aca="false">IF($H796=0,"",IF($H796&lt;=8,"Ótimo",IF($H796&lt;=12,"Bom",IF($H796&lt;=16,"Regular",IF($H796&lt;=20,"Alerta","Crítico")))))</f>
        <v/>
      </c>
      <c r="J796" s="20"/>
      <c r="K796" s="20"/>
    </row>
    <row r="797" customFormat="false" ht="15" hidden="false" customHeight="false" outlineLevel="0" collapsed="false">
      <c r="A797" s="21"/>
      <c r="B797" s="33" t="n">
        <f aca="false">IF($A797="",0,INT(($A797-Macrociclo!$C$11)/7)+1)</f>
        <v>0</v>
      </c>
      <c r="C797" s="20"/>
      <c r="D797" s="22"/>
      <c r="E797" s="22"/>
      <c r="F797" s="22"/>
      <c r="G797" s="22"/>
      <c r="H797" s="33" t="n">
        <f aca="false">IF(COUNT($D797:$G797)&lt;4,0,SUM($D797:$G797))</f>
        <v>0</v>
      </c>
      <c r="I797" s="19" t="str">
        <f aca="false">IF($H797=0,"",IF($H797&lt;=8,"Ótimo",IF($H797&lt;=12,"Bom",IF($H797&lt;=16,"Regular",IF($H797&lt;=20,"Alerta","Crítico")))))</f>
        <v/>
      </c>
      <c r="J797" s="20"/>
      <c r="K797" s="20"/>
    </row>
    <row r="798" customFormat="false" ht="15" hidden="false" customHeight="false" outlineLevel="0" collapsed="false">
      <c r="A798" s="21"/>
      <c r="B798" s="33" t="n">
        <f aca="false">IF($A798="",0,INT(($A798-Macrociclo!$C$11)/7)+1)</f>
        <v>0</v>
      </c>
      <c r="C798" s="20"/>
      <c r="D798" s="22"/>
      <c r="E798" s="22"/>
      <c r="F798" s="22"/>
      <c r="G798" s="22"/>
      <c r="H798" s="33" t="n">
        <f aca="false">IF(COUNT($D798:$G798)&lt;4,0,SUM($D798:$G798))</f>
        <v>0</v>
      </c>
      <c r="I798" s="19" t="str">
        <f aca="false">IF($H798=0,"",IF($H798&lt;=8,"Ótimo",IF($H798&lt;=12,"Bom",IF($H798&lt;=16,"Regular",IF($H798&lt;=20,"Alerta","Crítico")))))</f>
        <v/>
      </c>
      <c r="J798" s="20"/>
      <c r="K798" s="20"/>
    </row>
    <row r="799" customFormat="false" ht="15" hidden="false" customHeight="false" outlineLevel="0" collapsed="false">
      <c r="A799" s="21"/>
      <c r="B799" s="33" t="n">
        <f aca="false">IF($A799="",0,INT(($A799-Macrociclo!$C$11)/7)+1)</f>
        <v>0</v>
      </c>
      <c r="C799" s="20"/>
      <c r="D799" s="22"/>
      <c r="E799" s="22"/>
      <c r="F799" s="22"/>
      <c r="G799" s="22"/>
      <c r="H799" s="33" t="n">
        <f aca="false">IF(COUNT($D799:$G799)&lt;4,0,SUM($D799:$G799))</f>
        <v>0</v>
      </c>
      <c r="I799" s="19" t="str">
        <f aca="false">IF($H799=0,"",IF($H799&lt;=8,"Ótimo",IF($H799&lt;=12,"Bom",IF($H799&lt;=16,"Regular",IF($H799&lt;=20,"Alerta","Crítico")))))</f>
        <v/>
      </c>
      <c r="J799" s="20"/>
      <c r="K799" s="20"/>
    </row>
    <row r="800" customFormat="false" ht="15" hidden="false" customHeight="false" outlineLevel="0" collapsed="false">
      <c r="A800" s="21"/>
      <c r="B800" s="33" t="n">
        <f aca="false">IF($A800="",0,INT(($A800-Macrociclo!$C$11)/7)+1)</f>
        <v>0</v>
      </c>
      <c r="C800" s="20"/>
      <c r="D800" s="22"/>
      <c r="E800" s="22"/>
      <c r="F800" s="22"/>
      <c r="G800" s="22"/>
      <c r="H800" s="33" t="n">
        <f aca="false">IF(COUNT($D800:$G800)&lt;4,0,SUM($D800:$G800))</f>
        <v>0</v>
      </c>
      <c r="I800" s="19" t="str">
        <f aca="false">IF($H800=0,"",IF($H800&lt;=8,"Ótimo",IF($H800&lt;=12,"Bom",IF($H800&lt;=16,"Regular",IF($H800&lt;=20,"Alerta","Crítico")))))</f>
        <v/>
      </c>
      <c r="J800" s="20"/>
      <c r="K800" s="20"/>
    </row>
    <row r="801" customFormat="false" ht="15" hidden="false" customHeight="false" outlineLevel="0" collapsed="false">
      <c r="A801" s="21"/>
      <c r="B801" s="33" t="n">
        <f aca="false">IF($A801="",0,INT(($A801-Macrociclo!$C$11)/7)+1)</f>
        <v>0</v>
      </c>
      <c r="C801" s="20"/>
      <c r="D801" s="22"/>
      <c r="E801" s="22"/>
      <c r="F801" s="22"/>
      <c r="G801" s="22"/>
      <c r="H801" s="33" t="n">
        <f aca="false">IF(COUNT($D801:$G801)&lt;4,0,SUM($D801:$G801))</f>
        <v>0</v>
      </c>
      <c r="I801" s="19" t="str">
        <f aca="false">IF($H801=0,"",IF($H801&lt;=8,"Ótimo",IF($H801&lt;=12,"Bom",IF($H801&lt;=16,"Regular",IF($H801&lt;=20,"Alerta","Crítico")))))</f>
        <v/>
      </c>
      <c r="J801" s="20"/>
      <c r="K801" s="20"/>
    </row>
    <row r="802" customFormat="false" ht="15" hidden="false" customHeight="false" outlineLevel="0" collapsed="false">
      <c r="A802" s="21"/>
      <c r="B802" s="33" t="n">
        <f aca="false">IF($A802="",0,INT(($A802-Macrociclo!$C$11)/7)+1)</f>
        <v>0</v>
      </c>
      <c r="C802" s="20"/>
      <c r="D802" s="22"/>
      <c r="E802" s="22"/>
      <c r="F802" s="22"/>
      <c r="G802" s="22"/>
      <c r="H802" s="33" t="n">
        <f aca="false">IF(COUNT($D802:$G802)&lt;4,0,SUM($D802:$G802))</f>
        <v>0</v>
      </c>
      <c r="I802" s="19" t="str">
        <f aca="false">IF($H802=0,"",IF($H802&lt;=8,"Ótimo",IF($H802&lt;=12,"Bom",IF($H802&lt;=16,"Regular",IF($H802&lt;=20,"Alerta","Crítico")))))</f>
        <v/>
      </c>
      <c r="J802" s="20"/>
      <c r="K802" s="20"/>
    </row>
    <row r="803" customFormat="false" ht="15" hidden="false" customHeight="false" outlineLevel="0" collapsed="false">
      <c r="A803" s="21"/>
      <c r="B803" s="33" t="n">
        <f aca="false">IF($A803="",0,INT(($A803-Macrociclo!$C$11)/7)+1)</f>
        <v>0</v>
      </c>
      <c r="C803" s="20"/>
      <c r="D803" s="22"/>
      <c r="E803" s="22"/>
      <c r="F803" s="22"/>
      <c r="G803" s="22"/>
      <c r="H803" s="33" t="n">
        <f aca="false">IF(COUNT($D803:$G803)&lt;4,0,SUM($D803:$G803))</f>
        <v>0</v>
      </c>
      <c r="I803" s="19" t="str">
        <f aca="false">IF($H803=0,"",IF($H803&lt;=8,"Ótimo",IF($H803&lt;=12,"Bom",IF($H803&lt;=16,"Regular",IF($H803&lt;=20,"Alerta","Crítico")))))</f>
        <v/>
      </c>
      <c r="J803" s="20"/>
      <c r="K803" s="20"/>
    </row>
    <row r="804" customFormat="false" ht="15" hidden="false" customHeight="false" outlineLevel="0" collapsed="false">
      <c r="A804" s="21"/>
      <c r="B804" s="33" t="n">
        <f aca="false">IF($A804="",0,INT(($A804-Macrociclo!$C$11)/7)+1)</f>
        <v>0</v>
      </c>
      <c r="C804" s="20"/>
      <c r="D804" s="22"/>
      <c r="E804" s="22"/>
      <c r="F804" s="22"/>
      <c r="G804" s="22"/>
      <c r="H804" s="33" t="n">
        <f aca="false">IF(COUNT($D804:$G804)&lt;4,0,SUM($D804:$G804))</f>
        <v>0</v>
      </c>
      <c r="I804" s="19" t="str">
        <f aca="false">IF($H804=0,"",IF($H804&lt;=8,"Ótimo",IF($H804&lt;=12,"Bom",IF($H804&lt;=16,"Regular",IF($H804&lt;=20,"Alerta","Crítico")))))</f>
        <v/>
      </c>
      <c r="J804" s="20"/>
      <c r="K804" s="20"/>
    </row>
    <row r="805" customFormat="false" ht="15" hidden="false" customHeight="false" outlineLevel="0" collapsed="false">
      <c r="A805" s="21"/>
      <c r="B805" s="33" t="n">
        <f aca="false">IF($A805="",0,INT(($A805-Macrociclo!$C$11)/7)+1)</f>
        <v>0</v>
      </c>
      <c r="C805" s="20"/>
      <c r="D805" s="22"/>
      <c r="E805" s="22"/>
      <c r="F805" s="22"/>
      <c r="G805" s="22"/>
      <c r="H805" s="33" t="n">
        <f aca="false">IF(COUNT($D805:$G805)&lt;4,0,SUM($D805:$G805))</f>
        <v>0</v>
      </c>
      <c r="I805" s="19" t="str">
        <f aca="false">IF($H805=0,"",IF($H805&lt;=8,"Ótimo",IF($H805&lt;=12,"Bom",IF($H805&lt;=16,"Regular",IF($H805&lt;=20,"Alerta","Crítico")))))</f>
        <v/>
      </c>
      <c r="J805" s="20"/>
      <c r="K805" s="20"/>
    </row>
    <row r="806" customFormat="false" ht="15" hidden="false" customHeight="false" outlineLevel="0" collapsed="false">
      <c r="A806" s="21"/>
      <c r="B806" s="33" t="n">
        <f aca="false">IF($A806="",0,INT(($A806-Macrociclo!$C$11)/7)+1)</f>
        <v>0</v>
      </c>
      <c r="C806" s="20"/>
      <c r="D806" s="22"/>
      <c r="E806" s="22"/>
      <c r="F806" s="22"/>
      <c r="G806" s="22"/>
      <c r="H806" s="33" t="n">
        <f aca="false">IF(COUNT($D806:$G806)&lt;4,0,SUM($D806:$G806))</f>
        <v>0</v>
      </c>
      <c r="I806" s="19" t="str">
        <f aca="false">IF($H806=0,"",IF($H806&lt;=8,"Ótimo",IF($H806&lt;=12,"Bom",IF($H806&lt;=16,"Regular",IF($H806&lt;=20,"Alerta","Crítico")))))</f>
        <v/>
      </c>
      <c r="J806" s="20"/>
      <c r="K806" s="20"/>
    </row>
    <row r="807" customFormat="false" ht="15" hidden="false" customHeight="false" outlineLevel="0" collapsed="false">
      <c r="A807" s="21"/>
      <c r="B807" s="33" t="n">
        <f aca="false">IF($A807="",0,INT(($A807-Macrociclo!$C$11)/7)+1)</f>
        <v>0</v>
      </c>
      <c r="C807" s="20"/>
      <c r="D807" s="22"/>
      <c r="E807" s="22"/>
      <c r="F807" s="22"/>
      <c r="G807" s="22"/>
      <c r="H807" s="33" t="n">
        <f aca="false">IF(COUNT($D807:$G807)&lt;4,0,SUM($D807:$G807))</f>
        <v>0</v>
      </c>
      <c r="I807" s="19" t="str">
        <f aca="false">IF($H807=0,"",IF($H807&lt;=8,"Ótimo",IF($H807&lt;=12,"Bom",IF($H807&lt;=16,"Regular",IF($H807&lt;=20,"Alerta","Crítico")))))</f>
        <v/>
      </c>
      <c r="J807" s="20"/>
      <c r="K807" s="20"/>
    </row>
    <row r="808" customFormat="false" ht="15" hidden="false" customHeight="false" outlineLevel="0" collapsed="false">
      <c r="A808" s="21"/>
      <c r="B808" s="33" t="n">
        <f aca="false">IF($A808="",0,INT(($A808-Macrociclo!$C$11)/7)+1)</f>
        <v>0</v>
      </c>
      <c r="C808" s="20"/>
      <c r="D808" s="22"/>
      <c r="E808" s="22"/>
      <c r="F808" s="22"/>
      <c r="G808" s="22"/>
      <c r="H808" s="33" t="n">
        <f aca="false">IF(COUNT($D808:$G808)&lt;4,0,SUM($D808:$G808))</f>
        <v>0</v>
      </c>
      <c r="I808" s="19" t="str">
        <f aca="false">IF($H808=0,"",IF($H808&lt;=8,"Ótimo",IF($H808&lt;=12,"Bom",IF($H808&lt;=16,"Regular",IF($H808&lt;=20,"Alerta","Crítico")))))</f>
        <v/>
      </c>
      <c r="J808" s="20"/>
      <c r="K808" s="20"/>
    </row>
    <row r="809" customFormat="false" ht="15" hidden="false" customHeight="false" outlineLevel="0" collapsed="false">
      <c r="A809" s="21"/>
      <c r="B809" s="33" t="n">
        <f aca="false">IF($A809="",0,INT(($A809-Macrociclo!$C$11)/7)+1)</f>
        <v>0</v>
      </c>
      <c r="C809" s="20"/>
      <c r="D809" s="22"/>
      <c r="E809" s="22"/>
      <c r="F809" s="22"/>
      <c r="G809" s="22"/>
      <c r="H809" s="33" t="n">
        <f aca="false">IF(COUNT($D809:$G809)&lt;4,0,SUM($D809:$G809))</f>
        <v>0</v>
      </c>
      <c r="I809" s="19" t="str">
        <f aca="false">IF($H809=0,"",IF($H809&lt;=8,"Ótimo",IF($H809&lt;=12,"Bom",IF($H809&lt;=16,"Regular",IF($H809&lt;=20,"Alerta","Crítico")))))</f>
        <v/>
      </c>
      <c r="J809" s="20"/>
      <c r="K809" s="20"/>
    </row>
    <row r="810" customFormat="false" ht="15" hidden="false" customHeight="false" outlineLevel="0" collapsed="false">
      <c r="A810" s="21"/>
      <c r="B810" s="33" t="n">
        <f aca="false">IF($A810="",0,INT(($A810-Macrociclo!$C$11)/7)+1)</f>
        <v>0</v>
      </c>
      <c r="C810" s="20"/>
      <c r="D810" s="22"/>
      <c r="E810" s="22"/>
      <c r="F810" s="22"/>
      <c r="G810" s="22"/>
      <c r="H810" s="33" t="n">
        <f aca="false">IF(COUNT($D810:$G810)&lt;4,0,SUM($D810:$G810))</f>
        <v>0</v>
      </c>
      <c r="I810" s="19" t="str">
        <f aca="false">IF($H810=0,"",IF($H810&lt;=8,"Ótimo",IF($H810&lt;=12,"Bom",IF($H810&lt;=16,"Regular",IF($H810&lt;=20,"Alerta","Crítico")))))</f>
        <v/>
      </c>
      <c r="J810" s="20"/>
      <c r="K810" s="20"/>
    </row>
    <row r="811" customFormat="false" ht="15" hidden="false" customHeight="false" outlineLevel="0" collapsed="false">
      <c r="A811" s="21"/>
      <c r="B811" s="33" t="n">
        <f aca="false">IF($A811="",0,INT(($A811-Macrociclo!$C$11)/7)+1)</f>
        <v>0</v>
      </c>
      <c r="C811" s="20"/>
      <c r="D811" s="22"/>
      <c r="E811" s="22"/>
      <c r="F811" s="22"/>
      <c r="G811" s="22"/>
      <c r="H811" s="33" t="n">
        <f aca="false">IF(COUNT($D811:$G811)&lt;4,0,SUM($D811:$G811))</f>
        <v>0</v>
      </c>
      <c r="I811" s="19" t="str">
        <f aca="false">IF($H811=0,"",IF($H811&lt;=8,"Ótimo",IF($H811&lt;=12,"Bom",IF($H811&lt;=16,"Regular",IF($H811&lt;=20,"Alerta","Crítico")))))</f>
        <v/>
      </c>
      <c r="J811" s="20"/>
      <c r="K811" s="20"/>
    </row>
    <row r="812" customFormat="false" ht="15" hidden="false" customHeight="false" outlineLevel="0" collapsed="false">
      <c r="A812" s="21"/>
      <c r="B812" s="33" t="n">
        <f aca="false">IF($A812="",0,INT(($A812-Macrociclo!$C$11)/7)+1)</f>
        <v>0</v>
      </c>
      <c r="C812" s="20"/>
      <c r="D812" s="22"/>
      <c r="E812" s="22"/>
      <c r="F812" s="22"/>
      <c r="G812" s="22"/>
      <c r="H812" s="33" t="n">
        <f aca="false">IF(COUNT($D812:$G812)&lt;4,0,SUM($D812:$G812))</f>
        <v>0</v>
      </c>
      <c r="I812" s="19" t="str">
        <f aca="false">IF($H812=0,"",IF($H812&lt;=8,"Ótimo",IF($H812&lt;=12,"Bom",IF($H812&lt;=16,"Regular",IF($H812&lt;=20,"Alerta","Crítico")))))</f>
        <v/>
      </c>
      <c r="J812" s="20"/>
      <c r="K812" s="20"/>
    </row>
    <row r="813" customFormat="false" ht="15" hidden="false" customHeight="false" outlineLevel="0" collapsed="false">
      <c r="A813" s="21"/>
      <c r="B813" s="33" t="n">
        <f aca="false">IF($A813="",0,INT(($A813-Macrociclo!$C$11)/7)+1)</f>
        <v>0</v>
      </c>
      <c r="C813" s="20"/>
      <c r="D813" s="22"/>
      <c r="E813" s="22"/>
      <c r="F813" s="22"/>
      <c r="G813" s="22"/>
      <c r="H813" s="33" t="n">
        <f aca="false">IF(COUNT($D813:$G813)&lt;4,0,SUM($D813:$G813))</f>
        <v>0</v>
      </c>
      <c r="I813" s="19" t="str">
        <f aca="false">IF($H813=0,"",IF($H813&lt;=8,"Ótimo",IF($H813&lt;=12,"Bom",IF($H813&lt;=16,"Regular",IF($H813&lt;=20,"Alerta","Crítico")))))</f>
        <v/>
      </c>
      <c r="J813" s="20"/>
      <c r="K813" s="20"/>
    </row>
    <row r="814" customFormat="false" ht="15" hidden="false" customHeight="false" outlineLevel="0" collapsed="false">
      <c r="A814" s="21"/>
      <c r="B814" s="33" t="n">
        <f aca="false">IF($A814="",0,INT(($A814-Macrociclo!$C$11)/7)+1)</f>
        <v>0</v>
      </c>
      <c r="C814" s="20"/>
      <c r="D814" s="22"/>
      <c r="E814" s="22"/>
      <c r="F814" s="22"/>
      <c r="G814" s="22"/>
      <c r="H814" s="33" t="n">
        <f aca="false">IF(COUNT($D814:$G814)&lt;4,0,SUM($D814:$G814))</f>
        <v>0</v>
      </c>
      <c r="I814" s="19" t="str">
        <f aca="false">IF($H814=0,"",IF($H814&lt;=8,"Ótimo",IF($H814&lt;=12,"Bom",IF($H814&lt;=16,"Regular",IF($H814&lt;=20,"Alerta","Crítico")))))</f>
        <v/>
      </c>
      <c r="J814" s="20"/>
      <c r="K814" s="20"/>
    </row>
    <row r="815" customFormat="false" ht="15" hidden="false" customHeight="false" outlineLevel="0" collapsed="false">
      <c r="A815" s="21"/>
      <c r="B815" s="33" t="n">
        <f aca="false">IF($A815="",0,INT(($A815-Macrociclo!$C$11)/7)+1)</f>
        <v>0</v>
      </c>
      <c r="C815" s="20"/>
      <c r="D815" s="22"/>
      <c r="E815" s="22"/>
      <c r="F815" s="22"/>
      <c r="G815" s="22"/>
      <c r="H815" s="33" t="n">
        <f aca="false">IF(COUNT($D815:$G815)&lt;4,0,SUM($D815:$G815))</f>
        <v>0</v>
      </c>
      <c r="I815" s="19" t="str">
        <f aca="false">IF($H815=0,"",IF($H815&lt;=8,"Ótimo",IF($H815&lt;=12,"Bom",IF($H815&lt;=16,"Regular",IF($H815&lt;=20,"Alerta","Crítico")))))</f>
        <v/>
      </c>
      <c r="J815" s="20"/>
      <c r="K815" s="20"/>
    </row>
    <row r="816" customFormat="false" ht="15" hidden="false" customHeight="false" outlineLevel="0" collapsed="false">
      <c r="A816" s="21"/>
      <c r="B816" s="33" t="n">
        <f aca="false">IF($A816="",0,INT(($A816-Macrociclo!$C$11)/7)+1)</f>
        <v>0</v>
      </c>
      <c r="C816" s="20"/>
      <c r="D816" s="22"/>
      <c r="E816" s="22"/>
      <c r="F816" s="22"/>
      <c r="G816" s="22"/>
      <c r="H816" s="33" t="n">
        <f aca="false">IF(COUNT($D816:$G816)&lt;4,0,SUM($D816:$G816))</f>
        <v>0</v>
      </c>
      <c r="I816" s="19" t="str">
        <f aca="false">IF($H816=0,"",IF($H816&lt;=8,"Ótimo",IF($H816&lt;=12,"Bom",IF($H816&lt;=16,"Regular",IF($H816&lt;=20,"Alerta","Crítico")))))</f>
        <v/>
      </c>
      <c r="J816" s="20"/>
      <c r="K816" s="20"/>
    </row>
    <row r="817" customFormat="false" ht="15" hidden="false" customHeight="false" outlineLevel="0" collapsed="false">
      <c r="A817" s="21"/>
      <c r="B817" s="33" t="n">
        <f aca="false">IF($A817="",0,INT(($A817-Macrociclo!$C$11)/7)+1)</f>
        <v>0</v>
      </c>
      <c r="C817" s="20"/>
      <c r="D817" s="22"/>
      <c r="E817" s="22"/>
      <c r="F817" s="22"/>
      <c r="G817" s="22"/>
      <c r="H817" s="33" t="n">
        <f aca="false">IF(COUNT($D817:$G817)&lt;4,0,SUM($D817:$G817))</f>
        <v>0</v>
      </c>
      <c r="I817" s="19" t="str">
        <f aca="false">IF($H817=0,"",IF($H817&lt;=8,"Ótimo",IF($H817&lt;=12,"Bom",IF($H817&lt;=16,"Regular",IF($H817&lt;=20,"Alerta","Crítico")))))</f>
        <v/>
      </c>
      <c r="J817" s="20"/>
      <c r="K817" s="20"/>
    </row>
    <row r="818" customFormat="false" ht="15" hidden="false" customHeight="false" outlineLevel="0" collapsed="false">
      <c r="A818" s="21"/>
      <c r="B818" s="33" t="n">
        <f aca="false">IF($A818="",0,INT(($A818-Macrociclo!$C$11)/7)+1)</f>
        <v>0</v>
      </c>
      <c r="C818" s="20"/>
      <c r="D818" s="22"/>
      <c r="E818" s="22"/>
      <c r="F818" s="22"/>
      <c r="G818" s="22"/>
      <c r="H818" s="33" t="n">
        <f aca="false">IF(COUNT($D818:$G818)&lt;4,0,SUM($D818:$G818))</f>
        <v>0</v>
      </c>
      <c r="I818" s="19" t="str">
        <f aca="false">IF($H818=0,"",IF($H818&lt;=8,"Ótimo",IF($H818&lt;=12,"Bom",IF($H818&lt;=16,"Regular",IF($H818&lt;=20,"Alerta","Crítico")))))</f>
        <v/>
      </c>
      <c r="J818" s="20"/>
      <c r="K818" s="20"/>
    </row>
    <row r="819" customFormat="false" ht="15" hidden="false" customHeight="false" outlineLevel="0" collapsed="false">
      <c r="A819" s="21"/>
      <c r="B819" s="33" t="n">
        <f aca="false">IF($A819="",0,INT(($A819-Macrociclo!$C$11)/7)+1)</f>
        <v>0</v>
      </c>
      <c r="C819" s="20"/>
      <c r="D819" s="22"/>
      <c r="E819" s="22"/>
      <c r="F819" s="22"/>
      <c r="G819" s="22"/>
      <c r="H819" s="33" t="n">
        <f aca="false">IF(COUNT($D819:$G819)&lt;4,0,SUM($D819:$G819))</f>
        <v>0</v>
      </c>
      <c r="I819" s="19" t="str">
        <f aca="false">IF($H819=0,"",IF($H819&lt;=8,"Ótimo",IF($H819&lt;=12,"Bom",IF($H819&lt;=16,"Regular",IF($H819&lt;=20,"Alerta","Crítico")))))</f>
        <v/>
      </c>
      <c r="J819" s="20"/>
      <c r="K819" s="20"/>
    </row>
    <row r="820" customFormat="false" ht="15" hidden="false" customHeight="false" outlineLevel="0" collapsed="false">
      <c r="A820" s="21"/>
      <c r="B820" s="33" t="n">
        <f aca="false">IF($A820="",0,INT(($A820-Macrociclo!$C$11)/7)+1)</f>
        <v>0</v>
      </c>
      <c r="C820" s="20"/>
      <c r="D820" s="22"/>
      <c r="E820" s="22"/>
      <c r="F820" s="22"/>
      <c r="G820" s="22"/>
      <c r="H820" s="33" t="n">
        <f aca="false">IF(COUNT($D820:$G820)&lt;4,0,SUM($D820:$G820))</f>
        <v>0</v>
      </c>
      <c r="I820" s="19" t="str">
        <f aca="false">IF($H820=0,"",IF($H820&lt;=8,"Ótimo",IF($H820&lt;=12,"Bom",IF($H820&lt;=16,"Regular",IF($H820&lt;=20,"Alerta","Crítico")))))</f>
        <v/>
      </c>
      <c r="J820" s="20"/>
      <c r="K820" s="20"/>
    </row>
    <row r="821" customFormat="false" ht="15" hidden="false" customHeight="false" outlineLevel="0" collapsed="false">
      <c r="A821" s="21"/>
      <c r="B821" s="33" t="n">
        <f aca="false">IF($A821="",0,INT(($A821-Macrociclo!$C$11)/7)+1)</f>
        <v>0</v>
      </c>
      <c r="C821" s="20"/>
      <c r="D821" s="22"/>
      <c r="E821" s="22"/>
      <c r="F821" s="22"/>
      <c r="G821" s="22"/>
      <c r="H821" s="33" t="n">
        <f aca="false">IF(COUNT($D821:$G821)&lt;4,0,SUM($D821:$G821))</f>
        <v>0</v>
      </c>
      <c r="I821" s="19" t="str">
        <f aca="false">IF($H821=0,"",IF($H821&lt;=8,"Ótimo",IF($H821&lt;=12,"Bom",IF($H821&lt;=16,"Regular",IF($H821&lt;=20,"Alerta","Crítico")))))</f>
        <v/>
      </c>
      <c r="J821" s="20"/>
      <c r="K821" s="20"/>
    </row>
    <row r="822" customFormat="false" ht="15" hidden="false" customHeight="false" outlineLevel="0" collapsed="false">
      <c r="A822" s="21"/>
      <c r="B822" s="33" t="n">
        <f aca="false">IF($A822="",0,INT(($A822-Macrociclo!$C$11)/7)+1)</f>
        <v>0</v>
      </c>
      <c r="C822" s="20"/>
      <c r="D822" s="22"/>
      <c r="E822" s="22"/>
      <c r="F822" s="22"/>
      <c r="G822" s="22"/>
      <c r="H822" s="33" t="n">
        <f aca="false">IF(COUNT($D822:$G822)&lt;4,0,SUM($D822:$G822))</f>
        <v>0</v>
      </c>
      <c r="I822" s="19" t="str">
        <f aca="false">IF($H822=0,"",IF($H822&lt;=8,"Ótimo",IF($H822&lt;=12,"Bom",IF($H822&lt;=16,"Regular",IF($H822&lt;=20,"Alerta","Crítico")))))</f>
        <v/>
      </c>
      <c r="J822" s="20"/>
      <c r="K822" s="20"/>
    </row>
    <row r="823" customFormat="false" ht="15" hidden="false" customHeight="false" outlineLevel="0" collapsed="false">
      <c r="A823" s="21"/>
      <c r="B823" s="33" t="n">
        <f aca="false">IF($A823="",0,INT(($A823-Macrociclo!$C$11)/7)+1)</f>
        <v>0</v>
      </c>
      <c r="C823" s="20"/>
      <c r="D823" s="22"/>
      <c r="E823" s="22"/>
      <c r="F823" s="22"/>
      <c r="G823" s="22"/>
      <c r="H823" s="33" t="n">
        <f aca="false">IF(COUNT($D823:$G823)&lt;4,0,SUM($D823:$G823))</f>
        <v>0</v>
      </c>
      <c r="I823" s="19" t="str">
        <f aca="false">IF($H823=0,"",IF($H823&lt;=8,"Ótimo",IF($H823&lt;=12,"Bom",IF($H823&lt;=16,"Regular",IF($H823&lt;=20,"Alerta","Crítico")))))</f>
        <v/>
      </c>
      <c r="J823" s="20"/>
      <c r="K823" s="20"/>
    </row>
    <row r="824" customFormat="false" ht="15" hidden="false" customHeight="false" outlineLevel="0" collapsed="false">
      <c r="A824" s="21"/>
      <c r="B824" s="33" t="n">
        <f aca="false">IF($A824="",0,INT(($A824-Macrociclo!$C$11)/7)+1)</f>
        <v>0</v>
      </c>
      <c r="C824" s="20"/>
      <c r="D824" s="22"/>
      <c r="E824" s="22"/>
      <c r="F824" s="22"/>
      <c r="G824" s="22"/>
      <c r="H824" s="33" t="n">
        <f aca="false">IF(COUNT($D824:$G824)&lt;4,0,SUM($D824:$G824))</f>
        <v>0</v>
      </c>
      <c r="I824" s="19" t="str">
        <f aca="false">IF($H824=0,"",IF($H824&lt;=8,"Ótimo",IF($H824&lt;=12,"Bom",IF($H824&lt;=16,"Regular",IF($H824&lt;=20,"Alerta","Crítico")))))</f>
        <v/>
      </c>
      <c r="J824" s="20"/>
      <c r="K824" s="20"/>
    </row>
    <row r="825" customFormat="false" ht="15" hidden="false" customHeight="false" outlineLevel="0" collapsed="false">
      <c r="A825" s="21"/>
      <c r="B825" s="33" t="n">
        <f aca="false">IF($A825="",0,INT(($A825-Macrociclo!$C$11)/7)+1)</f>
        <v>0</v>
      </c>
      <c r="C825" s="20"/>
      <c r="D825" s="22"/>
      <c r="E825" s="22"/>
      <c r="F825" s="22"/>
      <c r="G825" s="22"/>
      <c r="H825" s="33" t="n">
        <f aca="false">IF(COUNT($D825:$G825)&lt;4,0,SUM($D825:$G825))</f>
        <v>0</v>
      </c>
      <c r="I825" s="19" t="str">
        <f aca="false">IF($H825=0,"",IF($H825&lt;=8,"Ótimo",IF($H825&lt;=12,"Bom",IF($H825&lt;=16,"Regular",IF($H825&lt;=20,"Alerta","Crítico")))))</f>
        <v/>
      </c>
      <c r="J825" s="20"/>
      <c r="K825" s="20"/>
    </row>
    <row r="826" customFormat="false" ht="15" hidden="false" customHeight="false" outlineLevel="0" collapsed="false">
      <c r="A826" s="21"/>
      <c r="B826" s="33" t="n">
        <f aca="false">IF($A826="",0,INT(($A826-Macrociclo!$C$11)/7)+1)</f>
        <v>0</v>
      </c>
      <c r="C826" s="20"/>
      <c r="D826" s="22"/>
      <c r="E826" s="22"/>
      <c r="F826" s="22"/>
      <c r="G826" s="22"/>
      <c r="H826" s="33" t="n">
        <f aca="false">IF(COUNT($D826:$G826)&lt;4,0,SUM($D826:$G826))</f>
        <v>0</v>
      </c>
      <c r="I826" s="19" t="str">
        <f aca="false">IF($H826=0,"",IF($H826&lt;=8,"Ótimo",IF($H826&lt;=12,"Bom",IF($H826&lt;=16,"Regular",IF($H826&lt;=20,"Alerta","Crítico")))))</f>
        <v/>
      </c>
      <c r="J826" s="20"/>
      <c r="K826" s="20"/>
    </row>
    <row r="827" customFormat="false" ht="15" hidden="false" customHeight="false" outlineLevel="0" collapsed="false">
      <c r="A827" s="21"/>
      <c r="B827" s="33" t="n">
        <f aca="false">IF($A827="",0,INT(($A827-Macrociclo!$C$11)/7)+1)</f>
        <v>0</v>
      </c>
      <c r="C827" s="20"/>
      <c r="D827" s="22"/>
      <c r="E827" s="22"/>
      <c r="F827" s="22"/>
      <c r="G827" s="22"/>
      <c r="H827" s="33" t="n">
        <f aca="false">IF(COUNT($D827:$G827)&lt;4,0,SUM($D827:$G827))</f>
        <v>0</v>
      </c>
      <c r="I827" s="19" t="str">
        <f aca="false">IF($H827=0,"",IF($H827&lt;=8,"Ótimo",IF($H827&lt;=12,"Bom",IF($H827&lt;=16,"Regular",IF($H827&lt;=20,"Alerta","Crítico")))))</f>
        <v/>
      </c>
      <c r="J827" s="20"/>
      <c r="K827" s="20"/>
    </row>
    <row r="828" customFormat="false" ht="15" hidden="false" customHeight="false" outlineLevel="0" collapsed="false">
      <c r="A828" s="21"/>
      <c r="B828" s="33" t="n">
        <f aca="false">IF($A828="",0,INT(($A828-Macrociclo!$C$11)/7)+1)</f>
        <v>0</v>
      </c>
      <c r="C828" s="20"/>
      <c r="D828" s="22"/>
      <c r="E828" s="22"/>
      <c r="F828" s="22"/>
      <c r="G828" s="22"/>
      <c r="H828" s="33" t="n">
        <f aca="false">IF(COUNT($D828:$G828)&lt;4,0,SUM($D828:$G828))</f>
        <v>0</v>
      </c>
      <c r="I828" s="19" t="str">
        <f aca="false">IF($H828=0,"",IF($H828&lt;=8,"Ótimo",IF($H828&lt;=12,"Bom",IF($H828&lt;=16,"Regular",IF($H828&lt;=20,"Alerta","Crítico")))))</f>
        <v/>
      </c>
      <c r="J828" s="20"/>
      <c r="K828" s="20"/>
    </row>
    <row r="829" customFormat="false" ht="15" hidden="false" customHeight="false" outlineLevel="0" collapsed="false">
      <c r="A829" s="21"/>
      <c r="B829" s="33" t="n">
        <f aca="false">IF($A829="",0,INT(($A829-Macrociclo!$C$11)/7)+1)</f>
        <v>0</v>
      </c>
      <c r="C829" s="20"/>
      <c r="D829" s="22"/>
      <c r="E829" s="22"/>
      <c r="F829" s="22"/>
      <c r="G829" s="22"/>
      <c r="H829" s="33" t="n">
        <f aca="false">IF(COUNT($D829:$G829)&lt;4,0,SUM($D829:$G829))</f>
        <v>0</v>
      </c>
      <c r="I829" s="19" t="str">
        <f aca="false">IF($H829=0,"",IF($H829&lt;=8,"Ótimo",IF($H829&lt;=12,"Bom",IF($H829&lt;=16,"Regular",IF($H829&lt;=20,"Alerta","Crítico")))))</f>
        <v/>
      </c>
      <c r="J829" s="20"/>
      <c r="K829" s="20"/>
    </row>
    <row r="830" customFormat="false" ht="15" hidden="false" customHeight="false" outlineLevel="0" collapsed="false">
      <c r="A830" s="21"/>
      <c r="B830" s="33" t="n">
        <f aca="false">IF($A830="",0,INT(($A830-Macrociclo!$C$11)/7)+1)</f>
        <v>0</v>
      </c>
      <c r="C830" s="20"/>
      <c r="D830" s="22"/>
      <c r="E830" s="22"/>
      <c r="F830" s="22"/>
      <c r="G830" s="22"/>
      <c r="H830" s="33" t="n">
        <f aca="false">IF(COUNT($D830:$G830)&lt;4,0,SUM($D830:$G830))</f>
        <v>0</v>
      </c>
      <c r="I830" s="19" t="str">
        <f aca="false">IF($H830=0,"",IF($H830&lt;=8,"Ótimo",IF($H830&lt;=12,"Bom",IF($H830&lt;=16,"Regular",IF($H830&lt;=20,"Alerta","Crítico")))))</f>
        <v/>
      </c>
      <c r="J830" s="20"/>
      <c r="K830" s="20"/>
    </row>
    <row r="831" customFormat="false" ht="15" hidden="false" customHeight="false" outlineLevel="0" collapsed="false">
      <c r="A831" s="21"/>
      <c r="B831" s="33" t="n">
        <f aca="false">IF($A831="",0,INT(($A831-Macrociclo!$C$11)/7)+1)</f>
        <v>0</v>
      </c>
      <c r="C831" s="20"/>
      <c r="D831" s="22"/>
      <c r="E831" s="22"/>
      <c r="F831" s="22"/>
      <c r="G831" s="22"/>
      <c r="H831" s="33" t="n">
        <f aca="false">IF(COUNT($D831:$G831)&lt;4,0,SUM($D831:$G831))</f>
        <v>0</v>
      </c>
      <c r="I831" s="19" t="str">
        <f aca="false">IF($H831=0,"",IF($H831&lt;=8,"Ótimo",IF($H831&lt;=12,"Bom",IF($H831&lt;=16,"Regular",IF($H831&lt;=20,"Alerta","Crítico")))))</f>
        <v/>
      </c>
      <c r="J831" s="20"/>
      <c r="K831" s="20"/>
    </row>
    <row r="832" customFormat="false" ht="15" hidden="false" customHeight="false" outlineLevel="0" collapsed="false">
      <c r="A832" s="21"/>
      <c r="B832" s="33" t="n">
        <f aca="false">IF($A832="",0,INT(($A832-Macrociclo!$C$11)/7)+1)</f>
        <v>0</v>
      </c>
      <c r="C832" s="20"/>
      <c r="D832" s="22"/>
      <c r="E832" s="22"/>
      <c r="F832" s="22"/>
      <c r="G832" s="22"/>
      <c r="H832" s="33" t="n">
        <f aca="false">IF(COUNT($D832:$G832)&lt;4,0,SUM($D832:$G832))</f>
        <v>0</v>
      </c>
      <c r="I832" s="19" t="str">
        <f aca="false">IF($H832=0,"",IF($H832&lt;=8,"Ótimo",IF($H832&lt;=12,"Bom",IF($H832&lt;=16,"Regular",IF($H832&lt;=20,"Alerta","Crítico")))))</f>
        <v/>
      </c>
      <c r="J832" s="20"/>
      <c r="K832" s="20"/>
    </row>
    <row r="833" customFormat="false" ht="15" hidden="false" customHeight="false" outlineLevel="0" collapsed="false">
      <c r="A833" s="21"/>
      <c r="B833" s="33" t="n">
        <f aca="false">IF($A833="",0,INT(($A833-Macrociclo!$C$11)/7)+1)</f>
        <v>0</v>
      </c>
      <c r="C833" s="20"/>
      <c r="D833" s="22"/>
      <c r="E833" s="22"/>
      <c r="F833" s="22"/>
      <c r="G833" s="22"/>
      <c r="H833" s="33" t="n">
        <f aca="false">IF(COUNT($D833:$G833)&lt;4,0,SUM($D833:$G833))</f>
        <v>0</v>
      </c>
      <c r="I833" s="19" t="str">
        <f aca="false">IF($H833=0,"",IF($H833&lt;=8,"Ótimo",IF($H833&lt;=12,"Bom",IF($H833&lt;=16,"Regular",IF($H833&lt;=20,"Alerta","Crítico")))))</f>
        <v/>
      </c>
      <c r="J833" s="20"/>
      <c r="K833" s="20"/>
    </row>
    <row r="834" customFormat="false" ht="15" hidden="false" customHeight="false" outlineLevel="0" collapsed="false">
      <c r="A834" s="21"/>
      <c r="B834" s="33" t="n">
        <f aca="false">IF($A834="",0,INT(($A834-Macrociclo!$C$11)/7)+1)</f>
        <v>0</v>
      </c>
      <c r="C834" s="20"/>
      <c r="D834" s="22"/>
      <c r="E834" s="22"/>
      <c r="F834" s="22"/>
      <c r="G834" s="22"/>
      <c r="H834" s="33" t="n">
        <f aca="false">IF(COUNT($D834:$G834)&lt;4,0,SUM($D834:$G834))</f>
        <v>0</v>
      </c>
      <c r="I834" s="19" t="str">
        <f aca="false">IF($H834=0,"",IF($H834&lt;=8,"Ótimo",IF($H834&lt;=12,"Bom",IF($H834&lt;=16,"Regular",IF($H834&lt;=20,"Alerta","Crítico")))))</f>
        <v/>
      </c>
      <c r="J834" s="20"/>
      <c r="K834" s="20"/>
    </row>
    <row r="835" customFormat="false" ht="15" hidden="false" customHeight="false" outlineLevel="0" collapsed="false">
      <c r="A835" s="21"/>
      <c r="B835" s="33" t="n">
        <f aca="false">IF($A835="",0,INT(($A835-Macrociclo!$C$11)/7)+1)</f>
        <v>0</v>
      </c>
      <c r="C835" s="20"/>
      <c r="D835" s="22"/>
      <c r="E835" s="22"/>
      <c r="F835" s="22"/>
      <c r="G835" s="22"/>
      <c r="H835" s="33" t="n">
        <f aca="false">IF(COUNT($D835:$G835)&lt;4,0,SUM($D835:$G835))</f>
        <v>0</v>
      </c>
      <c r="I835" s="19" t="str">
        <f aca="false">IF($H835=0,"",IF($H835&lt;=8,"Ótimo",IF($H835&lt;=12,"Bom",IF($H835&lt;=16,"Regular",IF($H835&lt;=20,"Alerta","Crítico")))))</f>
        <v/>
      </c>
      <c r="J835" s="20"/>
      <c r="K835" s="20"/>
    </row>
    <row r="836" customFormat="false" ht="15" hidden="false" customHeight="false" outlineLevel="0" collapsed="false">
      <c r="A836" s="21"/>
      <c r="B836" s="33" t="n">
        <f aca="false">IF($A836="",0,INT(($A836-Macrociclo!$C$11)/7)+1)</f>
        <v>0</v>
      </c>
      <c r="C836" s="20"/>
      <c r="D836" s="22"/>
      <c r="E836" s="22"/>
      <c r="F836" s="22"/>
      <c r="G836" s="22"/>
      <c r="H836" s="33" t="n">
        <f aca="false">IF(COUNT($D836:$G836)&lt;4,0,SUM($D836:$G836))</f>
        <v>0</v>
      </c>
      <c r="I836" s="19" t="str">
        <f aca="false">IF($H836=0,"",IF($H836&lt;=8,"Ótimo",IF($H836&lt;=12,"Bom",IF($H836&lt;=16,"Regular",IF($H836&lt;=20,"Alerta","Crítico")))))</f>
        <v/>
      </c>
      <c r="J836" s="20"/>
      <c r="K836" s="20"/>
    </row>
    <row r="837" customFormat="false" ht="15" hidden="false" customHeight="false" outlineLevel="0" collapsed="false">
      <c r="A837" s="21"/>
      <c r="B837" s="33" t="n">
        <f aca="false">IF($A837="",0,INT(($A837-Macrociclo!$C$11)/7)+1)</f>
        <v>0</v>
      </c>
      <c r="C837" s="20"/>
      <c r="D837" s="22"/>
      <c r="E837" s="22"/>
      <c r="F837" s="22"/>
      <c r="G837" s="22"/>
      <c r="H837" s="33" t="n">
        <f aca="false">IF(COUNT($D837:$G837)&lt;4,0,SUM($D837:$G837))</f>
        <v>0</v>
      </c>
      <c r="I837" s="19" t="str">
        <f aca="false">IF($H837=0,"",IF($H837&lt;=8,"Ótimo",IF($H837&lt;=12,"Bom",IF($H837&lt;=16,"Regular",IF($H837&lt;=20,"Alerta","Crítico")))))</f>
        <v/>
      </c>
      <c r="J837" s="20"/>
      <c r="K837" s="20"/>
    </row>
    <row r="838" customFormat="false" ht="15" hidden="false" customHeight="false" outlineLevel="0" collapsed="false">
      <c r="A838" s="21"/>
      <c r="B838" s="33" t="n">
        <f aca="false">IF($A838="",0,INT(($A838-Macrociclo!$C$11)/7)+1)</f>
        <v>0</v>
      </c>
      <c r="C838" s="20"/>
      <c r="D838" s="22"/>
      <c r="E838" s="22"/>
      <c r="F838" s="22"/>
      <c r="G838" s="22"/>
      <c r="H838" s="33" t="n">
        <f aca="false">IF(COUNT($D838:$G838)&lt;4,0,SUM($D838:$G838))</f>
        <v>0</v>
      </c>
      <c r="I838" s="19" t="str">
        <f aca="false">IF($H838=0,"",IF($H838&lt;=8,"Ótimo",IF($H838&lt;=12,"Bom",IF($H838&lt;=16,"Regular",IF($H838&lt;=20,"Alerta","Crítico")))))</f>
        <v/>
      </c>
      <c r="J838" s="20"/>
      <c r="K838" s="20"/>
    </row>
    <row r="839" customFormat="false" ht="15" hidden="false" customHeight="false" outlineLevel="0" collapsed="false">
      <c r="A839" s="21"/>
      <c r="B839" s="33" t="n">
        <f aca="false">IF($A839="",0,INT(($A839-Macrociclo!$C$11)/7)+1)</f>
        <v>0</v>
      </c>
      <c r="C839" s="20"/>
      <c r="D839" s="22"/>
      <c r="E839" s="22"/>
      <c r="F839" s="22"/>
      <c r="G839" s="22"/>
      <c r="H839" s="33" t="n">
        <f aca="false">IF(COUNT($D839:$G839)&lt;4,0,SUM($D839:$G839))</f>
        <v>0</v>
      </c>
      <c r="I839" s="19" t="str">
        <f aca="false">IF($H839=0,"",IF($H839&lt;=8,"Ótimo",IF($H839&lt;=12,"Bom",IF($H839&lt;=16,"Regular",IF($H839&lt;=20,"Alerta","Crítico")))))</f>
        <v/>
      </c>
      <c r="J839" s="20"/>
      <c r="K839" s="20"/>
    </row>
    <row r="840" customFormat="false" ht="15" hidden="false" customHeight="false" outlineLevel="0" collapsed="false">
      <c r="A840" s="21"/>
      <c r="B840" s="33" t="n">
        <f aca="false">IF($A840="",0,INT(($A840-Macrociclo!$C$11)/7)+1)</f>
        <v>0</v>
      </c>
      <c r="C840" s="20"/>
      <c r="D840" s="22"/>
      <c r="E840" s="22"/>
      <c r="F840" s="22"/>
      <c r="G840" s="22"/>
      <c r="H840" s="33" t="n">
        <f aca="false">IF(COUNT($D840:$G840)&lt;4,0,SUM($D840:$G840))</f>
        <v>0</v>
      </c>
      <c r="I840" s="19" t="str">
        <f aca="false">IF($H840=0,"",IF($H840&lt;=8,"Ótimo",IF($H840&lt;=12,"Bom",IF($H840&lt;=16,"Regular",IF($H840&lt;=20,"Alerta","Crítico")))))</f>
        <v/>
      </c>
      <c r="J840" s="20"/>
      <c r="K840" s="20"/>
    </row>
    <row r="841" customFormat="false" ht="15" hidden="false" customHeight="false" outlineLevel="0" collapsed="false">
      <c r="A841" s="21"/>
      <c r="B841" s="33" t="n">
        <f aca="false">IF($A841="",0,INT(($A841-Macrociclo!$C$11)/7)+1)</f>
        <v>0</v>
      </c>
      <c r="C841" s="20"/>
      <c r="D841" s="22"/>
      <c r="E841" s="22"/>
      <c r="F841" s="22"/>
      <c r="G841" s="22"/>
      <c r="H841" s="33" t="n">
        <f aca="false">IF(COUNT($D841:$G841)&lt;4,0,SUM($D841:$G841))</f>
        <v>0</v>
      </c>
      <c r="I841" s="19" t="str">
        <f aca="false">IF($H841=0,"",IF($H841&lt;=8,"Ótimo",IF($H841&lt;=12,"Bom",IF($H841&lt;=16,"Regular",IF($H841&lt;=20,"Alerta","Crítico")))))</f>
        <v/>
      </c>
      <c r="J841" s="20"/>
      <c r="K841" s="20"/>
    </row>
    <row r="842" customFormat="false" ht="15" hidden="false" customHeight="false" outlineLevel="0" collapsed="false">
      <c r="A842" s="21"/>
      <c r="B842" s="33" t="n">
        <f aca="false">IF($A842="",0,INT(($A842-Macrociclo!$C$11)/7)+1)</f>
        <v>0</v>
      </c>
      <c r="C842" s="20"/>
      <c r="D842" s="22"/>
      <c r="E842" s="22"/>
      <c r="F842" s="22"/>
      <c r="G842" s="22"/>
      <c r="H842" s="33" t="n">
        <f aca="false">IF(COUNT($D842:$G842)&lt;4,0,SUM($D842:$G842))</f>
        <v>0</v>
      </c>
      <c r="I842" s="19" t="str">
        <f aca="false">IF($H842=0,"",IF($H842&lt;=8,"Ótimo",IF($H842&lt;=12,"Bom",IF($H842&lt;=16,"Regular",IF($H842&lt;=20,"Alerta","Crítico")))))</f>
        <v/>
      </c>
      <c r="J842" s="20"/>
      <c r="K842" s="20"/>
    </row>
    <row r="843" customFormat="false" ht="15" hidden="false" customHeight="false" outlineLevel="0" collapsed="false">
      <c r="A843" s="21"/>
      <c r="B843" s="33" t="n">
        <f aca="false">IF($A843="",0,INT(($A843-Macrociclo!$C$11)/7)+1)</f>
        <v>0</v>
      </c>
      <c r="C843" s="20"/>
      <c r="D843" s="22"/>
      <c r="E843" s="22"/>
      <c r="F843" s="22"/>
      <c r="G843" s="22"/>
      <c r="H843" s="33" t="n">
        <f aca="false">IF(COUNT($D843:$G843)&lt;4,0,SUM($D843:$G843))</f>
        <v>0</v>
      </c>
      <c r="I843" s="19" t="str">
        <f aca="false">IF($H843=0,"",IF($H843&lt;=8,"Ótimo",IF($H843&lt;=12,"Bom",IF($H843&lt;=16,"Regular",IF($H843&lt;=20,"Alerta","Crítico")))))</f>
        <v/>
      </c>
      <c r="J843" s="20"/>
      <c r="K843" s="20"/>
    </row>
    <row r="844" customFormat="false" ht="15" hidden="false" customHeight="false" outlineLevel="0" collapsed="false">
      <c r="A844" s="21"/>
      <c r="B844" s="33" t="n">
        <f aca="false">IF($A844="",0,INT(($A844-Macrociclo!$C$11)/7)+1)</f>
        <v>0</v>
      </c>
      <c r="C844" s="20"/>
      <c r="D844" s="22"/>
      <c r="E844" s="22"/>
      <c r="F844" s="22"/>
      <c r="G844" s="22"/>
      <c r="H844" s="33" t="n">
        <f aca="false">IF(COUNT($D844:$G844)&lt;4,0,SUM($D844:$G844))</f>
        <v>0</v>
      </c>
      <c r="I844" s="19" t="str">
        <f aca="false">IF($H844=0,"",IF($H844&lt;=8,"Ótimo",IF($H844&lt;=12,"Bom",IF($H844&lt;=16,"Regular",IF($H844&lt;=20,"Alerta","Crítico")))))</f>
        <v/>
      </c>
      <c r="J844" s="20"/>
      <c r="K844" s="20"/>
    </row>
    <row r="845" customFormat="false" ht="15" hidden="false" customHeight="false" outlineLevel="0" collapsed="false">
      <c r="A845" s="21"/>
      <c r="B845" s="33" t="n">
        <f aca="false">IF($A845="",0,INT(($A845-Macrociclo!$C$11)/7)+1)</f>
        <v>0</v>
      </c>
      <c r="C845" s="20"/>
      <c r="D845" s="22"/>
      <c r="E845" s="22"/>
      <c r="F845" s="22"/>
      <c r="G845" s="22"/>
      <c r="H845" s="33" t="n">
        <f aca="false">IF(COUNT($D845:$G845)&lt;4,0,SUM($D845:$G845))</f>
        <v>0</v>
      </c>
      <c r="I845" s="19" t="str">
        <f aca="false">IF($H845=0,"",IF($H845&lt;=8,"Ótimo",IF($H845&lt;=12,"Bom",IF($H845&lt;=16,"Regular",IF($H845&lt;=20,"Alerta","Crítico")))))</f>
        <v/>
      </c>
      <c r="J845" s="20"/>
      <c r="K845" s="20"/>
    </row>
    <row r="846" customFormat="false" ht="15" hidden="false" customHeight="false" outlineLevel="0" collapsed="false">
      <c r="A846" s="21"/>
      <c r="B846" s="33" t="n">
        <f aca="false">IF($A846="",0,INT(($A846-Macrociclo!$C$11)/7)+1)</f>
        <v>0</v>
      </c>
      <c r="C846" s="20"/>
      <c r="D846" s="22"/>
      <c r="E846" s="22"/>
      <c r="F846" s="22"/>
      <c r="G846" s="22"/>
      <c r="H846" s="33" t="n">
        <f aca="false">IF(COUNT($D846:$G846)&lt;4,0,SUM($D846:$G846))</f>
        <v>0</v>
      </c>
      <c r="I846" s="19" t="str">
        <f aca="false">IF($H846=0,"",IF($H846&lt;=8,"Ótimo",IF($H846&lt;=12,"Bom",IF($H846&lt;=16,"Regular",IF($H846&lt;=20,"Alerta","Crítico")))))</f>
        <v/>
      </c>
      <c r="J846" s="20"/>
      <c r="K846" s="20"/>
    </row>
    <row r="847" customFormat="false" ht="15" hidden="false" customHeight="false" outlineLevel="0" collapsed="false">
      <c r="A847" s="21"/>
      <c r="B847" s="33" t="n">
        <f aca="false">IF($A847="",0,INT(($A847-Macrociclo!$C$11)/7)+1)</f>
        <v>0</v>
      </c>
      <c r="C847" s="20"/>
      <c r="D847" s="22"/>
      <c r="E847" s="22"/>
      <c r="F847" s="22"/>
      <c r="G847" s="22"/>
      <c r="H847" s="33" t="n">
        <f aca="false">IF(COUNT($D847:$G847)&lt;4,0,SUM($D847:$G847))</f>
        <v>0</v>
      </c>
      <c r="I847" s="19" t="str">
        <f aca="false">IF($H847=0,"",IF($H847&lt;=8,"Ótimo",IF($H847&lt;=12,"Bom",IF($H847&lt;=16,"Regular",IF($H847&lt;=20,"Alerta","Crítico")))))</f>
        <v/>
      </c>
      <c r="J847" s="20"/>
      <c r="K847" s="20"/>
    </row>
    <row r="848" customFormat="false" ht="15" hidden="false" customHeight="false" outlineLevel="0" collapsed="false">
      <c r="A848" s="21"/>
      <c r="B848" s="33" t="n">
        <f aca="false">IF($A848="",0,INT(($A848-Macrociclo!$C$11)/7)+1)</f>
        <v>0</v>
      </c>
      <c r="C848" s="20"/>
      <c r="D848" s="22"/>
      <c r="E848" s="22"/>
      <c r="F848" s="22"/>
      <c r="G848" s="22"/>
      <c r="H848" s="33" t="n">
        <f aca="false">IF(COUNT($D848:$G848)&lt;4,0,SUM($D848:$G848))</f>
        <v>0</v>
      </c>
      <c r="I848" s="19" t="str">
        <f aca="false">IF($H848=0,"",IF($H848&lt;=8,"Ótimo",IF($H848&lt;=12,"Bom",IF($H848&lt;=16,"Regular",IF($H848&lt;=20,"Alerta","Crítico")))))</f>
        <v/>
      </c>
      <c r="J848" s="20"/>
      <c r="K848" s="20"/>
    </row>
    <row r="849" customFormat="false" ht="15" hidden="false" customHeight="false" outlineLevel="0" collapsed="false">
      <c r="A849" s="21"/>
      <c r="B849" s="33" t="n">
        <f aca="false">IF($A849="",0,INT(($A849-Macrociclo!$C$11)/7)+1)</f>
        <v>0</v>
      </c>
      <c r="C849" s="20"/>
      <c r="D849" s="22"/>
      <c r="E849" s="22"/>
      <c r="F849" s="22"/>
      <c r="G849" s="22"/>
      <c r="H849" s="33" t="n">
        <f aca="false">IF(COUNT($D849:$G849)&lt;4,0,SUM($D849:$G849))</f>
        <v>0</v>
      </c>
      <c r="I849" s="19" t="str">
        <f aca="false">IF($H849=0,"",IF($H849&lt;=8,"Ótimo",IF($H849&lt;=12,"Bom",IF($H849&lt;=16,"Regular",IF($H849&lt;=20,"Alerta","Crítico")))))</f>
        <v/>
      </c>
      <c r="J849" s="20"/>
      <c r="K849" s="20"/>
    </row>
    <row r="850" customFormat="false" ht="15" hidden="false" customHeight="false" outlineLevel="0" collapsed="false">
      <c r="A850" s="21"/>
      <c r="B850" s="33" t="n">
        <f aca="false">IF($A850="",0,INT(($A850-Macrociclo!$C$11)/7)+1)</f>
        <v>0</v>
      </c>
      <c r="C850" s="20"/>
      <c r="D850" s="22"/>
      <c r="E850" s="22"/>
      <c r="F850" s="22"/>
      <c r="G850" s="22"/>
      <c r="H850" s="33" t="n">
        <f aca="false">IF(COUNT($D850:$G850)&lt;4,0,SUM($D850:$G850))</f>
        <v>0</v>
      </c>
      <c r="I850" s="19" t="str">
        <f aca="false">IF($H850=0,"",IF($H850&lt;=8,"Ótimo",IF($H850&lt;=12,"Bom",IF($H850&lt;=16,"Regular",IF($H850&lt;=20,"Alerta","Crítico")))))</f>
        <v/>
      </c>
      <c r="J850" s="20"/>
      <c r="K850" s="20"/>
    </row>
    <row r="851" customFormat="false" ht="15" hidden="false" customHeight="false" outlineLevel="0" collapsed="false">
      <c r="A851" s="21"/>
      <c r="B851" s="33" t="n">
        <f aca="false">IF($A851="",0,INT(($A851-Macrociclo!$C$11)/7)+1)</f>
        <v>0</v>
      </c>
      <c r="C851" s="20"/>
      <c r="D851" s="22"/>
      <c r="E851" s="22"/>
      <c r="F851" s="22"/>
      <c r="G851" s="22"/>
      <c r="H851" s="33" t="n">
        <f aca="false">IF(COUNT($D851:$G851)&lt;4,0,SUM($D851:$G851))</f>
        <v>0</v>
      </c>
      <c r="I851" s="19" t="str">
        <f aca="false">IF($H851=0,"",IF($H851&lt;=8,"Ótimo",IF($H851&lt;=12,"Bom",IF($H851&lt;=16,"Regular",IF($H851&lt;=20,"Alerta","Crítico")))))</f>
        <v/>
      </c>
      <c r="J851" s="20"/>
      <c r="K851" s="20"/>
    </row>
    <row r="852" customFormat="false" ht="15" hidden="false" customHeight="false" outlineLevel="0" collapsed="false">
      <c r="A852" s="21"/>
      <c r="B852" s="33" t="n">
        <f aca="false">IF($A852="",0,INT(($A852-Macrociclo!$C$11)/7)+1)</f>
        <v>0</v>
      </c>
      <c r="C852" s="20"/>
      <c r="D852" s="22"/>
      <c r="E852" s="22"/>
      <c r="F852" s="22"/>
      <c r="G852" s="22"/>
      <c r="H852" s="33" t="n">
        <f aca="false">IF(COUNT($D852:$G852)&lt;4,0,SUM($D852:$G852))</f>
        <v>0</v>
      </c>
      <c r="I852" s="19" t="str">
        <f aca="false">IF($H852=0,"",IF($H852&lt;=8,"Ótimo",IF($H852&lt;=12,"Bom",IF($H852&lt;=16,"Regular",IF($H852&lt;=20,"Alerta","Crítico")))))</f>
        <v/>
      </c>
      <c r="J852" s="20"/>
      <c r="K852" s="20"/>
    </row>
    <row r="853" customFormat="false" ht="15" hidden="false" customHeight="false" outlineLevel="0" collapsed="false">
      <c r="A853" s="21"/>
      <c r="B853" s="33" t="n">
        <f aca="false">IF($A853="",0,INT(($A853-Macrociclo!$C$11)/7)+1)</f>
        <v>0</v>
      </c>
      <c r="C853" s="20"/>
      <c r="D853" s="22"/>
      <c r="E853" s="22"/>
      <c r="F853" s="22"/>
      <c r="G853" s="22"/>
      <c r="H853" s="33" t="n">
        <f aca="false">IF(COUNT($D853:$G853)&lt;4,0,SUM($D853:$G853))</f>
        <v>0</v>
      </c>
      <c r="I853" s="19" t="str">
        <f aca="false">IF($H853=0,"",IF($H853&lt;=8,"Ótimo",IF($H853&lt;=12,"Bom",IF($H853&lt;=16,"Regular",IF($H853&lt;=20,"Alerta","Crítico")))))</f>
        <v/>
      </c>
      <c r="J853" s="20"/>
      <c r="K853" s="20"/>
    </row>
    <row r="854" customFormat="false" ht="15" hidden="false" customHeight="false" outlineLevel="0" collapsed="false">
      <c r="A854" s="21"/>
      <c r="B854" s="33" t="n">
        <f aca="false">IF($A854="",0,INT(($A854-Macrociclo!$C$11)/7)+1)</f>
        <v>0</v>
      </c>
      <c r="C854" s="20"/>
      <c r="D854" s="22"/>
      <c r="E854" s="22"/>
      <c r="F854" s="22"/>
      <c r="G854" s="22"/>
      <c r="H854" s="33" t="n">
        <f aca="false">IF(COUNT($D854:$G854)&lt;4,0,SUM($D854:$G854))</f>
        <v>0</v>
      </c>
      <c r="I854" s="19" t="str">
        <f aca="false">IF($H854=0,"",IF($H854&lt;=8,"Ótimo",IF($H854&lt;=12,"Bom",IF($H854&lt;=16,"Regular",IF($H854&lt;=20,"Alerta","Crítico")))))</f>
        <v/>
      </c>
      <c r="J854" s="20"/>
      <c r="K854" s="20"/>
    </row>
    <row r="855" customFormat="false" ht="15" hidden="false" customHeight="false" outlineLevel="0" collapsed="false">
      <c r="A855" s="21"/>
      <c r="B855" s="33" t="n">
        <f aca="false">IF($A855="",0,INT(($A855-Macrociclo!$C$11)/7)+1)</f>
        <v>0</v>
      </c>
      <c r="C855" s="20"/>
      <c r="D855" s="22"/>
      <c r="E855" s="22"/>
      <c r="F855" s="22"/>
      <c r="G855" s="22"/>
      <c r="H855" s="33" t="n">
        <f aca="false">IF(COUNT($D855:$G855)&lt;4,0,SUM($D855:$G855))</f>
        <v>0</v>
      </c>
      <c r="I855" s="19" t="str">
        <f aca="false">IF($H855=0,"",IF($H855&lt;=8,"Ótimo",IF($H855&lt;=12,"Bom",IF($H855&lt;=16,"Regular",IF($H855&lt;=20,"Alerta","Crítico")))))</f>
        <v/>
      </c>
      <c r="J855" s="20"/>
      <c r="K855" s="20"/>
    </row>
    <row r="856" customFormat="false" ht="15" hidden="false" customHeight="false" outlineLevel="0" collapsed="false">
      <c r="A856" s="21"/>
      <c r="B856" s="33" t="n">
        <f aca="false">IF($A856="",0,INT(($A856-Macrociclo!$C$11)/7)+1)</f>
        <v>0</v>
      </c>
      <c r="C856" s="20"/>
      <c r="D856" s="22"/>
      <c r="E856" s="22"/>
      <c r="F856" s="22"/>
      <c r="G856" s="22"/>
      <c r="H856" s="33" t="n">
        <f aca="false">IF(COUNT($D856:$G856)&lt;4,0,SUM($D856:$G856))</f>
        <v>0</v>
      </c>
      <c r="I856" s="19" t="str">
        <f aca="false">IF($H856=0,"",IF($H856&lt;=8,"Ótimo",IF($H856&lt;=12,"Bom",IF($H856&lt;=16,"Regular",IF($H856&lt;=20,"Alerta","Crítico")))))</f>
        <v/>
      </c>
      <c r="J856" s="20"/>
      <c r="K856" s="20"/>
    </row>
    <row r="857" customFormat="false" ht="15" hidden="false" customHeight="false" outlineLevel="0" collapsed="false">
      <c r="A857" s="21"/>
      <c r="B857" s="33" t="n">
        <f aca="false">IF($A857="",0,INT(($A857-Macrociclo!$C$11)/7)+1)</f>
        <v>0</v>
      </c>
      <c r="C857" s="20"/>
      <c r="D857" s="22"/>
      <c r="E857" s="22"/>
      <c r="F857" s="22"/>
      <c r="G857" s="22"/>
      <c r="H857" s="33" t="n">
        <f aca="false">IF(COUNT($D857:$G857)&lt;4,0,SUM($D857:$G857))</f>
        <v>0</v>
      </c>
      <c r="I857" s="19" t="str">
        <f aca="false">IF($H857=0,"",IF($H857&lt;=8,"Ótimo",IF($H857&lt;=12,"Bom",IF($H857&lt;=16,"Regular",IF($H857&lt;=20,"Alerta","Crítico")))))</f>
        <v/>
      </c>
      <c r="J857" s="20"/>
      <c r="K857" s="20"/>
    </row>
    <row r="858" customFormat="false" ht="15" hidden="false" customHeight="false" outlineLevel="0" collapsed="false">
      <c r="A858" s="21"/>
      <c r="B858" s="33" t="n">
        <f aca="false">IF($A858="",0,INT(($A858-Macrociclo!$C$11)/7)+1)</f>
        <v>0</v>
      </c>
      <c r="C858" s="20"/>
      <c r="D858" s="22"/>
      <c r="E858" s="22"/>
      <c r="F858" s="22"/>
      <c r="G858" s="22"/>
      <c r="H858" s="33" t="n">
        <f aca="false">IF(COUNT($D858:$G858)&lt;4,0,SUM($D858:$G858))</f>
        <v>0</v>
      </c>
      <c r="I858" s="19" t="str">
        <f aca="false">IF($H858=0,"",IF($H858&lt;=8,"Ótimo",IF($H858&lt;=12,"Bom",IF($H858&lt;=16,"Regular",IF($H858&lt;=20,"Alerta","Crítico")))))</f>
        <v/>
      </c>
      <c r="J858" s="20"/>
      <c r="K858" s="20"/>
    </row>
    <row r="859" customFormat="false" ht="15" hidden="false" customHeight="false" outlineLevel="0" collapsed="false">
      <c r="A859" s="21"/>
      <c r="B859" s="33" t="n">
        <f aca="false">IF($A859="",0,INT(($A859-Macrociclo!$C$11)/7)+1)</f>
        <v>0</v>
      </c>
      <c r="C859" s="20"/>
      <c r="D859" s="22"/>
      <c r="E859" s="22"/>
      <c r="F859" s="22"/>
      <c r="G859" s="22"/>
      <c r="H859" s="33" t="n">
        <f aca="false">IF(COUNT($D859:$G859)&lt;4,0,SUM($D859:$G859))</f>
        <v>0</v>
      </c>
      <c r="I859" s="19" t="str">
        <f aca="false">IF($H859=0,"",IF($H859&lt;=8,"Ótimo",IF($H859&lt;=12,"Bom",IF($H859&lt;=16,"Regular",IF($H859&lt;=20,"Alerta","Crítico")))))</f>
        <v/>
      </c>
      <c r="J859" s="20"/>
      <c r="K859" s="20"/>
    </row>
    <row r="860" customFormat="false" ht="15" hidden="false" customHeight="false" outlineLevel="0" collapsed="false">
      <c r="A860" s="21"/>
      <c r="B860" s="33" t="n">
        <f aca="false">IF($A860="",0,INT(($A860-Macrociclo!$C$11)/7)+1)</f>
        <v>0</v>
      </c>
      <c r="C860" s="20"/>
      <c r="D860" s="22"/>
      <c r="E860" s="22"/>
      <c r="F860" s="22"/>
      <c r="G860" s="22"/>
      <c r="H860" s="33" t="n">
        <f aca="false">IF(COUNT($D860:$G860)&lt;4,0,SUM($D860:$G860))</f>
        <v>0</v>
      </c>
      <c r="I860" s="19" t="str">
        <f aca="false">IF($H860=0,"",IF($H860&lt;=8,"Ótimo",IF($H860&lt;=12,"Bom",IF($H860&lt;=16,"Regular",IF($H860&lt;=20,"Alerta","Crítico")))))</f>
        <v/>
      </c>
      <c r="J860" s="20"/>
      <c r="K860" s="20"/>
    </row>
    <row r="861" customFormat="false" ht="15" hidden="false" customHeight="false" outlineLevel="0" collapsed="false">
      <c r="A861" s="21"/>
      <c r="B861" s="33" t="n">
        <f aca="false">IF($A861="",0,INT(($A861-Macrociclo!$C$11)/7)+1)</f>
        <v>0</v>
      </c>
      <c r="C861" s="20"/>
      <c r="D861" s="22"/>
      <c r="E861" s="22"/>
      <c r="F861" s="22"/>
      <c r="G861" s="22"/>
      <c r="H861" s="33" t="n">
        <f aca="false">IF(COUNT($D861:$G861)&lt;4,0,SUM($D861:$G861))</f>
        <v>0</v>
      </c>
      <c r="I861" s="19" t="str">
        <f aca="false">IF($H861=0,"",IF($H861&lt;=8,"Ótimo",IF($H861&lt;=12,"Bom",IF($H861&lt;=16,"Regular",IF($H861&lt;=20,"Alerta","Crítico")))))</f>
        <v/>
      </c>
      <c r="J861" s="20"/>
      <c r="K861" s="20"/>
    </row>
    <row r="862" customFormat="false" ht="15" hidden="false" customHeight="false" outlineLevel="0" collapsed="false">
      <c r="A862" s="21"/>
      <c r="B862" s="33" t="n">
        <f aca="false">IF($A862="",0,INT(($A862-Macrociclo!$C$11)/7)+1)</f>
        <v>0</v>
      </c>
      <c r="C862" s="20"/>
      <c r="D862" s="22"/>
      <c r="E862" s="22"/>
      <c r="F862" s="22"/>
      <c r="G862" s="22"/>
      <c r="H862" s="33" t="n">
        <f aca="false">IF(COUNT($D862:$G862)&lt;4,0,SUM($D862:$G862))</f>
        <v>0</v>
      </c>
      <c r="I862" s="19" t="str">
        <f aca="false">IF($H862=0,"",IF($H862&lt;=8,"Ótimo",IF($H862&lt;=12,"Bom",IF($H862&lt;=16,"Regular",IF($H862&lt;=20,"Alerta","Crítico")))))</f>
        <v/>
      </c>
      <c r="J862" s="20"/>
      <c r="K862" s="20"/>
    </row>
    <row r="863" customFormat="false" ht="15" hidden="false" customHeight="false" outlineLevel="0" collapsed="false">
      <c r="A863" s="21"/>
      <c r="B863" s="33" t="n">
        <f aca="false">IF($A863="",0,INT(($A863-Macrociclo!$C$11)/7)+1)</f>
        <v>0</v>
      </c>
      <c r="C863" s="20"/>
      <c r="D863" s="22"/>
      <c r="E863" s="22"/>
      <c r="F863" s="22"/>
      <c r="G863" s="22"/>
      <c r="H863" s="33" t="n">
        <f aca="false">IF(COUNT($D863:$G863)&lt;4,0,SUM($D863:$G863))</f>
        <v>0</v>
      </c>
      <c r="I863" s="19" t="str">
        <f aca="false">IF($H863=0,"",IF($H863&lt;=8,"Ótimo",IF($H863&lt;=12,"Bom",IF($H863&lt;=16,"Regular",IF($H863&lt;=20,"Alerta","Crítico")))))</f>
        <v/>
      </c>
      <c r="J863" s="20"/>
      <c r="K863" s="20"/>
    </row>
    <row r="864" customFormat="false" ht="15" hidden="false" customHeight="false" outlineLevel="0" collapsed="false">
      <c r="A864" s="21"/>
      <c r="B864" s="33" t="n">
        <f aca="false">IF($A864="",0,INT(($A864-Macrociclo!$C$11)/7)+1)</f>
        <v>0</v>
      </c>
      <c r="C864" s="20"/>
      <c r="D864" s="22"/>
      <c r="E864" s="22"/>
      <c r="F864" s="22"/>
      <c r="G864" s="22"/>
      <c r="H864" s="33" t="n">
        <f aca="false">IF(COUNT($D864:$G864)&lt;4,0,SUM($D864:$G864))</f>
        <v>0</v>
      </c>
      <c r="I864" s="19" t="str">
        <f aca="false">IF($H864=0,"",IF($H864&lt;=8,"Ótimo",IF($H864&lt;=12,"Bom",IF($H864&lt;=16,"Regular",IF($H864&lt;=20,"Alerta","Crítico")))))</f>
        <v/>
      </c>
      <c r="J864" s="20"/>
      <c r="K864" s="20"/>
    </row>
    <row r="865" customFormat="false" ht="15" hidden="false" customHeight="false" outlineLevel="0" collapsed="false">
      <c r="A865" s="21"/>
      <c r="B865" s="33" t="n">
        <f aca="false">IF($A865="",0,INT(($A865-Macrociclo!$C$11)/7)+1)</f>
        <v>0</v>
      </c>
      <c r="C865" s="20"/>
      <c r="D865" s="22"/>
      <c r="E865" s="22"/>
      <c r="F865" s="22"/>
      <c r="G865" s="22"/>
      <c r="H865" s="33" t="n">
        <f aca="false">IF(COUNT($D865:$G865)&lt;4,0,SUM($D865:$G865))</f>
        <v>0</v>
      </c>
      <c r="I865" s="19" t="str">
        <f aca="false">IF($H865=0,"",IF($H865&lt;=8,"Ótimo",IF($H865&lt;=12,"Bom",IF($H865&lt;=16,"Regular",IF($H865&lt;=20,"Alerta","Crítico")))))</f>
        <v/>
      </c>
      <c r="J865" s="20"/>
      <c r="K865" s="20"/>
    </row>
    <row r="866" customFormat="false" ht="15" hidden="false" customHeight="false" outlineLevel="0" collapsed="false">
      <c r="A866" s="21"/>
      <c r="B866" s="33" t="n">
        <f aca="false">IF($A866="",0,INT(($A866-Macrociclo!$C$11)/7)+1)</f>
        <v>0</v>
      </c>
      <c r="C866" s="20"/>
      <c r="D866" s="22"/>
      <c r="E866" s="22"/>
      <c r="F866" s="22"/>
      <c r="G866" s="22"/>
      <c r="H866" s="33" t="n">
        <f aca="false">IF(COUNT($D866:$G866)&lt;4,0,SUM($D866:$G866))</f>
        <v>0</v>
      </c>
      <c r="I866" s="19" t="str">
        <f aca="false">IF($H866=0,"",IF($H866&lt;=8,"Ótimo",IF($H866&lt;=12,"Bom",IF($H866&lt;=16,"Regular",IF($H866&lt;=20,"Alerta","Crítico")))))</f>
        <v/>
      </c>
      <c r="J866" s="20"/>
      <c r="K866" s="20"/>
    </row>
    <row r="867" customFormat="false" ht="15" hidden="false" customHeight="false" outlineLevel="0" collapsed="false">
      <c r="A867" s="21"/>
      <c r="B867" s="33" t="n">
        <f aca="false">IF($A867="",0,INT(($A867-Macrociclo!$C$11)/7)+1)</f>
        <v>0</v>
      </c>
      <c r="C867" s="20"/>
      <c r="D867" s="22"/>
      <c r="E867" s="22"/>
      <c r="F867" s="22"/>
      <c r="G867" s="22"/>
      <c r="H867" s="33" t="n">
        <f aca="false">IF(COUNT($D867:$G867)&lt;4,0,SUM($D867:$G867))</f>
        <v>0</v>
      </c>
      <c r="I867" s="19" t="str">
        <f aca="false">IF($H867=0,"",IF($H867&lt;=8,"Ótimo",IF($H867&lt;=12,"Bom",IF($H867&lt;=16,"Regular",IF($H867&lt;=20,"Alerta","Crítico")))))</f>
        <v/>
      </c>
      <c r="J867" s="20"/>
      <c r="K867" s="20"/>
    </row>
    <row r="868" customFormat="false" ht="15" hidden="false" customHeight="false" outlineLevel="0" collapsed="false">
      <c r="A868" s="21"/>
      <c r="B868" s="33" t="n">
        <f aca="false">IF($A868="",0,INT(($A868-Macrociclo!$C$11)/7)+1)</f>
        <v>0</v>
      </c>
      <c r="C868" s="20"/>
      <c r="D868" s="22"/>
      <c r="E868" s="22"/>
      <c r="F868" s="22"/>
      <c r="G868" s="22"/>
      <c r="H868" s="33" t="n">
        <f aca="false">IF(COUNT($D868:$G868)&lt;4,0,SUM($D868:$G868))</f>
        <v>0</v>
      </c>
      <c r="I868" s="19" t="str">
        <f aca="false">IF($H868=0,"",IF($H868&lt;=8,"Ótimo",IF($H868&lt;=12,"Bom",IF($H868&lt;=16,"Regular",IF($H868&lt;=20,"Alerta","Crítico")))))</f>
        <v/>
      </c>
      <c r="J868" s="20"/>
      <c r="K868" s="20"/>
    </row>
    <row r="869" customFormat="false" ht="15" hidden="false" customHeight="false" outlineLevel="0" collapsed="false">
      <c r="A869" s="21"/>
      <c r="B869" s="33" t="n">
        <f aca="false">IF($A869="",0,INT(($A869-Macrociclo!$C$11)/7)+1)</f>
        <v>0</v>
      </c>
      <c r="C869" s="20"/>
      <c r="D869" s="22"/>
      <c r="E869" s="22"/>
      <c r="F869" s="22"/>
      <c r="G869" s="22"/>
      <c r="H869" s="33" t="n">
        <f aca="false">IF(COUNT($D869:$G869)&lt;4,0,SUM($D869:$G869))</f>
        <v>0</v>
      </c>
      <c r="I869" s="19" t="str">
        <f aca="false">IF($H869=0,"",IF($H869&lt;=8,"Ótimo",IF($H869&lt;=12,"Bom",IF($H869&lt;=16,"Regular",IF($H869&lt;=20,"Alerta","Crítico")))))</f>
        <v/>
      </c>
      <c r="J869" s="20"/>
      <c r="K869" s="20"/>
    </row>
    <row r="870" customFormat="false" ht="15" hidden="false" customHeight="false" outlineLevel="0" collapsed="false">
      <c r="A870" s="21"/>
      <c r="B870" s="33" t="n">
        <f aca="false">IF($A870="",0,INT(($A870-Macrociclo!$C$11)/7)+1)</f>
        <v>0</v>
      </c>
      <c r="C870" s="20"/>
      <c r="D870" s="22"/>
      <c r="E870" s="22"/>
      <c r="F870" s="22"/>
      <c r="G870" s="22"/>
      <c r="H870" s="33" t="n">
        <f aca="false">IF(COUNT($D870:$G870)&lt;4,0,SUM($D870:$G870))</f>
        <v>0</v>
      </c>
      <c r="I870" s="19" t="str">
        <f aca="false">IF($H870=0,"",IF($H870&lt;=8,"Ótimo",IF($H870&lt;=12,"Bom",IF($H870&lt;=16,"Regular",IF($H870&lt;=20,"Alerta","Crítico")))))</f>
        <v/>
      </c>
      <c r="J870" s="20"/>
      <c r="K870" s="20"/>
    </row>
    <row r="871" customFormat="false" ht="15" hidden="false" customHeight="false" outlineLevel="0" collapsed="false">
      <c r="A871" s="21"/>
      <c r="B871" s="33" t="n">
        <f aca="false">IF($A871="",0,INT(($A871-Macrociclo!$C$11)/7)+1)</f>
        <v>0</v>
      </c>
      <c r="C871" s="20"/>
      <c r="D871" s="22"/>
      <c r="E871" s="22"/>
      <c r="F871" s="22"/>
      <c r="G871" s="22"/>
      <c r="H871" s="33" t="n">
        <f aca="false">IF(COUNT($D871:$G871)&lt;4,0,SUM($D871:$G871))</f>
        <v>0</v>
      </c>
      <c r="I871" s="19" t="str">
        <f aca="false">IF($H871=0,"",IF($H871&lt;=8,"Ótimo",IF($H871&lt;=12,"Bom",IF($H871&lt;=16,"Regular",IF($H871&lt;=20,"Alerta","Crítico")))))</f>
        <v/>
      </c>
      <c r="J871" s="20"/>
      <c r="K871" s="20"/>
    </row>
    <row r="872" customFormat="false" ht="15" hidden="false" customHeight="false" outlineLevel="0" collapsed="false">
      <c r="A872" s="21"/>
      <c r="B872" s="33" t="n">
        <f aca="false">IF($A872="",0,INT(($A872-Macrociclo!$C$11)/7)+1)</f>
        <v>0</v>
      </c>
      <c r="C872" s="20"/>
      <c r="D872" s="22"/>
      <c r="E872" s="22"/>
      <c r="F872" s="22"/>
      <c r="G872" s="22"/>
      <c r="H872" s="33" t="n">
        <f aca="false">IF(COUNT($D872:$G872)&lt;4,0,SUM($D872:$G872))</f>
        <v>0</v>
      </c>
      <c r="I872" s="19" t="str">
        <f aca="false">IF($H872=0,"",IF($H872&lt;=8,"Ótimo",IF($H872&lt;=12,"Bom",IF($H872&lt;=16,"Regular",IF($H872&lt;=20,"Alerta","Crítico")))))</f>
        <v/>
      </c>
      <c r="J872" s="20"/>
      <c r="K872" s="20"/>
    </row>
    <row r="873" customFormat="false" ht="15" hidden="false" customHeight="false" outlineLevel="0" collapsed="false">
      <c r="A873" s="21"/>
      <c r="B873" s="33" t="n">
        <f aca="false">IF($A873="",0,INT(($A873-Macrociclo!$C$11)/7)+1)</f>
        <v>0</v>
      </c>
      <c r="C873" s="20"/>
      <c r="D873" s="22"/>
      <c r="E873" s="22"/>
      <c r="F873" s="22"/>
      <c r="G873" s="22"/>
      <c r="H873" s="33" t="n">
        <f aca="false">IF(COUNT($D873:$G873)&lt;4,0,SUM($D873:$G873))</f>
        <v>0</v>
      </c>
      <c r="I873" s="19" t="str">
        <f aca="false">IF($H873=0,"",IF($H873&lt;=8,"Ótimo",IF($H873&lt;=12,"Bom",IF($H873&lt;=16,"Regular",IF($H873&lt;=20,"Alerta","Crítico")))))</f>
        <v/>
      </c>
      <c r="J873" s="20"/>
      <c r="K873" s="20"/>
    </row>
    <row r="874" customFormat="false" ht="15" hidden="false" customHeight="false" outlineLevel="0" collapsed="false">
      <c r="A874" s="21"/>
      <c r="B874" s="33" t="n">
        <f aca="false">IF($A874="",0,INT(($A874-Macrociclo!$C$11)/7)+1)</f>
        <v>0</v>
      </c>
      <c r="C874" s="20"/>
      <c r="D874" s="22"/>
      <c r="E874" s="22"/>
      <c r="F874" s="22"/>
      <c r="G874" s="22"/>
      <c r="H874" s="33" t="n">
        <f aca="false">IF(COUNT($D874:$G874)&lt;4,0,SUM($D874:$G874))</f>
        <v>0</v>
      </c>
      <c r="I874" s="19" t="str">
        <f aca="false">IF($H874=0,"",IF($H874&lt;=8,"Ótimo",IF($H874&lt;=12,"Bom",IF($H874&lt;=16,"Regular",IF($H874&lt;=20,"Alerta","Crítico")))))</f>
        <v/>
      </c>
      <c r="J874" s="20"/>
      <c r="K874" s="20"/>
    </row>
    <row r="875" customFormat="false" ht="15" hidden="false" customHeight="false" outlineLevel="0" collapsed="false">
      <c r="A875" s="21"/>
      <c r="B875" s="33" t="n">
        <f aca="false">IF($A875="",0,INT(($A875-Macrociclo!$C$11)/7)+1)</f>
        <v>0</v>
      </c>
      <c r="C875" s="20"/>
      <c r="D875" s="22"/>
      <c r="E875" s="22"/>
      <c r="F875" s="22"/>
      <c r="G875" s="22"/>
      <c r="H875" s="33" t="n">
        <f aca="false">IF(COUNT($D875:$G875)&lt;4,0,SUM($D875:$G875))</f>
        <v>0</v>
      </c>
      <c r="I875" s="19" t="str">
        <f aca="false">IF($H875=0,"",IF($H875&lt;=8,"Ótimo",IF($H875&lt;=12,"Bom",IF($H875&lt;=16,"Regular",IF($H875&lt;=20,"Alerta","Crítico")))))</f>
        <v/>
      </c>
      <c r="J875" s="20"/>
      <c r="K875" s="20"/>
    </row>
    <row r="876" customFormat="false" ht="15" hidden="false" customHeight="false" outlineLevel="0" collapsed="false">
      <c r="A876" s="21"/>
      <c r="B876" s="33" t="n">
        <f aca="false">IF($A876="",0,INT(($A876-Macrociclo!$C$11)/7)+1)</f>
        <v>0</v>
      </c>
      <c r="C876" s="20"/>
      <c r="D876" s="22"/>
      <c r="E876" s="22"/>
      <c r="F876" s="22"/>
      <c r="G876" s="22"/>
      <c r="H876" s="33" t="n">
        <f aca="false">IF(COUNT($D876:$G876)&lt;4,0,SUM($D876:$G876))</f>
        <v>0</v>
      </c>
      <c r="I876" s="19" t="str">
        <f aca="false">IF($H876=0,"",IF($H876&lt;=8,"Ótimo",IF($H876&lt;=12,"Bom",IF($H876&lt;=16,"Regular",IF($H876&lt;=20,"Alerta","Crítico")))))</f>
        <v/>
      </c>
      <c r="J876" s="20"/>
      <c r="K876" s="20"/>
    </row>
    <row r="877" customFormat="false" ht="15" hidden="false" customHeight="false" outlineLevel="0" collapsed="false">
      <c r="A877" s="21"/>
      <c r="B877" s="33" t="n">
        <f aca="false">IF($A877="",0,INT(($A877-Macrociclo!$C$11)/7)+1)</f>
        <v>0</v>
      </c>
      <c r="C877" s="20"/>
      <c r="D877" s="22"/>
      <c r="E877" s="22"/>
      <c r="F877" s="22"/>
      <c r="G877" s="22"/>
      <c r="H877" s="33" t="n">
        <f aca="false">IF(COUNT($D877:$G877)&lt;4,0,SUM($D877:$G877))</f>
        <v>0</v>
      </c>
      <c r="I877" s="19" t="str">
        <f aca="false">IF($H877=0,"",IF($H877&lt;=8,"Ótimo",IF($H877&lt;=12,"Bom",IF($H877&lt;=16,"Regular",IF($H877&lt;=20,"Alerta","Crítico")))))</f>
        <v/>
      </c>
      <c r="J877" s="20"/>
      <c r="K877" s="20"/>
    </row>
    <row r="878" customFormat="false" ht="15" hidden="false" customHeight="false" outlineLevel="0" collapsed="false">
      <c r="A878" s="21"/>
      <c r="B878" s="33" t="n">
        <f aca="false">IF($A878="",0,INT(($A878-Macrociclo!$C$11)/7)+1)</f>
        <v>0</v>
      </c>
      <c r="C878" s="20"/>
      <c r="D878" s="22"/>
      <c r="E878" s="22"/>
      <c r="F878" s="22"/>
      <c r="G878" s="22"/>
      <c r="H878" s="33" t="n">
        <f aca="false">IF(COUNT($D878:$G878)&lt;4,0,SUM($D878:$G878))</f>
        <v>0</v>
      </c>
      <c r="I878" s="19" t="str">
        <f aca="false">IF($H878=0,"",IF($H878&lt;=8,"Ótimo",IF($H878&lt;=12,"Bom",IF($H878&lt;=16,"Regular",IF($H878&lt;=20,"Alerta","Crítico")))))</f>
        <v/>
      </c>
      <c r="J878" s="20"/>
      <c r="K878" s="20"/>
    </row>
    <row r="879" customFormat="false" ht="15" hidden="false" customHeight="false" outlineLevel="0" collapsed="false">
      <c r="A879" s="21"/>
      <c r="B879" s="33" t="n">
        <f aca="false">IF($A879="",0,INT(($A879-Macrociclo!$C$11)/7)+1)</f>
        <v>0</v>
      </c>
      <c r="C879" s="20"/>
      <c r="D879" s="22"/>
      <c r="E879" s="22"/>
      <c r="F879" s="22"/>
      <c r="G879" s="22"/>
      <c r="H879" s="33" t="n">
        <f aca="false">IF(COUNT($D879:$G879)&lt;4,0,SUM($D879:$G879))</f>
        <v>0</v>
      </c>
      <c r="I879" s="19" t="str">
        <f aca="false">IF($H879=0,"",IF($H879&lt;=8,"Ótimo",IF($H879&lt;=12,"Bom",IF($H879&lt;=16,"Regular",IF($H879&lt;=20,"Alerta","Crítico")))))</f>
        <v/>
      </c>
      <c r="J879" s="20"/>
      <c r="K879" s="20"/>
    </row>
    <row r="880" customFormat="false" ht="15" hidden="false" customHeight="false" outlineLevel="0" collapsed="false">
      <c r="A880" s="21"/>
      <c r="B880" s="33" t="n">
        <f aca="false">IF($A880="",0,INT(($A880-Macrociclo!$C$11)/7)+1)</f>
        <v>0</v>
      </c>
      <c r="C880" s="20"/>
      <c r="D880" s="22"/>
      <c r="E880" s="22"/>
      <c r="F880" s="22"/>
      <c r="G880" s="22"/>
      <c r="H880" s="33" t="n">
        <f aca="false">IF(COUNT($D880:$G880)&lt;4,0,SUM($D880:$G880))</f>
        <v>0</v>
      </c>
      <c r="I880" s="19" t="str">
        <f aca="false">IF($H880=0,"",IF($H880&lt;=8,"Ótimo",IF($H880&lt;=12,"Bom",IF($H880&lt;=16,"Regular",IF($H880&lt;=20,"Alerta","Crítico")))))</f>
        <v/>
      </c>
      <c r="J880" s="20"/>
      <c r="K880" s="20"/>
    </row>
    <row r="881" customFormat="false" ht="15" hidden="false" customHeight="false" outlineLevel="0" collapsed="false">
      <c r="A881" s="21"/>
      <c r="B881" s="33" t="n">
        <f aca="false">IF($A881="",0,INT(($A881-Macrociclo!$C$11)/7)+1)</f>
        <v>0</v>
      </c>
      <c r="C881" s="20"/>
      <c r="D881" s="22"/>
      <c r="E881" s="22"/>
      <c r="F881" s="22"/>
      <c r="G881" s="22"/>
      <c r="H881" s="33" t="n">
        <f aca="false">IF(COUNT($D881:$G881)&lt;4,0,SUM($D881:$G881))</f>
        <v>0</v>
      </c>
      <c r="I881" s="19" t="str">
        <f aca="false">IF($H881=0,"",IF($H881&lt;=8,"Ótimo",IF($H881&lt;=12,"Bom",IF($H881&lt;=16,"Regular",IF($H881&lt;=20,"Alerta","Crítico")))))</f>
        <v/>
      </c>
      <c r="J881" s="20"/>
      <c r="K881" s="20"/>
    </row>
    <row r="882" customFormat="false" ht="15" hidden="false" customHeight="false" outlineLevel="0" collapsed="false">
      <c r="A882" s="21"/>
      <c r="B882" s="33" t="n">
        <f aca="false">IF($A882="",0,INT(($A882-Macrociclo!$C$11)/7)+1)</f>
        <v>0</v>
      </c>
      <c r="C882" s="20"/>
      <c r="D882" s="22"/>
      <c r="E882" s="22"/>
      <c r="F882" s="22"/>
      <c r="G882" s="22"/>
      <c r="H882" s="33" t="n">
        <f aca="false">IF(COUNT($D882:$G882)&lt;4,0,SUM($D882:$G882))</f>
        <v>0</v>
      </c>
      <c r="I882" s="19" t="str">
        <f aca="false">IF($H882=0,"",IF($H882&lt;=8,"Ótimo",IF($H882&lt;=12,"Bom",IF($H882&lt;=16,"Regular",IF($H882&lt;=20,"Alerta","Crítico")))))</f>
        <v/>
      </c>
      <c r="J882" s="20"/>
      <c r="K882" s="20"/>
    </row>
    <row r="883" customFormat="false" ht="15" hidden="false" customHeight="false" outlineLevel="0" collapsed="false">
      <c r="A883" s="21"/>
      <c r="B883" s="33" t="n">
        <f aca="false">IF($A883="",0,INT(($A883-Macrociclo!$C$11)/7)+1)</f>
        <v>0</v>
      </c>
      <c r="C883" s="20"/>
      <c r="D883" s="22"/>
      <c r="E883" s="22"/>
      <c r="F883" s="22"/>
      <c r="G883" s="22"/>
      <c r="H883" s="33" t="n">
        <f aca="false">IF(COUNT($D883:$G883)&lt;4,0,SUM($D883:$G883))</f>
        <v>0</v>
      </c>
      <c r="I883" s="19" t="str">
        <f aca="false">IF($H883=0,"",IF($H883&lt;=8,"Ótimo",IF($H883&lt;=12,"Bom",IF($H883&lt;=16,"Regular",IF($H883&lt;=20,"Alerta","Crítico")))))</f>
        <v/>
      </c>
      <c r="J883" s="20"/>
      <c r="K883" s="20"/>
    </row>
    <row r="884" customFormat="false" ht="15" hidden="false" customHeight="false" outlineLevel="0" collapsed="false">
      <c r="A884" s="21"/>
      <c r="B884" s="33" t="n">
        <f aca="false">IF($A884="",0,INT(($A884-Macrociclo!$C$11)/7)+1)</f>
        <v>0</v>
      </c>
      <c r="C884" s="20"/>
      <c r="D884" s="22"/>
      <c r="E884" s="22"/>
      <c r="F884" s="22"/>
      <c r="G884" s="22"/>
      <c r="H884" s="33" t="n">
        <f aca="false">IF(COUNT($D884:$G884)&lt;4,0,SUM($D884:$G884))</f>
        <v>0</v>
      </c>
      <c r="I884" s="19" t="str">
        <f aca="false">IF($H884=0,"",IF($H884&lt;=8,"Ótimo",IF($H884&lt;=12,"Bom",IF($H884&lt;=16,"Regular",IF($H884&lt;=20,"Alerta","Crítico")))))</f>
        <v/>
      </c>
      <c r="J884" s="20"/>
      <c r="K884" s="20"/>
    </row>
    <row r="885" customFormat="false" ht="15" hidden="false" customHeight="false" outlineLevel="0" collapsed="false">
      <c r="A885" s="21"/>
      <c r="B885" s="33" t="n">
        <f aca="false">IF($A885="",0,INT(($A885-Macrociclo!$C$11)/7)+1)</f>
        <v>0</v>
      </c>
      <c r="C885" s="20"/>
      <c r="D885" s="22"/>
      <c r="E885" s="22"/>
      <c r="F885" s="22"/>
      <c r="G885" s="22"/>
      <c r="H885" s="33" t="n">
        <f aca="false">IF(COUNT($D885:$G885)&lt;4,0,SUM($D885:$G885))</f>
        <v>0</v>
      </c>
      <c r="I885" s="19" t="str">
        <f aca="false">IF($H885=0,"",IF($H885&lt;=8,"Ótimo",IF($H885&lt;=12,"Bom",IF($H885&lt;=16,"Regular",IF($H885&lt;=20,"Alerta","Crítico")))))</f>
        <v/>
      </c>
      <c r="J885" s="20"/>
      <c r="K885" s="20"/>
    </row>
    <row r="886" customFormat="false" ht="15" hidden="false" customHeight="false" outlineLevel="0" collapsed="false">
      <c r="A886" s="21"/>
      <c r="B886" s="33" t="n">
        <f aca="false">IF($A886="",0,INT(($A886-Macrociclo!$C$11)/7)+1)</f>
        <v>0</v>
      </c>
      <c r="C886" s="20"/>
      <c r="D886" s="22"/>
      <c r="E886" s="22"/>
      <c r="F886" s="22"/>
      <c r="G886" s="22"/>
      <c r="H886" s="33" t="n">
        <f aca="false">IF(COUNT($D886:$G886)&lt;4,0,SUM($D886:$G886))</f>
        <v>0</v>
      </c>
      <c r="I886" s="19" t="str">
        <f aca="false">IF($H886=0,"",IF($H886&lt;=8,"Ótimo",IF($H886&lt;=12,"Bom",IF($H886&lt;=16,"Regular",IF($H886&lt;=20,"Alerta","Crítico")))))</f>
        <v/>
      </c>
      <c r="J886" s="20"/>
      <c r="K886" s="20"/>
    </row>
    <row r="887" customFormat="false" ht="15" hidden="false" customHeight="false" outlineLevel="0" collapsed="false">
      <c r="A887" s="21"/>
      <c r="B887" s="33" t="n">
        <f aca="false">IF($A887="",0,INT(($A887-Macrociclo!$C$11)/7)+1)</f>
        <v>0</v>
      </c>
      <c r="C887" s="20"/>
      <c r="D887" s="22"/>
      <c r="E887" s="22"/>
      <c r="F887" s="22"/>
      <c r="G887" s="22"/>
      <c r="H887" s="33" t="n">
        <f aca="false">IF(COUNT($D887:$G887)&lt;4,0,SUM($D887:$G887))</f>
        <v>0</v>
      </c>
      <c r="I887" s="19" t="str">
        <f aca="false">IF($H887=0,"",IF($H887&lt;=8,"Ótimo",IF($H887&lt;=12,"Bom",IF($H887&lt;=16,"Regular",IF($H887&lt;=20,"Alerta","Crítico")))))</f>
        <v/>
      </c>
      <c r="J887" s="20"/>
      <c r="K887" s="20"/>
    </row>
    <row r="888" customFormat="false" ht="15" hidden="false" customHeight="false" outlineLevel="0" collapsed="false">
      <c r="A888" s="21"/>
      <c r="B888" s="33" t="n">
        <f aca="false">IF($A888="",0,INT(($A888-Macrociclo!$C$11)/7)+1)</f>
        <v>0</v>
      </c>
      <c r="C888" s="20"/>
      <c r="D888" s="22"/>
      <c r="E888" s="22"/>
      <c r="F888" s="22"/>
      <c r="G888" s="22"/>
      <c r="H888" s="33" t="n">
        <f aca="false">IF(COUNT($D888:$G888)&lt;4,0,SUM($D888:$G888))</f>
        <v>0</v>
      </c>
      <c r="I888" s="19" t="str">
        <f aca="false">IF($H888=0,"",IF($H888&lt;=8,"Ótimo",IF($H888&lt;=12,"Bom",IF($H888&lt;=16,"Regular",IF($H888&lt;=20,"Alerta","Crítico")))))</f>
        <v/>
      </c>
      <c r="J888" s="20"/>
      <c r="K888" s="20"/>
    </row>
    <row r="889" customFormat="false" ht="15" hidden="false" customHeight="false" outlineLevel="0" collapsed="false">
      <c r="A889" s="21"/>
      <c r="B889" s="33" t="n">
        <f aca="false">IF($A889="",0,INT(($A889-Macrociclo!$C$11)/7)+1)</f>
        <v>0</v>
      </c>
      <c r="C889" s="20"/>
      <c r="D889" s="22"/>
      <c r="E889" s="22"/>
      <c r="F889" s="22"/>
      <c r="G889" s="22"/>
      <c r="H889" s="33" t="n">
        <f aca="false">IF(COUNT($D889:$G889)&lt;4,0,SUM($D889:$G889))</f>
        <v>0</v>
      </c>
      <c r="I889" s="19" t="str">
        <f aca="false">IF($H889=0,"",IF($H889&lt;=8,"Ótimo",IF($H889&lt;=12,"Bom",IF($H889&lt;=16,"Regular",IF($H889&lt;=20,"Alerta","Crítico")))))</f>
        <v/>
      </c>
      <c r="J889" s="20"/>
      <c r="K889" s="20"/>
    </row>
    <row r="890" customFormat="false" ht="15" hidden="false" customHeight="false" outlineLevel="0" collapsed="false">
      <c r="A890" s="21"/>
      <c r="B890" s="33" t="n">
        <f aca="false">IF($A890="",0,INT(($A890-Macrociclo!$C$11)/7)+1)</f>
        <v>0</v>
      </c>
      <c r="C890" s="20"/>
      <c r="D890" s="22"/>
      <c r="E890" s="22"/>
      <c r="F890" s="22"/>
      <c r="G890" s="22"/>
      <c r="H890" s="33" t="n">
        <f aca="false">IF(COUNT($D890:$G890)&lt;4,0,SUM($D890:$G890))</f>
        <v>0</v>
      </c>
      <c r="I890" s="19" t="str">
        <f aca="false">IF($H890=0,"",IF($H890&lt;=8,"Ótimo",IF($H890&lt;=12,"Bom",IF($H890&lt;=16,"Regular",IF($H890&lt;=20,"Alerta","Crítico")))))</f>
        <v/>
      </c>
      <c r="J890" s="20"/>
      <c r="K890" s="20"/>
    </row>
    <row r="891" customFormat="false" ht="15" hidden="false" customHeight="false" outlineLevel="0" collapsed="false">
      <c r="A891" s="21"/>
      <c r="B891" s="33" t="n">
        <f aca="false">IF($A891="",0,INT(($A891-Macrociclo!$C$11)/7)+1)</f>
        <v>0</v>
      </c>
      <c r="C891" s="20"/>
      <c r="D891" s="22"/>
      <c r="E891" s="22"/>
      <c r="F891" s="22"/>
      <c r="G891" s="22"/>
      <c r="H891" s="33" t="n">
        <f aca="false">IF(COUNT($D891:$G891)&lt;4,0,SUM($D891:$G891))</f>
        <v>0</v>
      </c>
      <c r="I891" s="19" t="str">
        <f aca="false">IF($H891=0,"",IF($H891&lt;=8,"Ótimo",IF($H891&lt;=12,"Bom",IF($H891&lt;=16,"Regular",IF($H891&lt;=20,"Alerta","Crítico")))))</f>
        <v/>
      </c>
      <c r="J891" s="20"/>
      <c r="K891" s="20"/>
    </row>
    <row r="892" customFormat="false" ht="15" hidden="false" customHeight="false" outlineLevel="0" collapsed="false">
      <c r="A892" s="21"/>
      <c r="B892" s="33" t="n">
        <f aca="false">IF($A892="",0,INT(($A892-Macrociclo!$C$11)/7)+1)</f>
        <v>0</v>
      </c>
      <c r="C892" s="20"/>
      <c r="D892" s="22"/>
      <c r="E892" s="22"/>
      <c r="F892" s="22"/>
      <c r="G892" s="22"/>
      <c r="H892" s="33" t="n">
        <f aca="false">IF(COUNT($D892:$G892)&lt;4,0,SUM($D892:$G892))</f>
        <v>0</v>
      </c>
      <c r="I892" s="19" t="str">
        <f aca="false">IF($H892=0,"",IF($H892&lt;=8,"Ótimo",IF($H892&lt;=12,"Bom",IF($H892&lt;=16,"Regular",IF($H892&lt;=20,"Alerta","Crítico")))))</f>
        <v/>
      </c>
      <c r="J892" s="20"/>
      <c r="K892" s="20"/>
    </row>
    <row r="893" customFormat="false" ht="15" hidden="false" customHeight="false" outlineLevel="0" collapsed="false">
      <c r="A893" s="21"/>
      <c r="B893" s="33" t="n">
        <f aca="false">IF($A893="",0,INT(($A893-Macrociclo!$C$11)/7)+1)</f>
        <v>0</v>
      </c>
      <c r="C893" s="20"/>
      <c r="D893" s="22"/>
      <c r="E893" s="22"/>
      <c r="F893" s="22"/>
      <c r="G893" s="22"/>
      <c r="H893" s="33" t="n">
        <f aca="false">IF(COUNT($D893:$G893)&lt;4,0,SUM($D893:$G893))</f>
        <v>0</v>
      </c>
      <c r="I893" s="19" t="str">
        <f aca="false">IF($H893=0,"",IF($H893&lt;=8,"Ótimo",IF($H893&lt;=12,"Bom",IF($H893&lt;=16,"Regular",IF($H893&lt;=20,"Alerta","Crítico")))))</f>
        <v/>
      </c>
      <c r="J893" s="20"/>
      <c r="K893" s="20"/>
    </row>
    <row r="894" customFormat="false" ht="15" hidden="false" customHeight="false" outlineLevel="0" collapsed="false">
      <c r="A894" s="21"/>
      <c r="B894" s="33" t="n">
        <f aca="false">IF($A894="",0,INT(($A894-Macrociclo!$C$11)/7)+1)</f>
        <v>0</v>
      </c>
      <c r="C894" s="20"/>
      <c r="D894" s="22"/>
      <c r="E894" s="22"/>
      <c r="F894" s="22"/>
      <c r="G894" s="22"/>
      <c r="H894" s="33" t="n">
        <f aca="false">IF(COUNT($D894:$G894)&lt;4,0,SUM($D894:$G894))</f>
        <v>0</v>
      </c>
      <c r="I894" s="19" t="str">
        <f aca="false">IF($H894=0,"",IF($H894&lt;=8,"Ótimo",IF($H894&lt;=12,"Bom",IF($H894&lt;=16,"Regular",IF($H894&lt;=20,"Alerta","Crítico")))))</f>
        <v/>
      </c>
      <c r="J894" s="20"/>
      <c r="K894" s="20"/>
    </row>
    <row r="895" customFormat="false" ht="15" hidden="false" customHeight="false" outlineLevel="0" collapsed="false">
      <c r="A895" s="21"/>
      <c r="B895" s="33" t="n">
        <f aca="false">IF($A895="",0,INT(($A895-Macrociclo!$C$11)/7)+1)</f>
        <v>0</v>
      </c>
      <c r="C895" s="20"/>
      <c r="D895" s="22"/>
      <c r="E895" s="22"/>
      <c r="F895" s="22"/>
      <c r="G895" s="22"/>
      <c r="H895" s="33" t="n">
        <f aca="false">IF(COUNT($D895:$G895)&lt;4,0,SUM($D895:$G895))</f>
        <v>0</v>
      </c>
      <c r="I895" s="19" t="str">
        <f aca="false">IF($H895=0,"",IF($H895&lt;=8,"Ótimo",IF($H895&lt;=12,"Bom",IF($H895&lt;=16,"Regular",IF($H895&lt;=20,"Alerta","Crítico")))))</f>
        <v/>
      </c>
      <c r="J895" s="20"/>
      <c r="K895" s="20"/>
    </row>
    <row r="896" customFormat="false" ht="15" hidden="false" customHeight="false" outlineLevel="0" collapsed="false">
      <c r="A896" s="21"/>
      <c r="B896" s="33" t="n">
        <f aca="false">IF($A896="",0,INT(($A896-Macrociclo!$C$11)/7)+1)</f>
        <v>0</v>
      </c>
      <c r="C896" s="20"/>
      <c r="D896" s="22"/>
      <c r="E896" s="22"/>
      <c r="F896" s="22"/>
      <c r="G896" s="22"/>
      <c r="H896" s="33" t="n">
        <f aca="false">IF(COUNT($D896:$G896)&lt;4,0,SUM($D896:$G896))</f>
        <v>0</v>
      </c>
      <c r="I896" s="19" t="str">
        <f aca="false">IF($H896=0,"",IF($H896&lt;=8,"Ótimo",IF($H896&lt;=12,"Bom",IF($H896&lt;=16,"Regular",IF($H896&lt;=20,"Alerta","Crítico")))))</f>
        <v/>
      </c>
      <c r="J896" s="20"/>
      <c r="K896" s="20"/>
    </row>
    <row r="897" customFormat="false" ht="15" hidden="false" customHeight="false" outlineLevel="0" collapsed="false">
      <c r="A897" s="21"/>
      <c r="B897" s="33" t="n">
        <f aca="false">IF($A897="",0,INT(($A897-Macrociclo!$C$11)/7)+1)</f>
        <v>0</v>
      </c>
      <c r="C897" s="20"/>
      <c r="D897" s="22"/>
      <c r="E897" s="22"/>
      <c r="F897" s="22"/>
      <c r="G897" s="22"/>
      <c r="H897" s="33" t="n">
        <f aca="false">IF(COUNT($D897:$G897)&lt;4,0,SUM($D897:$G897))</f>
        <v>0</v>
      </c>
      <c r="I897" s="19" t="str">
        <f aca="false">IF($H897=0,"",IF($H897&lt;=8,"Ótimo",IF($H897&lt;=12,"Bom",IF($H897&lt;=16,"Regular",IF($H897&lt;=20,"Alerta","Crítico")))))</f>
        <v/>
      </c>
      <c r="J897" s="20"/>
      <c r="K897" s="20"/>
    </row>
    <row r="898" customFormat="false" ht="15" hidden="false" customHeight="false" outlineLevel="0" collapsed="false">
      <c r="A898" s="21"/>
      <c r="B898" s="33" t="n">
        <f aca="false">IF($A898="",0,INT(($A898-Macrociclo!$C$11)/7)+1)</f>
        <v>0</v>
      </c>
      <c r="C898" s="20"/>
      <c r="D898" s="22"/>
      <c r="E898" s="22"/>
      <c r="F898" s="22"/>
      <c r="G898" s="22"/>
      <c r="H898" s="33" t="n">
        <f aca="false">IF(COUNT($D898:$G898)&lt;4,0,SUM($D898:$G898))</f>
        <v>0</v>
      </c>
      <c r="I898" s="19" t="str">
        <f aca="false">IF($H898=0,"",IF($H898&lt;=8,"Ótimo",IF($H898&lt;=12,"Bom",IF($H898&lt;=16,"Regular",IF($H898&lt;=20,"Alerta","Crítico")))))</f>
        <v/>
      </c>
      <c r="J898" s="20"/>
      <c r="K898" s="20"/>
    </row>
    <row r="899" customFormat="false" ht="15" hidden="false" customHeight="false" outlineLevel="0" collapsed="false">
      <c r="A899" s="21"/>
      <c r="B899" s="33" t="n">
        <f aca="false">IF($A899="",0,INT(($A899-Macrociclo!$C$11)/7)+1)</f>
        <v>0</v>
      </c>
      <c r="C899" s="20"/>
      <c r="D899" s="22"/>
      <c r="E899" s="22"/>
      <c r="F899" s="22"/>
      <c r="G899" s="22"/>
      <c r="H899" s="33" t="n">
        <f aca="false">IF(COUNT($D899:$G899)&lt;4,0,SUM($D899:$G899))</f>
        <v>0</v>
      </c>
      <c r="I899" s="19" t="str">
        <f aca="false">IF($H899=0,"",IF($H899&lt;=8,"Ótimo",IF($H899&lt;=12,"Bom",IF($H899&lt;=16,"Regular",IF($H899&lt;=20,"Alerta","Crítico")))))</f>
        <v/>
      </c>
      <c r="J899" s="20"/>
      <c r="K899" s="20"/>
    </row>
    <row r="900" customFormat="false" ht="15" hidden="false" customHeight="false" outlineLevel="0" collapsed="false">
      <c r="A900" s="21"/>
      <c r="B900" s="33" t="n">
        <f aca="false">IF($A900="",0,INT(($A900-Macrociclo!$C$11)/7)+1)</f>
        <v>0</v>
      </c>
      <c r="C900" s="20"/>
      <c r="D900" s="22"/>
      <c r="E900" s="22"/>
      <c r="F900" s="22"/>
      <c r="G900" s="22"/>
      <c r="H900" s="33" t="n">
        <f aca="false">IF(COUNT($D900:$G900)&lt;4,0,SUM($D900:$G900))</f>
        <v>0</v>
      </c>
      <c r="I900" s="19" t="str">
        <f aca="false">IF($H900=0,"",IF($H900&lt;=8,"Ótimo",IF($H900&lt;=12,"Bom",IF($H900&lt;=16,"Regular",IF($H900&lt;=20,"Alerta","Crítico")))))</f>
        <v/>
      </c>
      <c r="J900" s="20"/>
      <c r="K900" s="20"/>
    </row>
    <row r="901" customFormat="false" ht="15" hidden="false" customHeight="false" outlineLevel="0" collapsed="false">
      <c r="A901" s="21"/>
      <c r="B901" s="33" t="n">
        <f aca="false">IF($A901="",0,INT(($A901-Macrociclo!$C$11)/7)+1)</f>
        <v>0</v>
      </c>
      <c r="C901" s="20"/>
      <c r="D901" s="22"/>
      <c r="E901" s="22"/>
      <c r="F901" s="22"/>
      <c r="G901" s="22"/>
      <c r="H901" s="33" t="n">
        <f aca="false">IF(COUNT($D901:$G901)&lt;4,0,SUM($D901:$G901))</f>
        <v>0</v>
      </c>
      <c r="I901" s="19" t="str">
        <f aca="false">IF($H901=0,"",IF($H901&lt;=8,"Ótimo",IF($H901&lt;=12,"Bom",IF($H901&lt;=16,"Regular",IF($H901&lt;=20,"Alerta","Crítico")))))</f>
        <v/>
      </c>
      <c r="J901" s="20"/>
      <c r="K901" s="20"/>
    </row>
    <row r="902" customFormat="false" ht="15" hidden="false" customHeight="false" outlineLevel="0" collapsed="false">
      <c r="A902" s="21"/>
      <c r="B902" s="33" t="n">
        <f aca="false">IF($A902="",0,INT(($A902-Macrociclo!$C$11)/7)+1)</f>
        <v>0</v>
      </c>
      <c r="C902" s="20"/>
      <c r="D902" s="22"/>
      <c r="E902" s="22"/>
      <c r="F902" s="22"/>
      <c r="G902" s="22"/>
      <c r="H902" s="33" t="n">
        <f aca="false">IF(COUNT($D902:$G902)&lt;4,0,SUM($D902:$G902))</f>
        <v>0</v>
      </c>
      <c r="I902" s="19" t="str">
        <f aca="false">IF($H902=0,"",IF($H902&lt;=8,"Ótimo",IF($H902&lt;=12,"Bom",IF($H902&lt;=16,"Regular",IF($H902&lt;=20,"Alerta","Crítico")))))</f>
        <v/>
      </c>
      <c r="J902" s="20"/>
      <c r="K902" s="20"/>
    </row>
    <row r="903" customFormat="false" ht="15" hidden="false" customHeight="false" outlineLevel="0" collapsed="false">
      <c r="A903" s="21"/>
      <c r="B903" s="33" t="n">
        <f aca="false">IF($A903="",0,INT(($A903-Macrociclo!$C$11)/7)+1)</f>
        <v>0</v>
      </c>
      <c r="C903" s="20"/>
      <c r="D903" s="22"/>
      <c r="E903" s="22"/>
      <c r="F903" s="22"/>
      <c r="G903" s="22"/>
      <c r="H903" s="33" t="n">
        <f aca="false">IF(COUNT($D903:$G903)&lt;4,0,SUM($D903:$G903))</f>
        <v>0</v>
      </c>
      <c r="I903" s="19" t="str">
        <f aca="false">IF($H903=0,"",IF($H903&lt;=8,"Ótimo",IF($H903&lt;=12,"Bom",IF($H903&lt;=16,"Regular",IF($H903&lt;=20,"Alerta","Crítico")))))</f>
        <v/>
      </c>
      <c r="J903" s="20"/>
      <c r="K903" s="20"/>
    </row>
    <row r="904" customFormat="false" ht="15" hidden="false" customHeight="false" outlineLevel="0" collapsed="false">
      <c r="A904" s="21"/>
      <c r="B904" s="33" t="n">
        <f aca="false">IF($A904="",0,INT(($A904-Macrociclo!$C$11)/7)+1)</f>
        <v>0</v>
      </c>
      <c r="C904" s="20"/>
      <c r="D904" s="22"/>
      <c r="E904" s="22"/>
      <c r="F904" s="22"/>
      <c r="G904" s="22"/>
      <c r="H904" s="33" t="n">
        <f aca="false">IF(COUNT($D904:$G904)&lt;4,0,SUM($D904:$G904))</f>
        <v>0</v>
      </c>
      <c r="I904" s="19" t="str">
        <f aca="false">IF($H904=0,"",IF($H904&lt;=8,"Ótimo",IF($H904&lt;=12,"Bom",IF($H904&lt;=16,"Regular",IF($H904&lt;=20,"Alerta","Crítico")))))</f>
        <v/>
      </c>
      <c r="J904" s="20"/>
      <c r="K904" s="20"/>
    </row>
    <row r="905" customFormat="false" ht="15" hidden="false" customHeight="false" outlineLevel="0" collapsed="false">
      <c r="A905" s="21"/>
      <c r="B905" s="33" t="n">
        <f aca="false">IF($A905="",0,INT(($A905-Macrociclo!$C$11)/7)+1)</f>
        <v>0</v>
      </c>
      <c r="C905" s="20"/>
      <c r="D905" s="22"/>
      <c r="E905" s="22"/>
      <c r="F905" s="22"/>
      <c r="G905" s="22"/>
      <c r="H905" s="33" t="n">
        <f aca="false">IF(COUNT($D905:$G905)&lt;4,0,SUM($D905:$G905))</f>
        <v>0</v>
      </c>
      <c r="I905" s="19" t="str">
        <f aca="false">IF($H905=0,"",IF($H905&lt;=8,"Ótimo",IF($H905&lt;=12,"Bom",IF($H905&lt;=16,"Regular",IF($H905&lt;=20,"Alerta","Crítico")))))</f>
        <v/>
      </c>
      <c r="J905" s="20"/>
      <c r="K905" s="20"/>
    </row>
    <row r="906" customFormat="false" ht="15" hidden="false" customHeight="false" outlineLevel="0" collapsed="false">
      <c r="A906" s="21"/>
      <c r="B906" s="33" t="n">
        <f aca="false">IF($A906="",0,INT(($A906-Macrociclo!$C$11)/7)+1)</f>
        <v>0</v>
      </c>
      <c r="C906" s="20"/>
      <c r="D906" s="22"/>
      <c r="E906" s="22"/>
      <c r="F906" s="22"/>
      <c r="G906" s="22"/>
      <c r="H906" s="33" t="n">
        <f aca="false">IF(COUNT($D906:$G906)&lt;4,0,SUM($D906:$G906))</f>
        <v>0</v>
      </c>
      <c r="I906" s="19" t="str">
        <f aca="false">IF($H906=0,"",IF($H906&lt;=8,"Ótimo",IF($H906&lt;=12,"Bom",IF($H906&lt;=16,"Regular",IF($H906&lt;=20,"Alerta","Crítico")))))</f>
        <v/>
      </c>
      <c r="J906" s="20"/>
      <c r="K906" s="20"/>
    </row>
    <row r="907" customFormat="false" ht="15" hidden="false" customHeight="false" outlineLevel="0" collapsed="false">
      <c r="A907" s="21"/>
      <c r="B907" s="33" t="n">
        <f aca="false">IF($A907="",0,INT(($A907-Macrociclo!$C$11)/7)+1)</f>
        <v>0</v>
      </c>
      <c r="C907" s="20"/>
      <c r="D907" s="22"/>
      <c r="E907" s="22"/>
      <c r="F907" s="22"/>
      <c r="G907" s="22"/>
      <c r="H907" s="33" t="n">
        <f aca="false">IF(COUNT($D907:$G907)&lt;4,0,SUM($D907:$G907))</f>
        <v>0</v>
      </c>
      <c r="I907" s="19" t="str">
        <f aca="false">IF($H907=0,"",IF($H907&lt;=8,"Ótimo",IF($H907&lt;=12,"Bom",IF($H907&lt;=16,"Regular",IF($H907&lt;=20,"Alerta","Crítico")))))</f>
        <v/>
      </c>
      <c r="J907" s="20"/>
      <c r="K907" s="20"/>
    </row>
    <row r="908" customFormat="false" ht="15" hidden="false" customHeight="false" outlineLevel="0" collapsed="false">
      <c r="A908" s="21"/>
      <c r="B908" s="33" t="n">
        <f aca="false">IF($A908="",0,INT(($A908-Macrociclo!$C$11)/7)+1)</f>
        <v>0</v>
      </c>
      <c r="C908" s="20"/>
      <c r="D908" s="22"/>
      <c r="E908" s="22"/>
      <c r="F908" s="22"/>
      <c r="G908" s="22"/>
      <c r="H908" s="33" t="n">
        <f aca="false">IF(COUNT($D908:$G908)&lt;4,0,SUM($D908:$G908))</f>
        <v>0</v>
      </c>
      <c r="I908" s="19" t="str">
        <f aca="false">IF($H908=0,"",IF($H908&lt;=8,"Ótimo",IF($H908&lt;=12,"Bom",IF($H908&lt;=16,"Regular",IF($H908&lt;=20,"Alerta","Crítico")))))</f>
        <v/>
      </c>
      <c r="J908" s="20"/>
      <c r="K908" s="20"/>
    </row>
    <row r="909" customFormat="false" ht="15" hidden="false" customHeight="false" outlineLevel="0" collapsed="false">
      <c r="A909" s="21"/>
      <c r="B909" s="33" t="n">
        <f aca="false">IF($A909="",0,INT(($A909-Macrociclo!$C$11)/7)+1)</f>
        <v>0</v>
      </c>
      <c r="C909" s="20"/>
      <c r="D909" s="22"/>
      <c r="E909" s="22"/>
      <c r="F909" s="22"/>
      <c r="G909" s="22"/>
      <c r="H909" s="33" t="n">
        <f aca="false">IF(COUNT($D909:$G909)&lt;4,0,SUM($D909:$G909))</f>
        <v>0</v>
      </c>
      <c r="I909" s="19" t="str">
        <f aca="false">IF($H909=0,"",IF($H909&lt;=8,"Ótimo",IF($H909&lt;=12,"Bom",IF($H909&lt;=16,"Regular",IF($H909&lt;=20,"Alerta","Crítico")))))</f>
        <v/>
      </c>
      <c r="J909" s="20"/>
      <c r="K909" s="20"/>
    </row>
    <row r="910" customFormat="false" ht="15" hidden="false" customHeight="false" outlineLevel="0" collapsed="false">
      <c r="A910" s="21"/>
      <c r="B910" s="33" t="n">
        <f aca="false">IF($A910="",0,INT(($A910-Macrociclo!$C$11)/7)+1)</f>
        <v>0</v>
      </c>
      <c r="C910" s="20"/>
      <c r="D910" s="22"/>
      <c r="E910" s="22"/>
      <c r="F910" s="22"/>
      <c r="G910" s="22"/>
      <c r="H910" s="33" t="n">
        <f aca="false">IF(COUNT($D910:$G910)&lt;4,0,SUM($D910:$G910))</f>
        <v>0</v>
      </c>
      <c r="I910" s="19" t="str">
        <f aca="false">IF($H910=0,"",IF($H910&lt;=8,"Ótimo",IF($H910&lt;=12,"Bom",IF($H910&lt;=16,"Regular",IF($H910&lt;=20,"Alerta","Crítico")))))</f>
        <v/>
      </c>
      <c r="J910" s="20"/>
      <c r="K910" s="20"/>
    </row>
    <row r="911" customFormat="false" ht="15" hidden="false" customHeight="false" outlineLevel="0" collapsed="false">
      <c r="A911" s="21"/>
      <c r="B911" s="33" t="n">
        <f aca="false">IF($A911="",0,INT(($A911-Macrociclo!$C$11)/7)+1)</f>
        <v>0</v>
      </c>
      <c r="C911" s="20"/>
      <c r="D911" s="22"/>
      <c r="E911" s="22"/>
      <c r="F911" s="22"/>
      <c r="G911" s="22"/>
      <c r="H911" s="33" t="n">
        <f aca="false">IF(COUNT($D911:$G911)&lt;4,0,SUM($D911:$G911))</f>
        <v>0</v>
      </c>
      <c r="I911" s="19" t="str">
        <f aca="false">IF($H911=0,"",IF($H911&lt;=8,"Ótimo",IF($H911&lt;=12,"Bom",IF($H911&lt;=16,"Regular",IF($H911&lt;=20,"Alerta","Crítico")))))</f>
        <v/>
      </c>
      <c r="J911" s="20"/>
      <c r="K911" s="20"/>
    </row>
    <row r="912" customFormat="false" ht="15" hidden="false" customHeight="false" outlineLevel="0" collapsed="false">
      <c r="A912" s="21"/>
      <c r="B912" s="33" t="n">
        <f aca="false">IF($A912="",0,INT(($A912-Macrociclo!$C$11)/7)+1)</f>
        <v>0</v>
      </c>
      <c r="C912" s="20"/>
      <c r="D912" s="22"/>
      <c r="E912" s="22"/>
      <c r="F912" s="22"/>
      <c r="G912" s="22"/>
      <c r="H912" s="33" t="n">
        <f aca="false">IF(COUNT($D912:$G912)&lt;4,0,SUM($D912:$G912))</f>
        <v>0</v>
      </c>
      <c r="I912" s="19" t="str">
        <f aca="false">IF($H912=0,"",IF($H912&lt;=8,"Ótimo",IF($H912&lt;=12,"Bom",IF($H912&lt;=16,"Regular",IF($H912&lt;=20,"Alerta","Crítico")))))</f>
        <v/>
      </c>
      <c r="J912" s="20"/>
      <c r="K912" s="20"/>
    </row>
    <row r="913" customFormat="false" ht="15" hidden="false" customHeight="false" outlineLevel="0" collapsed="false">
      <c r="A913" s="21"/>
      <c r="B913" s="33" t="n">
        <f aca="false">IF($A913="",0,INT(($A913-Macrociclo!$C$11)/7)+1)</f>
        <v>0</v>
      </c>
      <c r="C913" s="20"/>
      <c r="D913" s="22"/>
      <c r="E913" s="22"/>
      <c r="F913" s="22"/>
      <c r="G913" s="22"/>
      <c r="H913" s="33" t="n">
        <f aca="false">IF(COUNT($D913:$G913)&lt;4,0,SUM($D913:$G913))</f>
        <v>0</v>
      </c>
      <c r="I913" s="19" t="str">
        <f aca="false">IF($H913=0,"",IF($H913&lt;=8,"Ótimo",IF($H913&lt;=12,"Bom",IF($H913&lt;=16,"Regular",IF($H913&lt;=20,"Alerta","Crítico")))))</f>
        <v/>
      </c>
      <c r="J913" s="20"/>
      <c r="K913" s="20"/>
    </row>
    <row r="914" customFormat="false" ht="15" hidden="false" customHeight="false" outlineLevel="0" collapsed="false">
      <c r="A914" s="21"/>
      <c r="B914" s="33" t="n">
        <f aca="false">IF($A914="",0,INT(($A914-Macrociclo!$C$11)/7)+1)</f>
        <v>0</v>
      </c>
      <c r="C914" s="20"/>
      <c r="D914" s="22"/>
      <c r="E914" s="22"/>
      <c r="F914" s="22"/>
      <c r="G914" s="22"/>
      <c r="H914" s="33" t="n">
        <f aca="false">IF(COUNT($D914:$G914)&lt;4,0,SUM($D914:$G914))</f>
        <v>0</v>
      </c>
      <c r="I914" s="19" t="str">
        <f aca="false">IF($H914=0,"",IF($H914&lt;=8,"Ótimo",IF($H914&lt;=12,"Bom",IF($H914&lt;=16,"Regular",IF($H914&lt;=20,"Alerta","Crítico")))))</f>
        <v/>
      </c>
      <c r="J914" s="20"/>
      <c r="K914" s="20"/>
    </row>
    <row r="915" customFormat="false" ht="15" hidden="false" customHeight="false" outlineLevel="0" collapsed="false">
      <c r="A915" s="21"/>
      <c r="B915" s="33" t="n">
        <f aca="false">IF($A915="",0,INT(($A915-Macrociclo!$C$11)/7)+1)</f>
        <v>0</v>
      </c>
      <c r="C915" s="20"/>
      <c r="D915" s="22"/>
      <c r="E915" s="22"/>
      <c r="F915" s="22"/>
      <c r="G915" s="22"/>
      <c r="H915" s="33" t="n">
        <f aca="false">IF(COUNT($D915:$G915)&lt;4,0,SUM($D915:$G915))</f>
        <v>0</v>
      </c>
      <c r="I915" s="19" t="str">
        <f aca="false">IF($H915=0,"",IF($H915&lt;=8,"Ótimo",IF($H915&lt;=12,"Bom",IF($H915&lt;=16,"Regular",IF($H915&lt;=20,"Alerta","Crítico")))))</f>
        <v/>
      </c>
      <c r="J915" s="20"/>
      <c r="K915" s="20"/>
    </row>
    <row r="916" customFormat="false" ht="15" hidden="false" customHeight="false" outlineLevel="0" collapsed="false">
      <c r="A916" s="21"/>
      <c r="B916" s="33" t="n">
        <f aca="false">IF($A916="",0,INT(($A916-Macrociclo!$C$11)/7)+1)</f>
        <v>0</v>
      </c>
      <c r="C916" s="20"/>
      <c r="D916" s="22"/>
      <c r="E916" s="22"/>
      <c r="F916" s="22"/>
      <c r="G916" s="22"/>
      <c r="H916" s="33" t="n">
        <f aca="false">IF(COUNT($D916:$G916)&lt;4,0,SUM($D916:$G916))</f>
        <v>0</v>
      </c>
      <c r="I916" s="19" t="str">
        <f aca="false">IF($H916=0,"",IF($H916&lt;=8,"Ótimo",IF($H916&lt;=12,"Bom",IF($H916&lt;=16,"Regular",IF($H916&lt;=20,"Alerta","Crítico")))))</f>
        <v/>
      </c>
      <c r="J916" s="20"/>
      <c r="K916" s="20"/>
    </row>
    <row r="917" customFormat="false" ht="15" hidden="false" customHeight="false" outlineLevel="0" collapsed="false">
      <c r="A917" s="21"/>
      <c r="B917" s="33" t="n">
        <f aca="false">IF($A917="",0,INT(($A917-Macrociclo!$C$11)/7)+1)</f>
        <v>0</v>
      </c>
      <c r="C917" s="20"/>
      <c r="D917" s="22"/>
      <c r="E917" s="22"/>
      <c r="F917" s="22"/>
      <c r="G917" s="22"/>
      <c r="H917" s="33" t="n">
        <f aca="false">IF(COUNT($D917:$G917)&lt;4,0,SUM($D917:$G917))</f>
        <v>0</v>
      </c>
      <c r="I917" s="19" t="str">
        <f aca="false">IF($H917=0,"",IF($H917&lt;=8,"Ótimo",IF($H917&lt;=12,"Bom",IF($H917&lt;=16,"Regular",IF($H917&lt;=20,"Alerta","Crítico")))))</f>
        <v/>
      </c>
      <c r="J917" s="20"/>
      <c r="K917" s="20"/>
    </row>
    <row r="918" customFormat="false" ht="15" hidden="false" customHeight="false" outlineLevel="0" collapsed="false">
      <c r="A918" s="21"/>
      <c r="B918" s="33" t="n">
        <f aca="false">IF($A918="",0,INT(($A918-Macrociclo!$C$11)/7)+1)</f>
        <v>0</v>
      </c>
      <c r="C918" s="20"/>
      <c r="D918" s="22"/>
      <c r="E918" s="22"/>
      <c r="F918" s="22"/>
      <c r="G918" s="22"/>
      <c r="H918" s="33" t="n">
        <f aca="false">IF(COUNT($D918:$G918)&lt;4,0,SUM($D918:$G918))</f>
        <v>0</v>
      </c>
      <c r="I918" s="19" t="str">
        <f aca="false">IF($H918=0,"",IF($H918&lt;=8,"Ótimo",IF($H918&lt;=12,"Bom",IF($H918&lt;=16,"Regular",IF($H918&lt;=20,"Alerta","Crítico")))))</f>
        <v/>
      </c>
      <c r="J918" s="20"/>
      <c r="K918" s="20"/>
    </row>
    <row r="919" customFormat="false" ht="15" hidden="false" customHeight="false" outlineLevel="0" collapsed="false">
      <c r="A919" s="21"/>
      <c r="B919" s="33" t="n">
        <f aca="false">IF($A919="",0,INT(($A919-Macrociclo!$C$11)/7)+1)</f>
        <v>0</v>
      </c>
      <c r="C919" s="20"/>
      <c r="D919" s="22"/>
      <c r="E919" s="22"/>
      <c r="F919" s="22"/>
      <c r="G919" s="22"/>
      <c r="H919" s="33" t="n">
        <f aca="false">IF(COUNT($D919:$G919)&lt;4,0,SUM($D919:$G919))</f>
        <v>0</v>
      </c>
      <c r="I919" s="19" t="str">
        <f aca="false">IF($H919=0,"",IF($H919&lt;=8,"Ótimo",IF($H919&lt;=12,"Bom",IF($H919&lt;=16,"Regular",IF($H919&lt;=20,"Alerta","Crítico")))))</f>
        <v/>
      </c>
      <c r="J919" s="20"/>
      <c r="K919" s="20"/>
    </row>
    <row r="920" customFormat="false" ht="15" hidden="false" customHeight="false" outlineLevel="0" collapsed="false">
      <c r="A920" s="21"/>
      <c r="B920" s="33" t="n">
        <f aca="false">IF($A920="",0,INT(($A920-Macrociclo!$C$11)/7)+1)</f>
        <v>0</v>
      </c>
      <c r="C920" s="20"/>
      <c r="D920" s="22"/>
      <c r="E920" s="22"/>
      <c r="F920" s="22"/>
      <c r="G920" s="22"/>
      <c r="H920" s="33" t="n">
        <f aca="false">IF(COUNT($D920:$G920)&lt;4,0,SUM($D920:$G920))</f>
        <v>0</v>
      </c>
      <c r="I920" s="19" t="str">
        <f aca="false">IF($H920=0,"",IF($H920&lt;=8,"Ótimo",IF($H920&lt;=12,"Bom",IF($H920&lt;=16,"Regular",IF($H920&lt;=20,"Alerta","Crítico")))))</f>
        <v/>
      </c>
      <c r="J920" s="20"/>
      <c r="K920" s="20"/>
    </row>
    <row r="921" customFormat="false" ht="15" hidden="false" customHeight="false" outlineLevel="0" collapsed="false">
      <c r="A921" s="21"/>
      <c r="B921" s="33" t="n">
        <f aca="false">IF($A921="",0,INT(($A921-Macrociclo!$C$11)/7)+1)</f>
        <v>0</v>
      </c>
      <c r="C921" s="20"/>
      <c r="D921" s="22"/>
      <c r="E921" s="22"/>
      <c r="F921" s="22"/>
      <c r="G921" s="22"/>
      <c r="H921" s="33" t="n">
        <f aca="false">IF(COUNT($D921:$G921)&lt;4,0,SUM($D921:$G921))</f>
        <v>0</v>
      </c>
      <c r="I921" s="19" t="str">
        <f aca="false">IF($H921=0,"",IF($H921&lt;=8,"Ótimo",IF($H921&lt;=12,"Bom",IF($H921&lt;=16,"Regular",IF($H921&lt;=20,"Alerta","Crítico")))))</f>
        <v/>
      </c>
      <c r="J921" s="20"/>
      <c r="K921" s="20"/>
    </row>
    <row r="922" customFormat="false" ht="15" hidden="false" customHeight="false" outlineLevel="0" collapsed="false">
      <c r="A922" s="21"/>
      <c r="B922" s="33" t="n">
        <f aca="false">IF($A922="",0,INT(($A922-Macrociclo!$C$11)/7)+1)</f>
        <v>0</v>
      </c>
      <c r="C922" s="20"/>
      <c r="D922" s="22"/>
      <c r="E922" s="22"/>
      <c r="F922" s="22"/>
      <c r="G922" s="22"/>
      <c r="H922" s="33" t="n">
        <f aca="false">IF(COUNT($D922:$G922)&lt;4,0,SUM($D922:$G922))</f>
        <v>0</v>
      </c>
      <c r="I922" s="19" t="str">
        <f aca="false">IF($H922=0,"",IF($H922&lt;=8,"Ótimo",IF($H922&lt;=12,"Bom",IF($H922&lt;=16,"Regular",IF($H922&lt;=20,"Alerta","Crítico")))))</f>
        <v/>
      </c>
      <c r="J922" s="20"/>
      <c r="K922" s="20"/>
    </row>
    <row r="923" customFormat="false" ht="15" hidden="false" customHeight="false" outlineLevel="0" collapsed="false">
      <c r="A923" s="21"/>
      <c r="B923" s="33" t="n">
        <f aca="false">IF($A923="",0,INT(($A923-Macrociclo!$C$11)/7)+1)</f>
        <v>0</v>
      </c>
      <c r="C923" s="20"/>
      <c r="D923" s="22"/>
      <c r="E923" s="22"/>
      <c r="F923" s="22"/>
      <c r="G923" s="22"/>
      <c r="H923" s="33" t="n">
        <f aca="false">IF(COUNT($D923:$G923)&lt;4,0,SUM($D923:$G923))</f>
        <v>0</v>
      </c>
      <c r="I923" s="19" t="str">
        <f aca="false">IF($H923=0,"",IF($H923&lt;=8,"Ótimo",IF($H923&lt;=12,"Bom",IF($H923&lt;=16,"Regular",IF($H923&lt;=20,"Alerta","Crítico")))))</f>
        <v/>
      </c>
      <c r="J923" s="20"/>
      <c r="K923" s="20"/>
    </row>
    <row r="924" customFormat="false" ht="15" hidden="false" customHeight="false" outlineLevel="0" collapsed="false">
      <c r="A924" s="21"/>
      <c r="B924" s="33" t="n">
        <f aca="false">IF($A924="",0,INT(($A924-Macrociclo!$C$11)/7)+1)</f>
        <v>0</v>
      </c>
      <c r="C924" s="20"/>
      <c r="D924" s="22"/>
      <c r="E924" s="22"/>
      <c r="F924" s="22"/>
      <c r="G924" s="22"/>
      <c r="H924" s="33" t="n">
        <f aca="false">IF(COUNT($D924:$G924)&lt;4,0,SUM($D924:$G924))</f>
        <v>0</v>
      </c>
      <c r="I924" s="19" t="str">
        <f aca="false">IF($H924=0,"",IF($H924&lt;=8,"Ótimo",IF($H924&lt;=12,"Bom",IF($H924&lt;=16,"Regular",IF($H924&lt;=20,"Alerta","Crítico")))))</f>
        <v/>
      </c>
      <c r="J924" s="20"/>
      <c r="K924" s="20"/>
    </row>
    <row r="925" customFormat="false" ht="15" hidden="false" customHeight="false" outlineLevel="0" collapsed="false">
      <c r="A925" s="21"/>
      <c r="B925" s="33" t="n">
        <f aca="false">IF($A925="",0,INT(($A925-Macrociclo!$C$11)/7)+1)</f>
        <v>0</v>
      </c>
      <c r="C925" s="20"/>
      <c r="D925" s="22"/>
      <c r="E925" s="22"/>
      <c r="F925" s="22"/>
      <c r="G925" s="22"/>
      <c r="H925" s="33" t="n">
        <f aca="false">IF(COUNT($D925:$G925)&lt;4,0,SUM($D925:$G925))</f>
        <v>0</v>
      </c>
      <c r="I925" s="19" t="str">
        <f aca="false">IF($H925=0,"",IF($H925&lt;=8,"Ótimo",IF($H925&lt;=12,"Bom",IF($H925&lt;=16,"Regular",IF($H925&lt;=20,"Alerta","Crítico")))))</f>
        <v/>
      </c>
      <c r="J925" s="20"/>
      <c r="K925" s="20"/>
    </row>
    <row r="926" customFormat="false" ht="15" hidden="false" customHeight="false" outlineLevel="0" collapsed="false">
      <c r="A926" s="21"/>
      <c r="B926" s="33" t="n">
        <f aca="false">IF($A926="",0,INT(($A926-Macrociclo!$C$11)/7)+1)</f>
        <v>0</v>
      </c>
      <c r="C926" s="20"/>
      <c r="D926" s="22"/>
      <c r="E926" s="22"/>
      <c r="F926" s="22"/>
      <c r="G926" s="22"/>
      <c r="H926" s="33" t="n">
        <f aca="false">IF(COUNT($D926:$G926)&lt;4,0,SUM($D926:$G926))</f>
        <v>0</v>
      </c>
      <c r="I926" s="19" t="str">
        <f aca="false">IF($H926=0,"",IF($H926&lt;=8,"Ótimo",IF($H926&lt;=12,"Bom",IF($H926&lt;=16,"Regular",IF($H926&lt;=20,"Alerta","Crítico")))))</f>
        <v/>
      </c>
      <c r="J926" s="20"/>
      <c r="K926" s="20"/>
    </row>
    <row r="927" customFormat="false" ht="15" hidden="false" customHeight="false" outlineLevel="0" collapsed="false">
      <c r="A927" s="21"/>
      <c r="B927" s="33" t="n">
        <f aca="false">IF($A927="",0,INT(($A927-Macrociclo!$C$11)/7)+1)</f>
        <v>0</v>
      </c>
      <c r="C927" s="20"/>
      <c r="D927" s="22"/>
      <c r="E927" s="22"/>
      <c r="F927" s="22"/>
      <c r="G927" s="22"/>
      <c r="H927" s="33" t="n">
        <f aca="false">IF(COUNT($D927:$G927)&lt;4,0,SUM($D927:$G927))</f>
        <v>0</v>
      </c>
      <c r="I927" s="19" t="str">
        <f aca="false">IF($H927=0,"",IF($H927&lt;=8,"Ótimo",IF($H927&lt;=12,"Bom",IF($H927&lt;=16,"Regular",IF($H927&lt;=20,"Alerta","Crítico")))))</f>
        <v/>
      </c>
      <c r="J927" s="20"/>
      <c r="K927" s="20"/>
    </row>
    <row r="928" customFormat="false" ht="15" hidden="false" customHeight="false" outlineLevel="0" collapsed="false">
      <c r="A928" s="21"/>
      <c r="B928" s="33" t="n">
        <f aca="false">IF($A928="",0,INT(($A928-Macrociclo!$C$11)/7)+1)</f>
        <v>0</v>
      </c>
      <c r="C928" s="20"/>
      <c r="D928" s="22"/>
      <c r="E928" s="22"/>
      <c r="F928" s="22"/>
      <c r="G928" s="22"/>
      <c r="H928" s="33" t="n">
        <f aca="false">IF(COUNT($D928:$G928)&lt;4,0,SUM($D928:$G928))</f>
        <v>0</v>
      </c>
      <c r="I928" s="19" t="str">
        <f aca="false">IF($H928=0,"",IF($H928&lt;=8,"Ótimo",IF($H928&lt;=12,"Bom",IF($H928&lt;=16,"Regular",IF($H928&lt;=20,"Alerta","Crítico")))))</f>
        <v/>
      </c>
      <c r="J928" s="20"/>
      <c r="K928" s="20"/>
    </row>
    <row r="929" customFormat="false" ht="15" hidden="false" customHeight="false" outlineLevel="0" collapsed="false">
      <c r="A929" s="21"/>
      <c r="B929" s="33" t="n">
        <f aca="false">IF($A929="",0,INT(($A929-Macrociclo!$C$11)/7)+1)</f>
        <v>0</v>
      </c>
      <c r="C929" s="20"/>
      <c r="D929" s="22"/>
      <c r="E929" s="22"/>
      <c r="F929" s="22"/>
      <c r="G929" s="22"/>
      <c r="H929" s="33" t="n">
        <f aca="false">IF(COUNT($D929:$G929)&lt;4,0,SUM($D929:$G929))</f>
        <v>0</v>
      </c>
      <c r="I929" s="19" t="str">
        <f aca="false">IF($H929=0,"",IF($H929&lt;=8,"Ótimo",IF($H929&lt;=12,"Bom",IF($H929&lt;=16,"Regular",IF($H929&lt;=20,"Alerta","Crítico")))))</f>
        <v/>
      </c>
      <c r="J929" s="20"/>
      <c r="K929" s="20"/>
    </row>
    <row r="930" customFormat="false" ht="15" hidden="false" customHeight="false" outlineLevel="0" collapsed="false">
      <c r="A930" s="21"/>
      <c r="B930" s="33" t="n">
        <f aca="false">IF($A930="",0,INT(($A930-Macrociclo!$C$11)/7)+1)</f>
        <v>0</v>
      </c>
      <c r="C930" s="20"/>
      <c r="D930" s="22"/>
      <c r="E930" s="22"/>
      <c r="F930" s="22"/>
      <c r="G930" s="22"/>
      <c r="H930" s="33" t="n">
        <f aca="false">IF(COUNT($D930:$G930)&lt;4,0,SUM($D930:$G930))</f>
        <v>0</v>
      </c>
      <c r="I930" s="19" t="str">
        <f aca="false">IF($H930=0,"",IF($H930&lt;=8,"Ótimo",IF($H930&lt;=12,"Bom",IF($H930&lt;=16,"Regular",IF($H930&lt;=20,"Alerta","Crítico")))))</f>
        <v/>
      </c>
      <c r="J930" s="20"/>
      <c r="K930" s="20"/>
    </row>
    <row r="931" customFormat="false" ht="15" hidden="false" customHeight="false" outlineLevel="0" collapsed="false">
      <c r="A931" s="21"/>
      <c r="B931" s="33" t="n">
        <f aca="false">IF($A931="",0,INT(($A931-Macrociclo!$C$11)/7)+1)</f>
        <v>0</v>
      </c>
      <c r="C931" s="20"/>
      <c r="D931" s="22"/>
      <c r="E931" s="22"/>
      <c r="F931" s="22"/>
      <c r="G931" s="22"/>
      <c r="H931" s="33" t="n">
        <f aca="false">IF(COUNT($D931:$G931)&lt;4,0,SUM($D931:$G931))</f>
        <v>0</v>
      </c>
      <c r="I931" s="19" t="str">
        <f aca="false">IF($H931=0,"",IF($H931&lt;=8,"Ótimo",IF($H931&lt;=12,"Bom",IF($H931&lt;=16,"Regular",IF($H931&lt;=20,"Alerta","Crítico")))))</f>
        <v/>
      </c>
      <c r="J931" s="20"/>
      <c r="K931" s="20"/>
    </row>
    <row r="932" customFormat="false" ht="15" hidden="false" customHeight="false" outlineLevel="0" collapsed="false">
      <c r="A932" s="21"/>
      <c r="B932" s="33" t="n">
        <f aca="false">IF($A932="",0,INT(($A932-Macrociclo!$C$11)/7)+1)</f>
        <v>0</v>
      </c>
      <c r="C932" s="20"/>
      <c r="D932" s="22"/>
      <c r="E932" s="22"/>
      <c r="F932" s="22"/>
      <c r="G932" s="22"/>
      <c r="H932" s="33" t="n">
        <f aca="false">IF(COUNT($D932:$G932)&lt;4,0,SUM($D932:$G932))</f>
        <v>0</v>
      </c>
      <c r="I932" s="19" t="str">
        <f aca="false">IF($H932=0,"",IF($H932&lt;=8,"Ótimo",IF($H932&lt;=12,"Bom",IF($H932&lt;=16,"Regular",IF($H932&lt;=20,"Alerta","Crítico")))))</f>
        <v/>
      </c>
      <c r="J932" s="20"/>
      <c r="K932" s="20"/>
    </row>
    <row r="933" customFormat="false" ht="15" hidden="false" customHeight="false" outlineLevel="0" collapsed="false">
      <c r="A933" s="21"/>
      <c r="B933" s="33" t="n">
        <f aca="false">IF($A933="",0,INT(($A933-Macrociclo!$C$11)/7)+1)</f>
        <v>0</v>
      </c>
      <c r="C933" s="20"/>
      <c r="D933" s="22"/>
      <c r="E933" s="22"/>
      <c r="F933" s="22"/>
      <c r="G933" s="22"/>
      <c r="H933" s="33" t="n">
        <f aca="false">IF(COUNT($D933:$G933)&lt;4,0,SUM($D933:$G933))</f>
        <v>0</v>
      </c>
      <c r="I933" s="19" t="str">
        <f aca="false">IF($H933=0,"",IF($H933&lt;=8,"Ótimo",IF($H933&lt;=12,"Bom",IF($H933&lt;=16,"Regular",IF($H933&lt;=20,"Alerta","Crítico")))))</f>
        <v/>
      </c>
      <c r="J933" s="20"/>
      <c r="K933" s="20"/>
    </row>
    <row r="934" customFormat="false" ht="15" hidden="false" customHeight="false" outlineLevel="0" collapsed="false">
      <c r="A934" s="21"/>
      <c r="B934" s="33" t="n">
        <f aca="false">IF($A934="",0,INT(($A934-Macrociclo!$C$11)/7)+1)</f>
        <v>0</v>
      </c>
      <c r="C934" s="20"/>
      <c r="D934" s="22"/>
      <c r="E934" s="22"/>
      <c r="F934" s="22"/>
      <c r="G934" s="22"/>
      <c r="H934" s="33" t="n">
        <f aca="false">IF(COUNT($D934:$G934)&lt;4,0,SUM($D934:$G934))</f>
        <v>0</v>
      </c>
      <c r="I934" s="19" t="str">
        <f aca="false">IF($H934=0,"",IF($H934&lt;=8,"Ótimo",IF($H934&lt;=12,"Bom",IF($H934&lt;=16,"Regular",IF($H934&lt;=20,"Alerta","Crítico")))))</f>
        <v/>
      </c>
      <c r="J934" s="20"/>
      <c r="K934" s="20"/>
    </row>
    <row r="935" customFormat="false" ht="15" hidden="false" customHeight="false" outlineLevel="0" collapsed="false">
      <c r="A935" s="21"/>
      <c r="B935" s="33" t="n">
        <f aca="false">IF($A935="",0,INT(($A935-Macrociclo!$C$11)/7)+1)</f>
        <v>0</v>
      </c>
      <c r="C935" s="20"/>
      <c r="D935" s="22"/>
      <c r="E935" s="22"/>
      <c r="F935" s="22"/>
      <c r="G935" s="22"/>
      <c r="H935" s="33" t="n">
        <f aca="false">IF(COUNT($D935:$G935)&lt;4,0,SUM($D935:$G935))</f>
        <v>0</v>
      </c>
      <c r="I935" s="19" t="str">
        <f aca="false">IF($H935=0,"",IF($H935&lt;=8,"Ótimo",IF($H935&lt;=12,"Bom",IF($H935&lt;=16,"Regular",IF($H935&lt;=20,"Alerta","Crítico")))))</f>
        <v/>
      </c>
      <c r="J935" s="20"/>
      <c r="K935" s="20"/>
    </row>
    <row r="936" customFormat="false" ht="15" hidden="false" customHeight="false" outlineLevel="0" collapsed="false">
      <c r="A936" s="21"/>
      <c r="B936" s="33" t="n">
        <f aca="false">IF($A936="",0,INT(($A936-Macrociclo!$C$11)/7)+1)</f>
        <v>0</v>
      </c>
      <c r="C936" s="20"/>
      <c r="D936" s="22"/>
      <c r="E936" s="22"/>
      <c r="F936" s="22"/>
      <c r="G936" s="22"/>
      <c r="H936" s="33" t="n">
        <f aca="false">IF(COUNT($D936:$G936)&lt;4,0,SUM($D936:$G936))</f>
        <v>0</v>
      </c>
      <c r="I936" s="19" t="str">
        <f aca="false">IF($H936=0,"",IF($H936&lt;=8,"Ótimo",IF($H936&lt;=12,"Bom",IF($H936&lt;=16,"Regular",IF($H936&lt;=20,"Alerta","Crítico")))))</f>
        <v/>
      </c>
      <c r="J936" s="20"/>
      <c r="K936" s="20"/>
    </row>
    <row r="937" customFormat="false" ht="15" hidden="false" customHeight="false" outlineLevel="0" collapsed="false">
      <c r="A937" s="21"/>
      <c r="B937" s="33" t="n">
        <f aca="false">IF($A937="",0,INT(($A937-Macrociclo!$C$11)/7)+1)</f>
        <v>0</v>
      </c>
      <c r="C937" s="20"/>
      <c r="D937" s="22"/>
      <c r="E937" s="22"/>
      <c r="F937" s="22"/>
      <c r="G937" s="22"/>
      <c r="H937" s="33" t="n">
        <f aca="false">IF(COUNT($D937:$G937)&lt;4,0,SUM($D937:$G937))</f>
        <v>0</v>
      </c>
      <c r="I937" s="19" t="str">
        <f aca="false">IF($H937=0,"",IF($H937&lt;=8,"Ótimo",IF($H937&lt;=12,"Bom",IF($H937&lt;=16,"Regular",IF($H937&lt;=20,"Alerta","Crítico")))))</f>
        <v/>
      </c>
      <c r="J937" s="20"/>
      <c r="K937" s="20"/>
    </row>
    <row r="938" customFormat="false" ht="15" hidden="false" customHeight="false" outlineLevel="0" collapsed="false">
      <c r="A938" s="21"/>
      <c r="B938" s="33" t="n">
        <f aca="false">IF($A938="",0,INT(($A938-Macrociclo!$C$11)/7)+1)</f>
        <v>0</v>
      </c>
      <c r="C938" s="20"/>
      <c r="D938" s="22"/>
      <c r="E938" s="22"/>
      <c r="F938" s="22"/>
      <c r="G938" s="22"/>
      <c r="H938" s="33" t="n">
        <f aca="false">IF(COUNT($D938:$G938)&lt;4,0,SUM($D938:$G938))</f>
        <v>0</v>
      </c>
      <c r="I938" s="19" t="str">
        <f aca="false">IF($H938=0,"",IF($H938&lt;=8,"Ótimo",IF($H938&lt;=12,"Bom",IF($H938&lt;=16,"Regular",IF($H938&lt;=20,"Alerta","Crítico")))))</f>
        <v/>
      </c>
      <c r="J938" s="20"/>
      <c r="K938" s="20"/>
    </row>
    <row r="939" customFormat="false" ht="15" hidden="false" customHeight="false" outlineLevel="0" collapsed="false">
      <c r="A939" s="21"/>
      <c r="B939" s="33" t="n">
        <f aca="false">IF($A939="",0,INT(($A939-Macrociclo!$C$11)/7)+1)</f>
        <v>0</v>
      </c>
      <c r="C939" s="20"/>
      <c r="D939" s="22"/>
      <c r="E939" s="22"/>
      <c r="F939" s="22"/>
      <c r="G939" s="22"/>
      <c r="H939" s="33" t="n">
        <f aca="false">IF(COUNT($D939:$G939)&lt;4,0,SUM($D939:$G939))</f>
        <v>0</v>
      </c>
      <c r="I939" s="19" t="str">
        <f aca="false">IF($H939=0,"",IF($H939&lt;=8,"Ótimo",IF($H939&lt;=12,"Bom",IF($H939&lt;=16,"Regular",IF($H939&lt;=20,"Alerta","Crítico")))))</f>
        <v/>
      </c>
      <c r="J939" s="20"/>
      <c r="K939" s="20"/>
    </row>
    <row r="940" customFormat="false" ht="15" hidden="false" customHeight="false" outlineLevel="0" collapsed="false">
      <c r="A940" s="21"/>
      <c r="B940" s="33" t="n">
        <f aca="false">IF($A940="",0,INT(($A940-Macrociclo!$C$11)/7)+1)</f>
        <v>0</v>
      </c>
      <c r="C940" s="20"/>
      <c r="D940" s="22"/>
      <c r="E940" s="22"/>
      <c r="F940" s="22"/>
      <c r="G940" s="22"/>
      <c r="H940" s="33" t="n">
        <f aca="false">IF(COUNT($D940:$G940)&lt;4,0,SUM($D940:$G940))</f>
        <v>0</v>
      </c>
      <c r="I940" s="19" t="str">
        <f aca="false">IF($H940=0,"",IF($H940&lt;=8,"Ótimo",IF($H940&lt;=12,"Bom",IF($H940&lt;=16,"Regular",IF($H940&lt;=20,"Alerta","Crítico")))))</f>
        <v/>
      </c>
      <c r="J940" s="20"/>
      <c r="K940" s="20"/>
    </row>
    <row r="941" customFormat="false" ht="15" hidden="false" customHeight="false" outlineLevel="0" collapsed="false">
      <c r="A941" s="21"/>
      <c r="B941" s="33" t="n">
        <f aca="false">IF($A941="",0,INT(($A941-Macrociclo!$C$11)/7)+1)</f>
        <v>0</v>
      </c>
      <c r="C941" s="20"/>
      <c r="D941" s="22"/>
      <c r="E941" s="22"/>
      <c r="F941" s="22"/>
      <c r="G941" s="22"/>
      <c r="H941" s="33" t="n">
        <f aca="false">IF(COUNT($D941:$G941)&lt;4,0,SUM($D941:$G941))</f>
        <v>0</v>
      </c>
      <c r="I941" s="19" t="str">
        <f aca="false">IF($H941=0,"",IF($H941&lt;=8,"Ótimo",IF($H941&lt;=12,"Bom",IF($H941&lt;=16,"Regular",IF($H941&lt;=20,"Alerta","Crítico")))))</f>
        <v/>
      </c>
      <c r="J941" s="20"/>
      <c r="K941" s="20"/>
    </row>
    <row r="942" customFormat="false" ht="15" hidden="false" customHeight="false" outlineLevel="0" collapsed="false">
      <c r="A942" s="21"/>
      <c r="B942" s="33" t="n">
        <f aca="false">IF($A942="",0,INT(($A942-Macrociclo!$C$11)/7)+1)</f>
        <v>0</v>
      </c>
      <c r="C942" s="20"/>
      <c r="D942" s="22"/>
      <c r="E942" s="22"/>
      <c r="F942" s="22"/>
      <c r="G942" s="22"/>
      <c r="H942" s="33" t="n">
        <f aca="false">IF(COUNT($D942:$G942)&lt;4,0,SUM($D942:$G942))</f>
        <v>0</v>
      </c>
      <c r="I942" s="19" t="str">
        <f aca="false">IF($H942=0,"",IF($H942&lt;=8,"Ótimo",IF($H942&lt;=12,"Bom",IF($H942&lt;=16,"Regular",IF($H942&lt;=20,"Alerta","Crítico")))))</f>
        <v/>
      </c>
      <c r="J942" s="20"/>
      <c r="K942" s="20"/>
    </row>
    <row r="943" customFormat="false" ht="15" hidden="false" customHeight="false" outlineLevel="0" collapsed="false">
      <c r="A943" s="21"/>
      <c r="B943" s="33" t="n">
        <f aca="false">IF($A943="",0,INT(($A943-Macrociclo!$C$11)/7)+1)</f>
        <v>0</v>
      </c>
      <c r="C943" s="20"/>
      <c r="D943" s="22"/>
      <c r="E943" s="22"/>
      <c r="F943" s="22"/>
      <c r="G943" s="22"/>
      <c r="H943" s="33" t="n">
        <f aca="false">IF(COUNT($D943:$G943)&lt;4,0,SUM($D943:$G943))</f>
        <v>0</v>
      </c>
      <c r="I943" s="19" t="str">
        <f aca="false">IF($H943=0,"",IF($H943&lt;=8,"Ótimo",IF($H943&lt;=12,"Bom",IF($H943&lt;=16,"Regular",IF($H943&lt;=20,"Alerta","Crítico")))))</f>
        <v/>
      </c>
      <c r="J943" s="20"/>
      <c r="K943" s="20"/>
    </row>
    <row r="944" customFormat="false" ht="15" hidden="false" customHeight="false" outlineLevel="0" collapsed="false">
      <c r="A944" s="21"/>
      <c r="B944" s="33" t="n">
        <f aca="false">IF($A944="",0,INT(($A944-Macrociclo!$C$11)/7)+1)</f>
        <v>0</v>
      </c>
      <c r="C944" s="20"/>
      <c r="D944" s="22"/>
      <c r="E944" s="22"/>
      <c r="F944" s="22"/>
      <c r="G944" s="22"/>
      <c r="H944" s="33" t="n">
        <f aca="false">IF(COUNT($D944:$G944)&lt;4,0,SUM($D944:$G944))</f>
        <v>0</v>
      </c>
      <c r="I944" s="19" t="str">
        <f aca="false">IF($H944=0,"",IF($H944&lt;=8,"Ótimo",IF($H944&lt;=12,"Bom",IF($H944&lt;=16,"Regular",IF($H944&lt;=20,"Alerta","Crítico")))))</f>
        <v/>
      </c>
      <c r="J944" s="20"/>
      <c r="K944" s="20"/>
    </row>
    <row r="945" customFormat="false" ht="15" hidden="false" customHeight="false" outlineLevel="0" collapsed="false">
      <c r="A945" s="21"/>
      <c r="B945" s="33" t="n">
        <f aca="false">IF($A945="",0,INT(($A945-Macrociclo!$C$11)/7)+1)</f>
        <v>0</v>
      </c>
      <c r="C945" s="20"/>
      <c r="D945" s="22"/>
      <c r="E945" s="22"/>
      <c r="F945" s="22"/>
      <c r="G945" s="22"/>
      <c r="H945" s="33" t="n">
        <f aca="false">IF(COUNT($D945:$G945)&lt;4,0,SUM($D945:$G945))</f>
        <v>0</v>
      </c>
      <c r="I945" s="19" t="str">
        <f aca="false">IF($H945=0,"",IF($H945&lt;=8,"Ótimo",IF($H945&lt;=12,"Bom",IF($H945&lt;=16,"Regular",IF($H945&lt;=20,"Alerta","Crítico")))))</f>
        <v/>
      </c>
      <c r="J945" s="20"/>
      <c r="K945" s="20"/>
    </row>
    <row r="946" customFormat="false" ht="15" hidden="false" customHeight="false" outlineLevel="0" collapsed="false">
      <c r="A946" s="21"/>
      <c r="B946" s="33" t="n">
        <f aca="false">IF($A946="",0,INT(($A946-Macrociclo!$C$11)/7)+1)</f>
        <v>0</v>
      </c>
      <c r="C946" s="20"/>
      <c r="D946" s="22"/>
      <c r="E946" s="22"/>
      <c r="F946" s="22"/>
      <c r="G946" s="22"/>
      <c r="H946" s="33" t="n">
        <f aca="false">IF(COUNT($D946:$G946)&lt;4,0,SUM($D946:$G946))</f>
        <v>0</v>
      </c>
      <c r="I946" s="19" t="str">
        <f aca="false">IF($H946=0,"",IF($H946&lt;=8,"Ótimo",IF($H946&lt;=12,"Bom",IF($H946&lt;=16,"Regular",IF($H946&lt;=20,"Alerta","Crítico")))))</f>
        <v/>
      </c>
      <c r="J946" s="20"/>
      <c r="K946" s="20"/>
    </row>
    <row r="947" customFormat="false" ht="15" hidden="false" customHeight="false" outlineLevel="0" collapsed="false">
      <c r="A947" s="21"/>
      <c r="B947" s="33" t="n">
        <f aca="false">IF($A947="",0,INT(($A947-Macrociclo!$C$11)/7)+1)</f>
        <v>0</v>
      </c>
      <c r="C947" s="20"/>
      <c r="D947" s="22"/>
      <c r="E947" s="22"/>
      <c r="F947" s="22"/>
      <c r="G947" s="22"/>
      <c r="H947" s="33" t="n">
        <f aca="false">IF(COUNT($D947:$G947)&lt;4,0,SUM($D947:$G947))</f>
        <v>0</v>
      </c>
      <c r="I947" s="19" t="str">
        <f aca="false">IF($H947=0,"",IF($H947&lt;=8,"Ótimo",IF($H947&lt;=12,"Bom",IF($H947&lt;=16,"Regular",IF($H947&lt;=20,"Alerta","Crítico")))))</f>
        <v/>
      </c>
      <c r="J947" s="20"/>
      <c r="K947" s="20"/>
    </row>
    <row r="948" customFormat="false" ht="15" hidden="false" customHeight="false" outlineLevel="0" collapsed="false">
      <c r="A948" s="21"/>
      <c r="B948" s="33" t="n">
        <f aca="false">IF($A948="",0,INT(($A948-Macrociclo!$C$11)/7)+1)</f>
        <v>0</v>
      </c>
      <c r="C948" s="20"/>
      <c r="D948" s="22"/>
      <c r="E948" s="22"/>
      <c r="F948" s="22"/>
      <c r="G948" s="22"/>
      <c r="H948" s="33" t="n">
        <f aca="false">IF(COUNT($D948:$G948)&lt;4,0,SUM($D948:$G948))</f>
        <v>0</v>
      </c>
      <c r="I948" s="19" t="str">
        <f aca="false">IF($H948=0,"",IF($H948&lt;=8,"Ótimo",IF($H948&lt;=12,"Bom",IF($H948&lt;=16,"Regular",IF($H948&lt;=20,"Alerta","Crítico")))))</f>
        <v/>
      </c>
      <c r="J948" s="20"/>
      <c r="K948" s="20"/>
    </row>
    <row r="949" customFormat="false" ht="15" hidden="false" customHeight="false" outlineLevel="0" collapsed="false">
      <c r="A949" s="21"/>
      <c r="B949" s="33" t="n">
        <f aca="false">IF($A949="",0,INT(($A949-Macrociclo!$C$11)/7)+1)</f>
        <v>0</v>
      </c>
      <c r="C949" s="20"/>
      <c r="D949" s="22"/>
      <c r="E949" s="22"/>
      <c r="F949" s="22"/>
      <c r="G949" s="22"/>
      <c r="H949" s="33" t="n">
        <f aca="false">IF(COUNT($D949:$G949)&lt;4,0,SUM($D949:$G949))</f>
        <v>0</v>
      </c>
      <c r="I949" s="19" t="str">
        <f aca="false">IF($H949=0,"",IF($H949&lt;=8,"Ótimo",IF($H949&lt;=12,"Bom",IF($H949&lt;=16,"Regular",IF($H949&lt;=20,"Alerta","Crítico")))))</f>
        <v/>
      </c>
      <c r="J949" s="20"/>
      <c r="K949" s="20"/>
    </row>
    <row r="950" customFormat="false" ht="15" hidden="false" customHeight="false" outlineLevel="0" collapsed="false">
      <c r="A950" s="21"/>
      <c r="B950" s="33" t="n">
        <f aca="false">IF($A950="",0,INT(($A950-Macrociclo!$C$11)/7)+1)</f>
        <v>0</v>
      </c>
      <c r="C950" s="20"/>
      <c r="D950" s="22"/>
      <c r="E950" s="22"/>
      <c r="F950" s="22"/>
      <c r="G950" s="22"/>
      <c r="H950" s="33" t="n">
        <f aca="false">IF(COUNT($D950:$G950)&lt;4,0,SUM($D950:$G950))</f>
        <v>0</v>
      </c>
      <c r="I950" s="19" t="str">
        <f aca="false">IF($H950=0,"",IF($H950&lt;=8,"Ótimo",IF($H950&lt;=12,"Bom",IF($H950&lt;=16,"Regular",IF($H950&lt;=20,"Alerta","Crítico")))))</f>
        <v/>
      </c>
      <c r="J950" s="20"/>
      <c r="K950" s="20"/>
    </row>
    <row r="951" customFormat="false" ht="15" hidden="false" customHeight="false" outlineLevel="0" collapsed="false">
      <c r="A951" s="21"/>
      <c r="B951" s="33" t="n">
        <f aca="false">IF($A951="",0,INT(($A951-Macrociclo!$C$11)/7)+1)</f>
        <v>0</v>
      </c>
      <c r="C951" s="20"/>
      <c r="D951" s="22"/>
      <c r="E951" s="22"/>
      <c r="F951" s="22"/>
      <c r="G951" s="22"/>
      <c r="H951" s="33" t="n">
        <f aca="false">IF(COUNT($D951:$G951)&lt;4,0,SUM($D951:$G951))</f>
        <v>0</v>
      </c>
      <c r="I951" s="19" t="str">
        <f aca="false">IF($H951=0,"",IF($H951&lt;=8,"Ótimo",IF($H951&lt;=12,"Bom",IF($H951&lt;=16,"Regular",IF($H951&lt;=20,"Alerta","Crítico")))))</f>
        <v/>
      </c>
      <c r="J951" s="20"/>
      <c r="K951" s="20"/>
    </row>
    <row r="952" customFormat="false" ht="15" hidden="false" customHeight="false" outlineLevel="0" collapsed="false">
      <c r="A952" s="21"/>
      <c r="B952" s="33" t="n">
        <f aca="false">IF($A952="",0,INT(($A952-Macrociclo!$C$11)/7)+1)</f>
        <v>0</v>
      </c>
      <c r="C952" s="20"/>
      <c r="D952" s="22"/>
      <c r="E952" s="22"/>
      <c r="F952" s="22"/>
      <c r="G952" s="22"/>
      <c r="H952" s="33" t="n">
        <f aca="false">IF(COUNT($D952:$G952)&lt;4,0,SUM($D952:$G952))</f>
        <v>0</v>
      </c>
      <c r="I952" s="19" t="str">
        <f aca="false">IF($H952=0,"",IF($H952&lt;=8,"Ótimo",IF($H952&lt;=12,"Bom",IF($H952&lt;=16,"Regular",IF($H952&lt;=20,"Alerta","Crítico")))))</f>
        <v/>
      </c>
      <c r="J952" s="20"/>
      <c r="K952" s="20"/>
    </row>
    <row r="953" customFormat="false" ht="15" hidden="false" customHeight="false" outlineLevel="0" collapsed="false">
      <c r="A953" s="21"/>
      <c r="B953" s="33" t="n">
        <f aca="false">IF($A953="",0,INT(($A953-Macrociclo!$C$11)/7)+1)</f>
        <v>0</v>
      </c>
      <c r="C953" s="20"/>
      <c r="D953" s="22"/>
      <c r="E953" s="22"/>
      <c r="F953" s="22"/>
      <c r="G953" s="22"/>
      <c r="H953" s="33" t="n">
        <f aca="false">IF(COUNT($D953:$G953)&lt;4,0,SUM($D953:$G953))</f>
        <v>0</v>
      </c>
      <c r="I953" s="19" t="str">
        <f aca="false">IF($H953=0,"",IF($H953&lt;=8,"Ótimo",IF($H953&lt;=12,"Bom",IF($H953&lt;=16,"Regular",IF($H953&lt;=20,"Alerta","Crítico")))))</f>
        <v/>
      </c>
      <c r="J953" s="20"/>
      <c r="K953" s="20"/>
    </row>
    <row r="954" customFormat="false" ht="15" hidden="false" customHeight="false" outlineLevel="0" collapsed="false">
      <c r="A954" s="21"/>
      <c r="B954" s="33" t="n">
        <f aca="false">IF($A954="",0,INT(($A954-Macrociclo!$C$11)/7)+1)</f>
        <v>0</v>
      </c>
      <c r="C954" s="20"/>
      <c r="D954" s="22"/>
      <c r="E954" s="22"/>
      <c r="F954" s="22"/>
      <c r="G954" s="22"/>
      <c r="H954" s="33" t="n">
        <f aca="false">IF(COUNT($D954:$G954)&lt;4,0,SUM($D954:$G954))</f>
        <v>0</v>
      </c>
      <c r="I954" s="19" t="str">
        <f aca="false">IF($H954=0,"",IF($H954&lt;=8,"Ótimo",IF($H954&lt;=12,"Bom",IF($H954&lt;=16,"Regular",IF($H954&lt;=20,"Alerta","Crítico")))))</f>
        <v/>
      </c>
      <c r="J954" s="20"/>
      <c r="K954" s="20"/>
    </row>
    <row r="955" customFormat="false" ht="15" hidden="false" customHeight="false" outlineLevel="0" collapsed="false">
      <c r="A955" s="21"/>
      <c r="B955" s="33" t="n">
        <f aca="false">IF($A955="",0,INT(($A955-Macrociclo!$C$11)/7)+1)</f>
        <v>0</v>
      </c>
      <c r="C955" s="20"/>
      <c r="D955" s="22"/>
      <c r="E955" s="22"/>
      <c r="F955" s="22"/>
      <c r="G955" s="22"/>
      <c r="H955" s="33" t="n">
        <f aca="false">IF(COUNT($D955:$G955)&lt;4,0,SUM($D955:$G955))</f>
        <v>0</v>
      </c>
      <c r="I955" s="19" t="str">
        <f aca="false">IF($H955=0,"",IF($H955&lt;=8,"Ótimo",IF($H955&lt;=12,"Bom",IF($H955&lt;=16,"Regular",IF($H955&lt;=20,"Alerta","Crítico")))))</f>
        <v/>
      </c>
      <c r="J955" s="20"/>
      <c r="K955" s="20"/>
    </row>
    <row r="956" customFormat="false" ht="15" hidden="false" customHeight="false" outlineLevel="0" collapsed="false">
      <c r="A956" s="21"/>
      <c r="B956" s="33" t="n">
        <f aca="false">IF($A956="",0,INT(($A956-Macrociclo!$C$11)/7)+1)</f>
        <v>0</v>
      </c>
      <c r="C956" s="20"/>
      <c r="D956" s="22"/>
      <c r="E956" s="22"/>
      <c r="F956" s="22"/>
      <c r="G956" s="22"/>
      <c r="H956" s="33" t="n">
        <f aca="false">IF(COUNT($D956:$G956)&lt;4,0,SUM($D956:$G956))</f>
        <v>0</v>
      </c>
      <c r="I956" s="19" t="str">
        <f aca="false">IF($H956=0,"",IF($H956&lt;=8,"Ótimo",IF($H956&lt;=12,"Bom",IF($H956&lt;=16,"Regular",IF($H956&lt;=20,"Alerta","Crítico")))))</f>
        <v/>
      </c>
      <c r="J956" s="20"/>
      <c r="K956" s="20"/>
    </row>
    <row r="957" customFormat="false" ht="15" hidden="false" customHeight="false" outlineLevel="0" collapsed="false">
      <c r="A957" s="21"/>
      <c r="B957" s="33" t="n">
        <f aca="false">IF($A957="",0,INT(($A957-Macrociclo!$C$11)/7)+1)</f>
        <v>0</v>
      </c>
      <c r="C957" s="20"/>
      <c r="D957" s="22"/>
      <c r="E957" s="22"/>
      <c r="F957" s="22"/>
      <c r="G957" s="22"/>
      <c r="H957" s="33" t="n">
        <f aca="false">IF(COUNT($D957:$G957)&lt;4,0,SUM($D957:$G957))</f>
        <v>0</v>
      </c>
      <c r="I957" s="19" t="str">
        <f aca="false">IF($H957=0,"",IF($H957&lt;=8,"Ótimo",IF($H957&lt;=12,"Bom",IF($H957&lt;=16,"Regular",IF($H957&lt;=20,"Alerta","Crítico")))))</f>
        <v/>
      </c>
      <c r="J957" s="20"/>
      <c r="K957" s="20"/>
    </row>
    <row r="958" customFormat="false" ht="15" hidden="false" customHeight="false" outlineLevel="0" collapsed="false">
      <c r="A958" s="21"/>
      <c r="B958" s="33" t="n">
        <f aca="false">IF($A958="",0,INT(($A958-Macrociclo!$C$11)/7)+1)</f>
        <v>0</v>
      </c>
      <c r="C958" s="20"/>
      <c r="D958" s="22"/>
      <c r="E958" s="22"/>
      <c r="F958" s="22"/>
      <c r="G958" s="22"/>
      <c r="H958" s="33" t="n">
        <f aca="false">IF(COUNT($D958:$G958)&lt;4,0,SUM($D958:$G958))</f>
        <v>0</v>
      </c>
      <c r="I958" s="19" t="str">
        <f aca="false">IF($H958=0,"",IF($H958&lt;=8,"Ótimo",IF($H958&lt;=12,"Bom",IF($H958&lt;=16,"Regular",IF($H958&lt;=20,"Alerta","Crítico")))))</f>
        <v/>
      </c>
      <c r="J958" s="20"/>
      <c r="K958" s="20"/>
    </row>
    <row r="959" customFormat="false" ht="15" hidden="false" customHeight="false" outlineLevel="0" collapsed="false">
      <c r="A959" s="21"/>
      <c r="B959" s="33" t="n">
        <f aca="false">IF($A959="",0,INT(($A959-Macrociclo!$C$11)/7)+1)</f>
        <v>0</v>
      </c>
      <c r="C959" s="20"/>
      <c r="D959" s="22"/>
      <c r="E959" s="22"/>
      <c r="F959" s="22"/>
      <c r="G959" s="22"/>
      <c r="H959" s="33" t="n">
        <f aca="false">IF(COUNT($D959:$G959)&lt;4,0,SUM($D959:$G959))</f>
        <v>0</v>
      </c>
      <c r="I959" s="19" t="str">
        <f aca="false">IF($H959=0,"",IF($H959&lt;=8,"Ótimo",IF($H959&lt;=12,"Bom",IF($H959&lt;=16,"Regular",IF($H959&lt;=20,"Alerta","Crítico")))))</f>
        <v/>
      </c>
      <c r="J959" s="20"/>
      <c r="K959" s="20"/>
    </row>
    <row r="960" customFormat="false" ht="15" hidden="false" customHeight="false" outlineLevel="0" collapsed="false">
      <c r="A960" s="21"/>
      <c r="B960" s="33" t="n">
        <f aca="false">IF($A960="",0,INT(($A960-Macrociclo!$C$11)/7)+1)</f>
        <v>0</v>
      </c>
      <c r="C960" s="20"/>
      <c r="D960" s="22"/>
      <c r="E960" s="22"/>
      <c r="F960" s="22"/>
      <c r="G960" s="22"/>
      <c r="H960" s="33" t="n">
        <f aca="false">IF(COUNT($D960:$G960)&lt;4,0,SUM($D960:$G960))</f>
        <v>0</v>
      </c>
      <c r="I960" s="19" t="str">
        <f aca="false">IF($H960=0,"",IF($H960&lt;=8,"Ótimo",IF($H960&lt;=12,"Bom",IF($H960&lt;=16,"Regular",IF($H960&lt;=20,"Alerta","Crítico")))))</f>
        <v/>
      </c>
      <c r="J960" s="20"/>
      <c r="K960" s="20"/>
    </row>
    <row r="961" customFormat="false" ht="15" hidden="false" customHeight="false" outlineLevel="0" collapsed="false">
      <c r="A961" s="21"/>
      <c r="B961" s="33" t="n">
        <f aca="false">IF($A961="",0,INT(($A961-Macrociclo!$C$11)/7)+1)</f>
        <v>0</v>
      </c>
      <c r="C961" s="20"/>
      <c r="D961" s="22"/>
      <c r="E961" s="22"/>
      <c r="F961" s="22"/>
      <c r="G961" s="22"/>
      <c r="H961" s="33" t="n">
        <f aca="false">IF(COUNT($D961:$G961)&lt;4,0,SUM($D961:$G961))</f>
        <v>0</v>
      </c>
      <c r="I961" s="19" t="str">
        <f aca="false">IF($H961=0,"",IF($H961&lt;=8,"Ótimo",IF($H961&lt;=12,"Bom",IF($H961&lt;=16,"Regular",IF($H961&lt;=20,"Alerta","Crítico")))))</f>
        <v/>
      </c>
      <c r="J961" s="20"/>
      <c r="K961" s="20"/>
    </row>
    <row r="962" customFormat="false" ht="15" hidden="false" customHeight="false" outlineLevel="0" collapsed="false">
      <c r="A962" s="21"/>
      <c r="B962" s="33" t="n">
        <f aca="false">IF($A962="",0,INT(($A962-Macrociclo!$C$11)/7)+1)</f>
        <v>0</v>
      </c>
      <c r="C962" s="20"/>
      <c r="D962" s="22"/>
      <c r="E962" s="22"/>
      <c r="F962" s="22"/>
      <c r="G962" s="22"/>
      <c r="H962" s="33" t="n">
        <f aca="false">IF(COUNT($D962:$G962)&lt;4,0,SUM($D962:$G962))</f>
        <v>0</v>
      </c>
      <c r="I962" s="19" t="str">
        <f aca="false">IF($H962=0,"",IF($H962&lt;=8,"Ótimo",IF($H962&lt;=12,"Bom",IF($H962&lt;=16,"Regular",IF($H962&lt;=20,"Alerta","Crítico")))))</f>
        <v/>
      </c>
      <c r="J962" s="20"/>
      <c r="K962" s="20"/>
    </row>
    <row r="963" customFormat="false" ht="15" hidden="false" customHeight="false" outlineLevel="0" collapsed="false">
      <c r="A963" s="21"/>
      <c r="B963" s="33" t="n">
        <f aca="false">IF($A963="",0,INT(($A963-Macrociclo!$C$11)/7)+1)</f>
        <v>0</v>
      </c>
      <c r="C963" s="20"/>
      <c r="D963" s="22"/>
      <c r="E963" s="22"/>
      <c r="F963" s="22"/>
      <c r="G963" s="22"/>
      <c r="H963" s="33" t="n">
        <f aca="false">IF(COUNT($D963:$G963)&lt;4,0,SUM($D963:$G963))</f>
        <v>0</v>
      </c>
      <c r="I963" s="19" t="str">
        <f aca="false">IF($H963=0,"",IF($H963&lt;=8,"Ótimo",IF($H963&lt;=12,"Bom",IF($H963&lt;=16,"Regular",IF($H963&lt;=20,"Alerta","Crítico")))))</f>
        <v/>
      </c>
      <c r="J963" s="20"/>
      <c r="K963" s="20"/>
    </row>
    <row r="964" customFormat="false" ht="15" hidden="false" customHeight="false" outlineLevel="0" collapsed="false">
      <c r="A964" s="21"/>
      <c r="B964" s="33" t="n">
        <f aca="false">IF($A964="",0,INT(($A964-Macrociclo!$C$11)/7)+1)</f>
        <v>0</v>
      </c>
      <c r="C964" s="20"/>
      <c r="D964" s="22"/>
      <c r="E964" s="22"/>
      <c r="F964" s="22"/>
      <c r="G964" s="22"/>
      <c r="H964" s="33" t="n">
        <f aca="false">IF(COUNT($D964:$G964)&lt;4,0,SUM($D964:$G964))</f>
        <v>0</v>
      </c>
      <c r="I964" s="19" t="str">
        <f aca="false">IF($H964=0,"",IF($H964&lt;=8,"Ótimo",IF($H964&lt;=12,"Bom",IF($H964&lt;=16,"Regular",IF($H964&lt;=20,"Alerta","Crítico")))))</f>
        <v/>
      </c>
      <c r="J964" s="20"/>
      <c r="K964" s="20"/>
    </row>
    <row r="965" customFormat="false" ht="15" hidden="false" customHeight="false" outlineLevel="0" collapsed="false">
      <c r="A965" s="21"/>
      <c r="B965" s="33" t="n">
        <f aca="false">IF($A965="",0,INT(($A965-Macrociclo!$C$11)/7)+1)</f>
        <v>0</v>
      </c>
      <c r="C965" s="20"/>
      <c r="D965" s="22"/>
      <c r="E965" s="22"/>
      <c r="F965" s="22"/>
      <c r="G965" s="22"/>
      <c r="H965" s="33" t="n">
        <f aca="false">IF(COUNT($D965:$G965)&lt;4,0,SUM($D965:$G965))</f>
        <v>0</v>
      </c>
      <c r="I965" s="19" t="str">
        <f aca="false">IF($H965=0,"",IF($H965&lt;=8,"Ótimo",IF($H965&lt;=12,"Bom",IF($H965&lt;=16,"Regular",IF($H965&lt;=20,"Alerta","Crítico")))))</f>
        <v/>
      </c>
      <c r="J965" s="20"/>
      <c r="K965" s="20"/>
    </row>
    <row r="966" customFormat="false" ht="15" hidden="false" customHeight="false" outlineLevel="0" collapsed="false">
      <c r="A966" s="21"/>
      <c r="B966" s="33" t="n">
        <f aca="false">IF($A966="",0,INT(($A966-Macrociclo!$C$11)/7)+1)</f>
        <v>0</v>
      </c>
      <c r="C966" s="20"/>
      <c r="D966" s="22"/>
      <c r="E966" s="22"/>
      <c r="F966" s="22"/>
      <c r="G966" s="22"/>
      <c r="H966" s="33" t="n">
        <f aca="false">IF(COUNT($D966:$G966)&lt;4,0,SUM($D966:$G966))</f>
        <v>0</v>
      </c>
      <c r="I966" s="19" t="str">
        <f aca="false">IF($H966=0,"",IF($H966&lt;=8,"Ótimo",IF($H966&lt;=12,"Bom",IF($H966&lt;=16,"Regular",IF($H966&lt;=20,"Alerta","Crítico")))))</f>
        <v/>
      </c>
      <c r="J966" s="20"/>
      <c r="K966" s="20"/>
    </row>
    <row r="967" customFormat="false" ht="15" hidden="false" customHeight="false" outlineLevel="0" collapsed="false">
      <c r="A967" s="21"/>
      <c r="B967" s="33" t="n">
        <f aca="false">IF($A967="",0,INT(($A967-Macrociclo!$C$11)/7)+1)</f>
        <v>0</v>
      </c>
      <c r="C967" s="20"/>
      <c r="D967" s="22"/>
      <c r="E967" s="22"/>
      <c r="F967" s="22"/>
      <c r="G967" s="22"/>
      <c r="H967" s="33" t="n">
        <f aca="false">IF(COUNT($D967:$G967)&lt;4,0,SUM($D967:$G967))</f>
        <v>0</v>
      </c>
      <c r="I967" s="19" t="str">
        <f aca="false">IF($H967=0,"",IF($H967&lt;=8,"Ótimo",IF($H967&lt;=12,"Bom",IF($H967&lt;=16,"Regular",IF($H967&lt;=20,"Alerta","Crítico")))))</f>
        <v/>
      </c>
      <c r="J967" s="20"/>
      <c r="K967" s="20"/>
    </row>
    <row r="968" customFormat="false" ht="15" hidden="false" customHeight="false" outlineLevel="0" collapsed="false">
      <c r="A968" s="21"/>
      <c r="B968" s="33" t="n">
        <f aca="false">IF($A968="",0,INT(($A968-Macrociclo!$C$11)/7)+1)</f>
        <v>0</v>
      </c>
      <c r="C968" s="20"/>
      <c r="D968" s="22"/>
      <c r="E968" s="22"/>
      <c r="F968" s="22"/>
      <c r="G968" s="22"/>
      <c r="H968" s="33" t="n">
        <f aca="false">IF(COUNT($D968:$G968)&lt;4,0,SUM($D968:$G968))</f>
        <v>0</v>
      </c>
      <c r="I968" s="19" t="str">
        <f aca="false">IF($H968=0,"",IF($H968&lt;=8,"Ótimo",IF($H968&lt;=12,"Bom",IF($H968&lt;=16,"Regular",IF($H968&lt;=20,"Alerta","Crítico")))))</f>
        <v/>
      </c>
      <c r="J968" s="20"/>
      <c r="K968" s="20"/>
    </row>
    <row r="969" customFormat="false" ht="15" hidden="false" customHeight="false" outlineLevel="0" collapsed="false">
      <c r="A969" s="21"/>
      <c r="B969" s="33" t="n">
        <f aca="false">IF($A969="",0,INT(($A969-Macrociclo!$C$11)/7)+1)</f>
        <v>0</v>
      </c>
      <c r="C969" s="20"/>
      <c r="D969" s="22"/>
      <c r="E969" s="22"/>
      <c r="F969" s="22"/>
      <c r="G969" s="22"/>
      <c r="H969" s="33" t="n">
        <f aca="false">IF(COUNT($D969:$G969)&lt;4,0,SUM($D969:$G969))</f>
        <v>0</v>
      </c>
      <c r="I969" s="19" t="str">
        <f aca="false">IF($H969=0,"",IF($H969&lt;=8,"Ótimo",IF($H969&lt;=12,"Bom",IF($H969&lt;=16,"Regular",IF($H969&lt;=20,"Alerta","Crítico")))))</f>
        <v/>
      </c>
      <c r="J969" s="20"/>
      <c r="K969" s="20"/>
    </row>
    <row r="970" customFormat="false" ht="15" hidden="false" customHeight="false" outlineLevel="0" collapsed="false">
      <c r="A970" s="21"/>
      <c r="B970" s="33" t="n">
        <f aca="false">IF($A970="",0,INT(($A970-Macrociclo!$C$11)/7)+1)</f>
        <v>0</v>
      </c>
      <c r="C970" s="20"/>
      <c r="D970" s="22"/>
      <c r="E970" s="22"/>
      <c r="F970" s="22"/>
      <c r="G970" s="22"/>
      <c r="H970" s="33" t="n">
        <f aca="false">IF(COUNT($D970:$G970)&lt;4,0,SUM($D970:$G970))</f>
        <v>0</v>
      </c>
      <c r="I970" s="19" t="str">
        <f aca="false">IF($H970=0,"",IF($H970&lt;=8,"Ótimo",IF($H970&lt;=12,"Bom",IF($H970&lt;=16,"Regular",IF($H970&lt;=20,"Alerta","Crítico")))))</f>
        <v/>
      </c>
      <c r="J970" s="20"/>
      <c r="K970" s="20"/>
    </row>
    <row r="971" customFormat="false" ht="15" hidden="false" customHeight="false" outlineLevel="0" collapsed="false">
      <c r="A971" s="21"/>
      <c r="B971" s="33" t="n">
        <f aca="false">IF($A971="",0,INT(($A971-Macrociclo!$C$11)/7)+1)</f>
        <v>0</v>
      </c>
      <c r="C971" s="20"/>
      <c r="D971" s="22"/>
      <c r="E971" s="22"/>
      <c r="F971" s="22"/>
      <c r="G971" s="22"/>
      <c r="H971" s="33" t="n">
        <f aca="false">IF(COUNT($D971:$G971)&lt;4,0,SUM($D971:$G971))</f>
        <v>0</v>
      </c>
      <c r="I971" s="19" t="str">
        <f aca="false">IF($H971=0,"",IF($H971&lt;=8,"Ótimo",IF($H971&lt;=12,"Bom",IF($H971&lt;=16,"Regular",IF($H971&lt;=20,"Alerta","Crítico")))))</f>
        <v/>
      </c>
      <c r="J971" s="20"/>
      <c r="K971" s="20"/>
    </row>
    <row r="972" customFormat="false" ht="15" hidden="false" customHeight="false" outlineLevel="0" collapsed="false">
      <c r="A972" s="21"/>
      <c r="B972" s="33" t="n">
        <f aca="false">IF($A972="",0,INT(($A972-Macrociclo!$C$11)/7)+1)</f>
        <v>0</v>
      </c>
      <c r="C972" s="20"/>
      <c r="D972" s="22"/>
      <c r="E972" s="22"/>
      <c r="F972" s="22"/>
      <c r="G972" s="22"/>
      <c r="H972" s="33" t="n">
        <f aca="false">IF(COUNT($D972:$G972)&lt;4,0,SUM($D972:$G972))</f>
        <v>0</v>
      </c>
      <c r="I972" s="19" t="str">
        <f aca="false">IF($H972=0,"",IF($H972&lt;=8,"Ótimo",IF($H972&lt;=12,"Bom",IF($H972&lt;=16,"Regular",IF($H972&lt;=20,"Alerta","Crítico")))))</f>
        <v/>
      </c>
      <c r="J972" s="20"/>
      <c r="K972" s="20"/>
    </row>
    <row r="973" customFormat="false" ht="15" hidden="false" customHeight="false" outlineLevel="0" collapsed="false">
      <c r="A973" s="21"/>
      <c r="B973" s="33" t="n">
        <f aca="false">IF($A973="",0,INT(($A973-Macrociclo!$C$11)/7)+1)</f>
        <v>0</v>
      </c>
      <c r="C973" s="20"/>
      <c r="D973" s="22"/>
      <c r="E973" s="22"/>
      <c r="F973" s="22"/>
      <c r="G973" s="22"/>
      <c r="H973" s="33" t="n">
        <f aca="false">IF(COUNT($D973:$G973)&lt;4,0,SUM($D973:$G973))</f>
        <v>0</v>
      </c>
      <c r="I973" s="19" t="str">
        <f aca="false">IF($H973=0,"",IF($H973&lt;=8,"Ótimo",IF($H973&lt;=12,"Bom",IF($H973&lt;=16,"Regular",IF($H973&lt;=20,"Alerta","Crítico")))))</f>
        <v/>
      </c>
      <c r="J973" s="20"/>
      <c r="K973" s="20"/>
    </row>
    <row r="974" customFormat="false" ht="15" hidden="false" customHeight="false" outlineLevel="0" collapsed="false">
      <c r="A974" s="21"/>
      <c r="B974" s="33" t="n">
        <f aca="false">IF($A974="",0,INT(($A974-Macrociclo!$C$11)/7)+1)</f>
        <v>0</v>
      </c>
      <c r="C974" s="20"/>
      <c r="D974" s="22"/>
      <c r="E974" s="22"/>
      <c r="F974" s="22"/>
      <c r="G974" s="22"/>
      <c r="H974" s="33" t="n">
        <f aca="false">IF(COUNT($D974:$G974)&lt;4,0,SUM($D974:$G974))</f>
        <v>0</v>
      </c>
      <c r="I974" s="19" t="str">
        <f aca="false">IF($H974=0,"",IF($H974&lt;=8,"Ótimo",IF($H974&lt;=12,"Bom",IF($H974&lt;=16,"Regular",IF($H974&lt;=20,"Alerta","Crítico")))))</f>
        <v/>
      </c>
      <c r="J974" s="20"/>
      <c r="K974" s="20"/>
    </row>
    <row r="975" customFormat="false" ht="15" hidden="false" customHeight="false" outlineLevel="0" collapsed="false">
      <c r="A975" s="21"/>
      <c r="B975" s="33" t="n">
        <f aca="false">IF($A975="",0,INT(($A975-Macrociclo!$C$11)/7)+1)</f>
        <v>0</v>
      </c>
      <c r="C975" s="20"/>
      <c r="D975" s="22"/>
      <c r="E975" s="22"/>
      <c r="F975" s="22"/>
      <c r="G975" s="22"/>
      <c r="H975" s="33" t="n">
        <f aca="false">IF(COUNT($D975:$G975)&lt;4,0,SUM($D975:$G975))</f>
        <v>0</v>
      </c>
      <c r="I975" s="19" t="str">
        <f aca="false">IF($H975=0,"",IF($H975&lt;=8,"Ótimo",IF($H975&lt;=12,"Bom",IF($H975&lt;=16,"Regular",IF($H975&lt;=20,"Alerta","Crítico")))))</f>
        <v/>
      </c>
      <c r="J975" s="20"/>
      <c r="K975" s="20"/>
    </row>
    <row r="976" customFormat="false" ht="15" hidden="false" customHeight="false" outlineLevel="0" collapsed="false">
      <c r="A976" s="21"/>
      <c r="B976" s="33" t="n">
        <f aca="false">IF($A976="",0,INT(($A976-Macrociclo!$C$11)/7)+1)</f>
        <v>0</v>
      </c>
      <c r="C976" s="20"/>
      <c r="D976" s="22"/>
      <c r="E976" s="22"/>
      <c r="F976" s="22"/>
      <c r="G976" s="22"/>
      <c r="H976" s="33" t="n">
        <f aca="false">IF(COUNT($D976:$G976)&lt;4,0,SUM($D976:$G976))</f>
        <v>0</v>
      </c>
      <c r="I976" s="19" t="str">
        <f aca="false">IF($H976=0,"",IF($H976&lt;=8,"Ótimo",IF($H976&lt;=12,"Bom",IF($H976&lt;=16,"Regular",IF($H976&lt;=20,"Alerta","Crítico")))))</f>
        <v/>
      </c>
      <c r="J976" s="20"/>
      <c r="K976" s="20"/>
    </row>
    <row r="977" customFormat="false" ht="15" hidden="false" customHeight="false" outlineLevel="0" collapsed="false">
      <c r="A977" s="21"/>
      <c r="B977" s="33" t="n">
        <f aca="false">IF($A977="",0,INT(($A977-Macrociclo!$C$11)/7)+1)</f>
        <v>0</v>
      </c>
      <c r="C977" s="20"/>
      <c r="D977" s="22"/>
      <c r="E977" s="22"/>
      <c r="F977" s="22"/>
      <c r="G977" s="22"/>
      <c r="H977" s="33" t="n">
        <f aca="false">IF(COUNT($D977:$G977)&lt;4,0,SUM($D977:$G977))</f>
        <v>0</v>
      </c>
      <c r="I977" s="19" t="str">
        <f aca="false">IF($H977=0,"",IF($H977&lt;=8,"Ótimo",IF($H977&lt;=12,"Bom",IF($H977&lt;=16,"Regular",IF($H977&lt;=20,"Alerta","Crítico")))))</f>
        <v/>
      </c>
      <c r="J977" s="20"/>
      <c r="K977" s="20"/>
    </row>
    <row r="978" customFormat="false" ht="15" hidden="false" customHeight="false" outlineLevel="0" collapsed="false">
      <c r="A978" s="21"/>
      <c r="B978" s="33" t="n">
        <f aca="false">IF($A978="",0,INT(($A978-Macrociclo!$C$11)/7)+1)</f>
        <v>0</v>
      </c>
      <c r="C978" s="20"/>
      <c r="D978" s="22"/>
      <c r="E978" s="22"/>
      <c r="F978" s="22"/>
      <c r="G978" s="22"/>
      <c r="H978" s="33" t="n">
        <f aca="false">IF(COUNT($D978:$G978)&lt;4,0,SUM($D978:$G978))</f>
        <v>0</v>
      </c>
      <c r="I978" s="19" t="str">
        <f aca="false">IF($H978=0,"",IF($H978&lt;=8,"Ótimo",IF($H978&lt;=12,"Bom",IF($H978&lt;=16,"Regular",IF($H978&lt;=20,"Alerta","Crítico")))))</f>
        <v/>
      </c>
      <c r="J978" s="20"/>
      <c r="K978" s="20"/>
    </row>
    <row r="979" customFormat="false" ht="15" hidden="false" customHeight="false" outlineLevel="0" collapsed="false">
      <c r="A979" s="21"/>
      <c r="B979" s="33" t="n">
        <f aca="false">IF($A979="",0,INT(($A979-Macrociclo!$C$11)/7)+1)</f>
        <v>0</v>
      </c>
      <c r="C979" s="20"/>
      <c r="D979" s="22"/>
      <c r="E979" s="22"/>
      <c r="F979" s="22"/>
      <c r="G979" s="22"/>
      <c r="H979" s="33" t="n">
        <f aca="false">IF(COUNT($D979:$G979)&lt;4,0,SUM($D979:$G979))</f>
        <v>0</v>
      </c>
      <c r="I979" s="19" t="str">
        <f aca="false">IF($H979=0,"",IF($H979&lt;=8,"Ótimo",IF($H979&lt;=12,"Bom",IF($H979&lt;=16,"Regular",IF($H979&lt;=20,"Alerta","Crítico")))))</f>
        <v/>
      </c>
      <c r="J979" s="20"/>
      <c r="K979" s="20"/>
    </row>
    <row r="980" customFormat="false" ht="15" hidden="false" customHeight="false" outlineLevel="0" collapsed="false">
      <c r="A980" s="21"/>
      <c r="B980" s="33" t="n">
        <f aca="false">IF($A980="",0,INT(($A980-Macrociclo!$C$11)/7)+1)</f>
        <v>0</v>
      </c>
      <c r="C980" s="20"/>
      <c r="D980" s="22"/>
      <c r="E980" s="22"/>
      <c r="F980" s="22"/>
      <c r="G980" s="22"/>
      <c r="H980" s="33" t="n">
        <f aca="false">IF(COUNT($D980:$G980)&lt;4,0,SUM($D980:$G980))</f>
        <v>0</v>
      </c>
      <c r="I980" s="19" t="str">
        <f aca="false">IF($H980=0,"",IF($H980&lt;=8,"Ótimo",IF($H980&lt;=12,"Bom",IF($H980&lt;=16,"Regular",IF($H980&lt;=20,"Alerta","Crítico")))))</f>
        <v/>
      </c>
      <c r="J980" s="20"/>
      <c r="K980" s="20"/>
    </row>
    <row r="981" customFormat="false" ht="15" hidden="false" customHeight="false" outlineLevel="0" collapsed="false">
      <c r="A981" s="21"/>
      <c r="B981" s="33" t="n">
        <f aca="false">IF($A981="",0,INT(($A981-Macrociclo!$C$11)/7)+1)</f>
        <v>0</v>
      </c>
      <c r="C981" s="20"/>
      <c r="D981" s="22"/>
      <c r="E981" s="22"/>
      <c r="F981" s="22"/>
      <c r="G981" s="22"/>
      <c r="H981" s="33" t="n">
        <f aca="false">IF(COUNT($D981:$G981)&lt;4,0,SUM($D981:$G981))</f>
        <v>0</v>
      </c>
      <c r="I981" s="19" t="str">
        <f aca="false">IF($H981=0,"",IF($H981&lt;=8,"Ótimo",IF($H981&lt;=12,"Bom",IF($H981&lt;=16,"Regular",IF($H981&lt;=20,"Alerta","Crítico")))))</f>
        <v/>
      </c>
      <c r="J981" s="20"/>
      <c r="K981" s="20"/>
    </row>
    <row r="982" customFormat="false" ht="15" hidden="false" customHeight="false" outlineLevel="0" collapsed="false">
      <c r="A982" s="21"/>
      <c r="B982" s="33" t="n">
        <f aca="false">IF($A982="",0,INT(($A982-Macrociclo!$C$11)/7)+1)</f>
        <v>0</v>
      </c>
      <c r="C982" s="20"/>
      <c r="D982" s="22"/>
      <c r="E982" s="22"/>
      <c r="F982" s="22"/>
      <c r="G982" s="22"/>
      <c r="H982" s="33" t="n">
        <f aca="false">IF(COUNT($D982:$G982)&lt;4,0,SUM($D982:$G982))</f>
        <v>0</v>
      </c>
      <c r="I982" s="19" t="str">
        <f aca="false">IF($H982=0,"",IF($H982&lt;=8,"Ótimo",IF($H982&lt;=12,"Bom",IF($H982&lt;=16,"Regular",IF($H982&lt;=20,"Alerta","Crítico")))))</f>
        <v/>
      </c>
      <c r="J982" s="20"/>
      <c r="K982" s="20"/>
    </row>
    <row r="983" customFormat="false" ht="15" hidden="false" customHeight="false" outlineLevel="0" collapsed="false">
      <c r="A983" s="21"/>
      <c r="B983" s="33" t="n">
        <f aca="false">IF($A983="",0,INT(($A983-Macrociclo!$C$11)/7)+1)</f>
        <v>0</v>
      </c>
      <c r="C983" s="20"/>
      <c r="D983" s="22"/>
      <c r="E983" s="22"/>
      <c r="F983" s="22"/>
      <c r="G983" s="22"/>
      <c r="H983" s="33" t="n">
        <f aca="false">IF(COUNT($D983:$G983)&lt;4,0,SUM($D983:$G983))</f>
        <v>0</v>
      </c>
      <c r="I983" s="19" t="str">
        <f aca="false">IF($H983=0,"",IF($H983&lt;=8,"Ótimo",IF($H983&lt;=12,"Bom",IF($H983&lt;=16,"Regular",IF($H983&lt;=20,"Alerta","Crítico")))))</f>
        <v/>
      </c>
      <c r="J983" s="20"/>
      <c r="K983" s="20"/>
    </row>
    <row r="984" customFormat="false" ht="15" hidden="false" customHeight="false" outlineLevel="0" collapsed="false">
      <c r="A984" s="21"/>
      <c r="B984" s="33" t="n">
        <f aca="false">IF($A984="",0,INT(($A984-Macrociclo!$C$11)/7)+1)</f>
        <v>0</v>
      </c>
      <c r="C984" s="20"/>
      <c r="D984" s="22"/>
      <c r="E984" s="22"/>
      <c r="F984" s="22"/>
      <c r="G984" s="22"/>
      <c r="H984" s="33" t="n">
        <f aca="false">IF(COUNT($D984:$G984)&lt;4,0,SUM($D984:$G984))</f>
        <v>0</v>
      </c>
      <c r="I984" s="19" t="str">
        <f aca="false">IF($H984=0,"",IF($H984&lt;=8,"Ótimo",IF($H984&lt;=12,"Bom",IF($H984&lt;=16,"Regular",IF($H984&lt;=20,"Alerta","Crítico")))))</f>
        <v/>
      </c>
      <c r="J984" s="20"/>
      <c r="K984" s="20"/>
    </row>
    <row r="985" customFormat="false" ht="15" hidden="false" customHeight="false" outlineLevel="0" collapsed="false">
      <c r="A985" s="21"/>
      <c r="B985" s="33" t="n">
        <f aca="false">IF($A985="",0,INT(($A985-Macrociclo!$C$11)/7)+1)</f>
        <v>0</v>
      </c>
      <c r="C985" s="20"/>
      <c r="D985" s="22"/>
      <c r="E985" s="22"/>
      <c r="F985" s="22"/>
      <c r="G985" s="22"/>
      <c r="H985" s="33" t="n">
        <f aca="false">IF(COUNT($D985:$G985)&lt;4,0,SUM($D985:$G985))</f>
        <v>0</v>
      </c>
      <c r="I985" s="19" t="str">
        <f aca="false">IF($H985=0,"",IF($H985&lt;=8,"Ótimo",IF($H985&lt;=12,"Bom",IF($H985&lt;=16,"Regular",IF($H985&lt;=20,"Alerta","Crítico")))))</f>
        <v/>
      </c>
      <c r="J985" s="20"/>
      <c r="K985" s="20"/>
    </row>
    <row r="986" customFormat="false" ht="15" hidden="false" customHeight="false" outlineLevel="0" collapsed="false">
      <c r="A986" s="21"/>
      <c r="B986" s="33" t="n">
        <f aca="false">IF($A986="",0,INT(($A986-Macrociclo!$C$11)/7)+1)</f>
        <v>0</v>
      </c>
      <c r="C986" s="20"/>
      <c r="D986" s="22"/>
      <c r="E986" s="22"/>
      <c r="F986" s="22"/>
      <c r="G986" s="22"/>
      <c r="H986" s="33" t="n">
        <f aca="false">IF(COUNT($D986:$G986)&lt;4,0,SUM($D986:$G986))</f>
        <v>0</v>
      </c>
      <c r="I986" s="19" t="str">
        <f aca="false">IF($H986=0,"",IF($H986&lt;=8,"Ótimo",IF($H986&lt;=12,"Bom",IF($H986&lt;=16,"Regular",IF($H986&lt;=20,"Alerta","Crítico")))))</f>
        <v/>
      </c>
      <c r="J986" s="20"/>
      <c r="K986" s="20"/>
    </row>
    <row r="987" customFormat="false" ht="15" hidden="false" customHeight="false" outlineLevel="0" collapsed="false">
      <c r="A987" s="21"/>
      <c r="B987" s="33" t="n">
        <f aca="false">IF($A987="",0,INT(($A987-Macrociclo!$C$11)/7)+1)</f>
        <v>0</v>
      </c>
      <c r="C987" s="20"/>
      <c r="D987" s="22"/>
      <c r="E987" s="22"/>
      <c r="F987" s="22"/>
      <c r="G987" s="22"/>
      <c r="H987" s="33" t="n">
        <f aca="false">IF(COUNT($D987:$G987)&lt;4,0,SUM($D987:$G987))</f>
        <v>0</v>
      </c>
      <c r="I987" s="19" t="str">
        <f aca="false">IF($H987=0,"",IF($H987&lt;=8,"Ótimo",IF($H987&lt;=12,"Bom",IF($H987&lt;=16,"Regular",IF($H987&lt;=20,"Alerta","Crítico")))))</f>
        <v/>
      </c>
      <c r="J987" s="20"/>
      <c r="K987" s="20"/>
    </row>
    <row r="988" customFormat="false" ht="15" hidden="false" customHeight="false" outlineLevel="0" collapsed="false">
      <c r="A988" s="21"/>
      <c r="B988" s="33" t="n">
        <f aca="false">IF($A988="",0,INT(($A988-Macrociclo!$C$11)/7)+1)</f>
        <v>0</v>
      </c>
      <c r="C988" s="20"/>
      <c r="D988" s="22"/>
      <c r="E988" s="22"/>
      <c r="F988" s="22"/>
      <c r="G988" s="22"/>
      <c r="H988" s="33" t="n">
        <f aca="false">IF(COUNT($D988:$G988)&lt;4,0,SUM($D988:$G988))</f>
        <v>0</v>
      </c>
      <c r="I988" s="19" t="str">
        <f aca="false">IF($H988=0,"",IF($H988&lt;=8,"Ótimo",IF($H988&lt;=12,"Bom",IF($H988&lt;=16,"Regular",IF($H988&lt;=20,"Alerta","Crítico")))))</f>
        <v/>
      </c>
      <c r="J988" s="20"/>
      <c r="K988" s="20"/>
    </row>
    <row r="989" customFormat="false" ht="15" hidden="false" customHeight="false" outlineLevel="0" collapsed="false">
      <c r="A989" s="21"/>
      <c r="B989" s="33" t="n">
        <f aca="false">IF($A989="",0,INT(($A989-Macrociclo!$C$11)/7)+1)</f>
        <v>0</v>
      </c>
      <c r="C989" s="20"/>
      <c r="D989" s="22"/>
      <c r="E989" s="22"/>
      <c r="F989" s="22"/>
      <c r="G989" s="22"/>
      <c r="H989" s="33" t="n">
        <f aca="false">IF(COUNT($D989:$G989)&lt;4,0,SUM($D989:$G989))</f>
        <v>0</v>
      </c>
      <c r="I989" s="19" t="str">
        <f aca="false">IF($H989=0,"",IF($H989&lt;=8,"Ótimo",IF($H989&lt;=12,"Bom",IF($H989&lt;=16,"Regular",IF($H989&lt;=20,"Alerta","Crítico")))))</f>
        <v/>
      </c>
      <c r="J989" s="20"/>
      <c r="K989" s="20"/>
    </row>
    <row r="990" customFormat="false" ht="15" hidden="false" customHeight="false" outlineLevel="0" collapsed="false">
      <c r="A990" s="21"/>
      <c r="B990" s="33" t="n">
        <f aca="false">IF($A990="",0,INT(($A990-Macrociclo!$C$11)/7)+1)</f>
        <v>0</v>
      </c>
      <c r="C990" s="20"/>
      <c r="D990" s="22"/>
      <c r="E990" s="22"/>
      <c r="F990" s="22"/>
      <c r="G990" s="22"/>
      <c r="H990" s="33" t="n">
        <f aca="false">IF(COUNT($D990:$G990)&lt;4,0,SUM($D990:$G990))</f>
        <v>0</v>
      </c>
      <c r="I990" s="19" t="str">
        <f aca="false">IF($H990=0,"",IF($H990&lt;=8,"Ótimo",IF($H990&lt;=12,"Bom",IF($H990&lt;=16,"Regular",IF($H990&lt;=20,"Alerta","Crítico")))))</f>
        <v/>
      </c>
      <c r="J990" s="20"/>
      <c r="K990" s="20"/>
    </row>
    <row r="991" customFormat="false" ht="15" hidden="false" customHeight="false" outlineLevel="0" collapsed="false">
      <c r="A991" s="21"/>
      <c r="B991" s="33" t="n">
        <f aca="false">IF($A991="",0,INT(($A991-Macrociclo!$C$11)/7)+1)</f>
        <v>0</v>
      </c>
      <c r="C991" s="20"/>
      <c r="D991" s="22"/>
      <c r="E991" s="22"/>
      <c r="F991" s="22"/>
      <c r="G991" s="22"/>
      <c r="H991" s="33" t="n">
        <f aca="false">IF(COUNT($D991:$G991)&lt;4,0,SUM($D991:$G991))</f>
        <v>0</v>
      </c>
      <c r="I991" s="19" t="str">
        <f aca="false">IF($H991=0,"",IF($H991&lt;=8,"Ótimo",IF($H991&lt;=12,"Bom",IF($H991&lt;=16,"Regular",IF($H991&lt;=20,"Alerta","Crítico")))))</f>
        <v/>
      </c>
      <c r="J991" s="20"/>
      <c r="K991" s="20"/>
    </row>
    <row r="992" customFormat="false" ht="15" hidden="false" customHeight="false" outlineLevel="0" collapsed="false">
      <c r="A992" s="21"/>
      <c r="B992" s="33" t="n">
        <f aca="false">IF($A992="",0,INT(($A992-Macrociclo!$C$11)/7)+1)</f>
        <v>0</v>
      </c>
      <c r="C992" s="20"/>
      <c r="D992" s="22"/>
      <c r="E992" s="22"/>
      <c r="F992" s="22"/>
      <c r="G992" s="22"/>
      <c r="H992" s="33" t="n">
        <f aca="false">IF(COUNT($D992:$G992)&lt;4,0,SUM($D992:$G992))</f>
        <v>0</v>
      </c>
      <c r="I992" s="19" t="str">
        <f aca="false">IF($H992=0,"",IF($H992&lt;=8,"Ótimo",IF($H992&lt;=12,"Bom",IF($H992&lt;=16,"Regular",IF($H992&lt;=20,"Alerta","Crítico")))))</f>
        <v/>
      </c>
      <c r="J992" s="20"/>
      <c r="K992" s="20"/>
    </row>
    <row r="993" customFormat="false" ht="15" hidden="false" customHeight="false" outlineLevel="0" collapsed="false">
      <c r="A993" s="21"/>
      <c r="B993" s="33" t="n">
        <f aca="false">IF($A993="",0,INT(($A993-Macrociclo!$C$11)/7)+1)</f>
        <v>0</v>
      </c>
      <c r="C993" s="20"/>
      <c r="D993" s="22"/>
      <c r="E993" s="22"/>
      <c r="F993" s="22"/>
      <c r="G993" s="22"/>
      <c r="H993" s="33" t="n">
        <f aca="false">IF(COUNT($D993:$G993)&lt;4,0,SUM($D993:$G993))</f>
        <v>0</v>
      </c>
      <c r="I993" s="19" t="str">
        <f aca="false">IF($H993=0,"",IF($H993&lt;=8,"Ótimo",IF($H993&lt;=12,"Bom",IF($H993&lt;=16,"Regular",IF($H993&lt;=20,"Alerta","Crítico")))))</f>
        <v/>
      </c>
      <c r="J993" s="20"/>
      <c r="K993" s="20"/>
    </row>
    <row r="994" customFormat="false" ht="15" hidden="false" customHeight="false" outlineLevel="0" collapsed="false">
      <c r="A994" s="21"/>
      <c r="B994" s="33" t="n">
        <f aca="false">IF($A994="",0,INT(($A994-Macrociclo!$C$11)/7)+1)</f>
        <v>0</v>
      </c>
      <c r="C994" s="20"/>
      <c r="D994" s="22"/>
      <c r="E994" s="22"/>
      <c r="F994" s="22"/>
      <c r="G994" s="22"/>
      <c r="H994" s="33" t="n">
        <f aca="false">IF(COUNT($D994:$G994)&lt;4,0,SUM($D994:$G994))</f>
        <v>0</v>
      </c>
      <c r="I994" s="19" t="str">
        <f aca="false">IF($H994=0,"",IF($H994&lt;=8,"Ótimo",IF($H994&lt;=12,"Bom",IF($H994&lt;=16,"Regular",IF($H994&lt;=20,"Alerta","Crítico")))))</f>
        <v/>
      </c>
      <c r="J994" s="20"/>
      <c r="K994" s="20"/>
    </row>
    <row r="995" customFormat="false" ht="15" hidden="false" customHeight="false" outlineLevel="0" collapsed="false">
      <c r="A995" s="21"/>
      <c r="B995" s="33" t="n">
        <f aca="false">IF($A995="",0,INT(($A995-Macrociclo!$C$11)/7)+1)</f>
        <v>0</v>
      </c>
      <c r="C995" s="20"/>
      <c r="D995" s="22"/>
      <c r="E995" s="22"/>
      <c r="F995" s="22"/>
      <c r="G995" s="22"/>
      <c r="H995" s="33" t="n">
        <f aca="false">IF(COUNT($D995:$G995)&lt;4,0,SUM($D995:$G995))</f>
        <v>0</v>
      </c>
      <c r="I995" s="19" t="str">
        <f aca="false">IF($H995=0,"",IF($H995&lt;=8,"Ótimo",IF($H995&lt;=12,"Bom",IF($H995&lt;=16,"Regular",IF($H995&lt;=20,"Alerta","Crítico")))))</f>
        <v/>
      </c>
      <c r="J995" s="20"/>
      <c r="K995" s="20"/>
    </row>
    <row r="996" customFormat="false" ht="15" hidden="false" customHeight="false" outlineLevel="0" collapsed="false">
      <c r="A996" s="21"/>
      <c r="B996" s="33" t="n">
        <f aca="false">IF($A996="",0,INT(($A996-Macrociclo!$C$11)/7)+1)</f>
        <v>0</v>
      </c>
      <c r="C996" s="20"/>
      <c r="D996" s="22"/>
      <c r="E996" s="22"/>
      <c r="F996" s="22"/>
      <c r="G996" s="22"/>
      <c r="H996" s="33" t="n">
        <f aca="false">IF(COUNT($D996:$G996)&lt;4,0,SUM($D996:$G996))</f>
        <v>0</v>
      </c>
      <c r="I996" s="19" t="str">
        <f aca="false">IF($H996=0,"",IF($H996&lt;=8,"Ótimo",IF($H996&lt;=12,"Bom",IF($H996&lt;=16,"Regular",IF($H996&lt;=20,"Alerta","Crítico")))))</f>
        <v/>
      </c>
      <c r="J996" s="20"/>
      <c r="K996" s="20"/>
    </row>
    <row r="997" customFormat="false" ht="15" hidden="false" customHeight="false" outlineLevel="0" collapsed="false">
      <c r="A997" s="21"/>
      <c r="B997" s="33" t="n">
        <f aca="false">IF($A997="",0,INT(($A997-Macrociclo!$C$11)/7)+1)</f>
        <v>0</v>
      </c>
      <c r="C997" s="20"/>
      <c r="D997" s="22"/>
      <c r="E997" s="22"/>
      <c r="F997" s="22"/>
      <c r="G997" s="22"/>
      <c r="H997" s="33" t="n">
        <f aca="false">IF(COUNT($D997:$G997)&lt;4,0,SUM($D997:$G997))</f>
        <v>0</v>
      </c>
      <c r="I997" s="19" t="str">
        <f aca="false">IF($H997=0,"",IF($H997&lt;=8,"Ótimo",IF($H997&lt;=12,"Bom",IF($H997&lt;=16,"Regular",IF($H997&lt;=20,"Alerta","Crítico")))))</f>
        <v/>
      </c>
      <c r="J997" s="20"/>
      <c r="K997" s="20"/>
    </row>
    <row r="998" customFormat="false" ht="15" hidden="false" customHeight="false" outlineLevel="0" collapsed="false">
      <c r="A998" s="21"/>
      <c r="B998" s="33" t="n">
        <f aca="false">IF($A998="",0,INT(($A998-Macrociclo!$C$11)/7)+1)</f>
        <v>0</v>
      </c>
      <c r="C998" s="20"/>
      <c r="D998" s="22"/>
      <c r="E998" s="22"/>
      <c r="F998" s="22"/>
      <c r="G998" s="22"/>
      <c r="H998" s="33" t="n">
        <f aca="false">IF(COUNT($D998:$G998)&lt;4,0,SUM($D998:$G998))</f>
        <v>0</v>
      </c>
      <c r="I998" s="19" t="str">
        <f aca="false">IF($H998=0,"",IF($H998&lt;=8,"Ótimo",IF($H998&lt;=12,"Bom",IF($H998&lt;=16,"Regular",IF($H998&lt;=20,"Alerta","Crítico")))))</f>
        <v/>
      </c>
      <c r="J998" s="20"/>
      <c r="K998" s="20"/>
    </row>
    <row r="999" customFormat="false" ht="15" hidden="false" customHeight="false" outlineLevel="0" collapsed="false">
      <c r="A999" s="21"/>
      <c r="B999" s="33" t="n">
        <f aca="false">IF($A999="",0,INT(($A999-Macrociclo!$C$11)/7)+1)</f>
        <v>0</v>
      </c>
      <c r="C999" s="20"/>
      <c r="D999" s="22"/>
      <c r="E999" s="22"/>
      <c r="F999" s="22"/>
      <c r="G999" s="22"/>
      <c r="H999" s="33" t="n">
        <f aca="false">IF(COUNT($D999:$G999)&lt;4,0,SUM($D999:$G999))</f>
        <v>0</v>
      </c>
      <c r="I999" s="19" t="str">
        <f aca="false">IF($H999=0,"",IF($H999&lt;=8,"Ótimo",IF($H999&lt;=12,"Bom",IF($H999&lt;=16,"Regular",IF($H999&lt;=20,"Alerta","Crítico")))))</f>
        <v/>
      </c>
      <c r="J999" s="20"/>
      <c r="K999" s="20"/>
    </row>
    <row r="1000" customFormat="false" ht="15" hidden="false" customHeight="false" outlineLevel="0" collapsed="false">
      <c r="A1000" s="21"/>
      <c r="B1000" s="33" t="n">
        <f aca="false">IF($A1000="",0,INT(($A1000-Macrociclo!$C$11)/7)+1)</f>
        <v>0</v>
      </c>
      <c r="C1000" s="20"/>
      <c r="D1000" s="22"/>
      <c r="E1000" s="22"/>
      <c r="F1000" s="22"/>
      <c r="G1000" s="22"/>
      <c r="H1000" s="33" t="n">
        <f aca="false">IF(COUNT($D1000:$G1000)&lt;4,0,SUM($D1000:$G1000))</f>
        <v>0</v>
      </c>
      <c r="I1000" s="19" t="str">
        <f aca="false">IF($H1000=0,"",IF($H1000&lt;=8,"Ótimo",IF($H1000&lt;=12,"Bom",IF($H1000&lt;=16,"Regular",IF($H1000&lt;=20,"Alerta","Crítico")))))</f>
        <v/>
      </c>
      <c r="J1000" s="20"/>
      <c r="K1000" s="20"/>
    </row>
    <row r="1001" customFormat="false" ht="15" hidden="false" customHeight="false" outlineLevel="0" collapsed="false">
      <c r="A1001" s="21"/>
      <c r="B1001" s="33" t="n">
        <f aca="false">IF($A1001="",0,INT(($A1001-Macrociclo!$C$11)/7)+1)</f>
        <v>0</v>
      </c>
      <c r="C1001" s="20"/>
      <c r="D1001" s="22"/>
      <c r="E1001" s="22"/>
      <c r="F1001" s="22"/>
      <c r="G1001" s="22"/>
      <c r="H1001" s="33" t="n">
        <f aca="false">IF(COUNT($D1001:$G1001)&lt;4,0,SUM($D1001:$G1001))</f>
        <v>0</v>
      </c>
      <c r="I1001" s="19" t="str">
        <f aca="false">IF($H1001=0,"",IF($H1001&lt;=8,"Ótimo",IF($H1001&lt;=12,"Bom",IF($H1001&lt;=16,"Regular",IF($H1001&lt;=20,"Alerta","Crítico")))))</f>
        <v/>
      </c>
      <c r="J1001" s="20"/>
      <c r="K1001" s="20"/>
    </row>
    <row r="1002" customFormat="false" ht="15" hidden="false" customHeight="false" outlineLevel="0" collapsed="false">
      <c r="A1002" s="21"/>
      <c r="B1002" s="33" t="n">
        <f aca="false">IF($A1002="",0,INT(($A1002-Macrociclo!$C$11)/7)+1)</f>
        <v>0</v>
      </c>
      <c r="C1002" s="20"/>
      <c r="D1002" s="22"/>
      <c r="E1002" s="22"/>
      <c r="F1002" s="22"/>
      <c r="G1002" s="22"/>
      <c r="H1002" s="33" t="n">
        <f aca="false">IF(COUNT($D1002:$G1002)&lt;4,0,SUM($D1002:$G1002))</f>
        <v>0</v>
      </c>
      <c r="I1002" s="19" t="str">
        <f aca="false">IF($H1002=0,"",IF($H1002&lt;=8,"Ótimo",IF($H1002&lt;=12,"Bom",IF($H1002&lt;=16,"Regular",IF($H1002&lt;=20,"Alerta","Crítico")))))</f>
        <v/>
      </c>
      <c r="J1002" s="20"/>
      <c r="K1002" s="20"/>
    </row>
    <row r="1003" customFormat="false" ht="15" hidden="false" customHeight="false" outlineLevel="0" collapsed="false">
      <c r="A1003" s="21"/>
      <c r="B1003" s="33" t="n">
        <f aca="false">IF($A1003="",0,INT(($A1003-Macrociclo!$C$11)/7)+1)</f>
        <v>0</v>
      </c>
      <c r="C1003" s="20"/>
      <c r="D1003" s="22"/>
      <c r="E1003" s="22"/>
      <c r="F1003" s="22"/>
      <c r="G1003" s="22"/>
      <c r="H1003" s="33" t="n">
        <f aca="false">IF(COUNT($D1003:$G1003)&lt;4,0,SUM($D1003:$G1003))</f>
        <v>0</v>
      </c>
      <c r="I1003" s="19" t="str">
        <f aca="false">IF($H1003=0,"",IF($H1003&lt;=8,"Ótimo",IF($H1003&lt;=12,"Bom",IF($H1003&lt;=16,"Regular",IF($H1003&lt;=20,"Alerta","Crítico")))))</f>
        <v/>
      </c>
      <c r="J1003" s="20"/>
      <c r="K1003" s="20"/>
    </row>
    <row r="1004" customFormat="false" ht="15" hidden="false" customHeight="false" outlineLevel="0" collapsed="false">
      <c r="A1004" s="21"/>
      <c r="B1004" s="33" t="n">
        <f aca="false">IF($A1004="",0,INT(($A1004-Macrociclo!$C$11)/7)+1)</f>
        <v>0</v>
      </c>
      <c r="C1004" s="20"/>
      <c r="D1004" s="22"/>
      <c r="E1004" s="22"/>
      <c r="F1004" s="22"/>
      <c r="G1004" s="22"/>
      <c r="H1004" s="33" t="n">
        <f aca="false">IF(COUNT($D1004:$G1004)&lt;4,0,SUM($D1004:$G1004))</f>
        <v>0</v>
      </c>
      <c r="I1004" s="19" t="str">
        <f aca="false">IF($H1004=0,"",IF($H1004&lt;=8,"Ótimo",IF($H1004&lt;=12,"Bom",IF($H1004&lt;=16,"Regular",IF($H1004&lt;=20,"Alerta","Crítico")))))</f>
        <v/>
      </c>
      <c r="J1004" s="20"/>
      <c r="K1004" s="20"/>
    </row>
    <row r="1005" customFormat="false" ht="15" hidden="false" customHeight="false" outlineLevel="0" collapsed="false">
      <c r="A1005" s="21"/>
      <c r="B1005" s="33" t="n">
        <f aca="false">IF($A1005="",0,INT(($A1005-Macrociclo!$C$11)/7)+1)</f>
        <v>0</v>
      </c>
      <c r="C1005" s="20"/>
      <c r="D1005" s="22"/>
      <c r="E1005" s="22"/>
      <c r="F1005" s="22"/>
      <c r="G1005" s="22"/>
      <c r="H1005" s="33" t="n">
        <f aca="false">IF(COUNT($D1005:$G1005)&lt;4,0,SUM($D1005:$G1005))</f>
        <v>0</v>
      </c>
      <c r="I1005" s="19" t="str">
        <f aca="false">IF($H1005=0,"",IF($H1005&lt;=8,"Ótimo",IF($H1005&lt;=12,"Bom",IF($H1005&lt;=16,"Regular",IF($H1005&lt;=20,"Alerta","Crítico")))))</f>
        <v/>
      </c>
      <c r="J1005" s="20"/>
      <c r="K1005" s="20"/>
    </row>
    <row r="1006" customFormat="false" ht="15" hidden="false" customHeight="false" outlineLevel="0" collapsed="false">
      <c r="A1006" s="21"/>
      <c r="B1006" s="33" t="n">
        <f aca="false">IF($A1006="",0,INT(($A1006-Macrociclo!$C$11)/7)+1)</f>
        <v>0</v>
      </c>
      <c r="C1006" s="20"/>
      <c r="D1006" s="22"/>
      <c r="E1006" s="22"/>
      <c r="F1006" s="22"/>
      <c r="G1006" s="22"/>
      <c r="H1006" s="33" t="n">
        <f aca="false">IF(COUNT($D1006:$G1006)&lt;4,0,SUM($D1006:$G1006))</f>
        <v>0</v>
      </c>
      <c r="I1006" s="19" t="str">
        <f aca="false">IF($H1006=0,"",IF($H1006&lt;=8,"Ótimo",IF($H1006&lt;=12,"Bom",IF($H1006&lt;=16,"Regular",IF($H1006&lt;=20,"Alerta","Crítico")))))</f>
        <v/>
      </c>
      <c r="J1006" s="20"/>
      <c r="K1006" s="20"/>
    </row>
    <row r="1007" customFormat="false" ht="15" hidden="false" customHeight="false" outlineLevel="0" collapsed="false">
      <c r="A1007" s="21"/>
      <c r="B1007" s="33" t="n">
        <f aca="false">IF($A1007="",0,INT(($A1007-Macrociclo!$C$11)/7)+1)</f>
        <v>0</v>
      </c>
      <c r="C1007" s="20"/>
      <c r="D1007" s="22"/>
      <c r="E1007" s="22"/>
      <c r="F1007" s="22"/>
      <c r="G1007" s="22"/>
      <c r="H1007" s="33" t="n">
        <f aca="false">IF(COUNT($D1007:$G1007)&lt;4,0,SUM($D1007:$G1007))</f>
        <v>0</v>
      </c>
      <c r="I1007" s="19" t="str">
        <f aca="false">IF($H1007=0,"",IF($H1007&lt;=8,"Ótimo",IF($H1007&lt;=12,"Bom",IF($H1007&lt;=16,"Regular",IF($H1007&lt;=20,"Alerta","Crítico")))))</f>
        <v/>
      </c>
      <c r="J1007" s="20"/>
      <c r="K1007" s="20"/>
    </row>
  </sheetData>
  <autoFilter ref="A7:K1007"/>
  <mergeCells count="3">
    <mergeCell ref="A1:K1"/>
    <mergeCell ref="A2:K2"/>
    <mergeCell ref="A4:K4"/>
  </mergeCells>
  <conditionalFormatting sqref="I8:I1007">
    <cfRule type="cellIs" priority="2" operator="equal" aboveAverage="0" equalAverage="0" bottom="0" percent="0" rank="0" text="" dxfId="6">
      <formula>"Ótimo"</formula>
    </cfRule>
    <cfRule type="cellIs" priority="3" operator="equal" aboveAverage="0" equalAverage="0" bottom="0" percent="0" rank="0" text="" dxfId="12">
      <formula>"Bom"</formula>
    </cfRule>
    <cfRule type="cellIs" priority="4" operator="equal" aboveAverage="0" equalAverage="0" bottom="0" percent="0" rank="0" text="" dxfId="8">
      <formula>"Regular"</formula>
    </cfRule>
    <cfRule type="cellIs" priority="5" operator="equal" aboveAverage="0" equalAverage="0" bottom="0" percent="0" rank="0" text="" dxfId="13">
      <formula>"Alerta"</formula>
    </cfRule>
    <cfRule type="cellIs" priority="6" operator="equal" aboveAverage="0" equalAverage="0" bottom="0" percent="0" rank="0" text="" dxfId="7">
      <formula>"Crítico"</formula>
    </cfRule>
  </conditionalFormatting>
  <dataValidations count="5">
    <dataValidation allowBlank="true" errorStyle="stop" operator="between" showDropDown="false" showErrorMessage="false" showInputMessage="false" sqref="C8:C1007" type="list">
      <formula1>Cadastro!$B$7:$B$66</formula1>
      <formula2>0</formula2>
    </dataValidation>
    <dataValidation allowBlank="true" errorStyle="stop" operator="between" showDropDown="false" showErrorMessage="false" showInputMessage="false" sqref="D8:D1007" type="list">
      <formula1>Listas!$O$5:$O$15</formula1>
      <formula2>0</formula2>
    </dataValidation>
    <dataValidation allowBlank="true" errorStyle="stop" operator="between" showDropDown="false" showErrorMessage="false" showInputMessage="false" sqref="E8:E1007" type="list">
      <formula1>Listas!$O$5:$O$15</formula1>
      <formula2>0</formula2>
    </dataValidation>
    <dataValidation allowBlank="true" errorStyle="stop" operator="between" showDropDown="false" showErrorMessage="false" showInputMessage="false" sqref="F8:F1007" type="list">
      <formula1>Listas!$O$5:$O$15</formula1>
      <formula2>0</formula2>
    </dataValidation>
    <dataValidation allowBlank="true" errorStyle="stop" operator="between" showDropDown="false" showErrorMessage="false" showInputMessage="false" sqref="G8:G1007" type="list">
      <formula1>Listas!$O$5:$O$15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A"/>
    <pageSetUpPr fitToPage="true"/>
  </sheetPr>
  <dimension ref="A1:P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3"/>
    <col collapsed="false" customWidth="true" hidden="false" outlineLevel="0" max="16" min="16" style="0" width="16"/>
  </cols>
  <sheetData>
    <row r="1" customFormat="false" ht="30" hidden="false" customHeight="true" outlineLevel="0" collapsed="false">
      <c r="A1" s="1" t="s">
        <v>402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403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 customFormat="false" ht="19.5" hidden="false" customHeight="true" outlineLevel="0" collapsed="false">
      <c r="I5" s="3" t="s">
        <v>404</v>
      </c>
      <c r="J5" s="3"/>
      <c r="K5" s="3"/>
      <c r="L5" s="3"/>
      <c r="M5" s="3"/>
      <c r="N5" s="3"/>
      <c r="O5" s="3"/>
      <c r="P5" s="3"/>
    </row>
    <row r="7" customFormat="false" ht="31.5" hidden="false" customHeight="true" outlineLevel="0" collapsed="false">
      <c r="A7" s="18" t="s">
        <v>339</v>
      </c>
      <c r="B7" s="18" t="s">
        <v>370</v>
      </c>
      <c r="C7" s="18" t="s">
        <v>405</v>
      </c>
      <c r="D7" s="18" t="s">
        <v>386</v>
      </c>
      <c r="E7" s="18" t="s">
        <v>406</v>
      </c>
      <c r="F7" s="18" t="s">
        <v>407</v>
      </c>
      <c r="G7" s="18" t="s">
        <v>408</v>
      </c>
      <c r="I7" s="18" t="s">
        <v>386</v>
      </c>
      <c r="J7" s="18" t="s">
        <v>409</v>
      </c>
      <c r="K7" s="18" t="s">
        <v>410</v>
      </c>
      <c r="L7" s="18" t="s">
        <v>411</v>
      </c>
      <c r="M7" s="18" t="s">
        <v>412</v>
      </c>
      <c r="N7" s="18" t="s">
        <v>413</v>
      </c>
      <c r="O7" s="18" t="s">
        <v>414</v>
      </c>
      <c r="P7" s="18" t="s">
        <v>309</v>
      </c>
    </row>
    <row r="8" customFormat="false" ht="15" hidden="false" customHeight="false" outlineLevel="0" collapsed="false">
      <c r="A8" s="21"/>
      <c r="B8" s="33" t="n">
        <f aca="false">IF($A8="",0,INT(($A8-Macrociclo!$C$11)/7)+1)</f>
        <v>0</v>
      </c>
      <c r="C8" s="20"/>
      <c r="D8" s="20"/>
      <c r="E8" s="22"/>
      <c r="F8" s="22"/>
      <c r="G8" s="20"/>
      <c r="I8" s="68" t="str">
        <f aca="false">IF(Cadastro!$B7="","",Cadastro!$B7)</f>
        <v/>
      </c>
      <c r="J8" s="69" t="n">
        <f aca="false">IF($I8="",0,COUNTIFS($D$8:$D$1007,$I8))</f>
        <v>0</v>
      </c>
      <c r="K8" s="69" t="n">
        <f aca="false">IF($I8="",0,COUNTIFS($D$8:$D$1007,$I8,$E$8:$E$1007,"Presente"))</f>
        <v>0</v>
      </c>
      <c r="L8" s="49" t="n">
        <f aca="false">IF($J8=0,0,$K8/$J8)</f>
        <v>0</v>
      </c>
      <c r="M8" s="69" t="n">
        <f aca="false">IF($I8="",0,COUNTIFS($D$8:$D$1007,$I8,$E$8:$E$1007,"Falta Justificada")+COUNTIFS($D$8:$D$1007,$I8,$E$8:$E$1007,"Falta Não Justificada"))</f>
        <v>0</v>
      </c>
      <c r="N8" s="69" t="n">
        <f aca="false">IF($I8="",0,COUNTIFS($D$8:$D$1007,$I8,$E$8:$E$1007,"Lesionado")+COUNTIFS($D$8:$D$1007,$I8,$E$8:$E$1007,"Departamento Médico"))</f>
        <v>0</v>
      </c>
      <c r="O8" s="69" t="n">
        <f aca="false">IF($I8="",0,SUMIFS($F$8:$F$1007,$D$8:$D$1007,$I8))</f>
        <v>0</v>
      </c>
      <c r="P8" s="70" t="str">
        <f aca="false">IF($I8="","",IF($J8=0,"Sem registro",IF($L8&gt;=0.9,"Excelente",IF($L8&gt;=0.75,"Regular","Baixa assiduidade"))))</f>
        <v/>
      </c>
    </row>
    <row r="9" customFormat="false" ht="15" hidden="false" customHeight="false" outlineLevel="0" collapsed="false">
      <c r="A9" s="21"/>
      <c r="B9" s="33" t="n">
        <f aca="false">IF($A9="",0,INT(($A9-Macrociclo!$C$11)/7)+1)</f>
        <v>0</v>
      </c>
      <c r="C9" s="20"/>
      <c r="D9" s="20"/>
      <c r="E9" s="22"/>
      <c r="F9" s="22"/>
      <c r="G9" s="20"/>
      <c r="I9" s="71" t="str">
        <f aca="false">IF(Cadastro!$B8="","",Cadastro!$B8)</f>
        <v/>
      </c>
      <c r="J9" s="72" t="n">
        <f aca="false">IF($I9="",0,COUNTIFS($D$8:$D$1007,$I9))</f>
        <v>0</v>
      </c>
      <c r="K9" s="72" t="n">
        <f aca="false">IF($I9="",0,COUNTIFS($D$8:$D$1007,$I9,$E$8:$E$1007,"Presente"))</f>
        <v>0</v>
      </c>
      <c r="L9" s="73" t="n">
        <f aca="false">IF($J9=0,0,$K9/$J9)</f>
        <v>0</v>
      </c>
      <c r="M9" s="72" t="n">
        <f aca="false">IF($I9="",0,COUNTIFS($D$8:$D$1007,$I9,$E$8:$E$1007,"Falta Justificada")+COUNTIFS($D$8:$D$1007,$I9,$E$8:$E$1007,"Falta Não Justificada"))</f>
        <v>0</v>
      </c>
      <c r="N9" s="72" t="n">
        <f aca="false">IF($I9="",0,COUNTIFS($D$8:$D$1007,$I9,$E$8:$E$1007,"Lesionado")+COUNTIFS($D$8:$D$1007,$I9,$E$8:$E$1007,"Departamento Médico"))</f>
        <v>0</v>
      </c>
      <c r="O9" s="72" t="n">
        <f aca="false">IF($I9="",0,SUMIFS($F$8:$F$1007,$D$8:$D$1007,$I9))</f>
        <v>0</v>
      </c>
      <c r="P9" s="74" t="str">
        <f aca="false">IF($I9="","",IF($J9=0,"Sem registro",IF($L9&gt;=0.9,"Excelente",IF($L9&gt;=0.75,"Regular","Baixa assiduidade"))))</f>
        <v/>
      </c>
    </row>
    <row r="10" customFormat="false" ht="15" hidden="false" customHeight="false" outlineLevel="0" collapsed="false">
      <c r="A10" s="21"/>
      <c r="B10" s="33" t="n">
        <f aca="false">IF($A10="",0,INT(($A10-Macrociclo!$C$11)/7)+1)</f>
        <v>0</v>
      </c>
      <c r="C10" s="20"/>
      <c r="D10" s="20"/>
      <c r="E10" s="22"/>
      <c r="F10" s="22"/>
      <c r="G10" s="20"/>
      <c r="I10" s="68" t="str">
        <f aca="false">IF(Cadastro!$B9="","",Cadastro!$B9)</f>
        <v/>
      </c>
      <c r="J10" s="69" t="n">
        <f aca="false">IF($I10="",0,COUNTIFS($D$8:$D$1007,$I10))</f>
        <v>0</v>
      </c>
      <c r="K10" s="69" t="n">
        <f aca="false">IF($I10="",0,COUNTIFS($D$8:$D$1007,$I10,$E$8:$E$1007,"Presente"))</f>
        <v>0</v>
      </c>
      <c r="L10" s="49" t="n">
        <f aca="false">IF($J10=0,0,$K10/$J10)</f>
        <v>0</v>
      </c>
      <c r="M10" s="69" t="n">
        <f aca="false">IF($I10="",0,COUNTIFS($D$8:$D$1007,$I10,$E$8:$E$1007,"Falta Justificada")+COUNTIFS($D$8:$D$1007,$I10,$E$8:$E$1007,"Falta Não Justificada"))</f>
        <v>0</v>
      </c>
      <c r="N10" s="69" t="n">
        <f aca="false">IF($I10="",0,COUNTIFS($D$8:$D$1007,$I10,$E$8:$E$1007,"Lesionado")+COUNTIFS($D$8:$D$1007,$I10,$E$8:$E$1007,"Departamento Médico"))</f>
        <v>0</v>
      </c>
      <c r="O10" s="69" t="n">
        <f aca="false">IF($I10="",0,SUMIFS($F$8:$F$1007,$D$8:$D$1007,$I10))</f>
        <v>0</v>
      </c>
      <c r="P10" s="70" t="str">
        <f aca="false">IF($I10="","",IF($J10=0,"Sem registro",IF($L10&gt;=0.9,"Excelente",IF($L10&gt;=0.75,"Regular","Baixa assiduidade"))))</f>
        <v/>
      </c>
    </row>
    <row r="11" customFormat="false" ht="15" hidden="false" customHeight="false" outlineLevel="0" collapsed="false">
      <c r="A11" s="21"/>
      <c r="B11" s="33" t="n">
        <f aca="false">IF($A11="",0,INT(($A11-Macrociclo!$C$11)/7)+1)</f>
        <v>0</v>
      </c>
      <c r="C11" s="20"/>
      <c r="D11" s="20"/>
      <c r="E11" s="22"/>
      <c r="F11" s="22"/>
      <c r="G11" s="20"/>
      <c r="I11" s="71" t="str">
        <f aca="false">IF(Cadastro!$B10="","",Cadastro!$B10)</f>
        <v/>
      </c>
      <c r="J11" s="72" t="n">
        <f aca="false">IF($I11="",0,COUNTIFS($D$8:$D$1007,$I11))</f>
        <v>0</v>
      </c>
      <c r="K11" s="72" t="n">
        <f aca="false">IF($I11="",0,COUNTIFS($D$8:$D$1007,$I11,$E$8:$E$1007,"Presente"))</f>
        <v>0</v>
      </c>
      <c r="L11" s="73" t="n">
        <f aca="false">IF($J11=0,0,$K11/$J11)</f>
        <v>0</v>
      </c>
      <c r="M11" s="72" t="n">
        <f aca="false">IF($I11="",0,COUNTIFS($D$8:$D$1007,$I11,$E$8:$E$1007,"Falta Justificada")+COUNTIFS($D$8:$D$1007,$I11,$E$8:$E$1007,"Falta Não Justificada"))</f>
        <v>0</v>
      </c>
      <c r="N11" s="72" t="n">
        <f aca="false">IF($I11="",0,COUNTIFS($D$8:$D$1007,$I11,$E$8:$E$1007,"Lesionado")+COUNTIFS($D$8:$D$1007,$I11,$E$8:$E$1007,"Departamento Médico"))</f>
        <v>0</v>
      </c>
      <c r="O11" s="72" t="n">
        <f aca="false">IF($I11="",0,SUMIFS($F$8:$F$1007,$D$8:$D$1007,$I11))</f>
        <v>0</v>
      </c>
      <c r="P11" s="74" t="str">
        <f aca="false">IF($I11="","",IF($J11=0,"Sem registro",IF($L11&gt;=0.9,"Excelente",IF($L11&gt;=0.75,"Regular","Baixa assiduidade"))))</f>
        <v/>
      </c>
    </row>
    <row r="12" customFormat="false" ht="15" hidden="false" customHeight="false" outlineLevel="0" collapsed="false">
      <c r="A12" s="21"/>
      <c r="B12" s="33" t="n">
        <f aca="false">IF($A12="",0,INT(($A12-Macrociclo!$C$11)/7)+1)</f>
        <v>0</v>
      </c>
      <c r="C12" s="20"/>
      <c r="D12" s="20"/>
      <c r="E12" s="22"/>
      <c r="F12" s="22"/>
      <c r="G12" s="20"/>
      <c r="I12" s="68" t="str">
        <f aca="false">IF(Cadastro!$B11="","",Cadastro!$B11)</f>
        <v/>
      </c>
      <c r="J12" s="69" t="n">
        <f aca="false">IF($I12="",0,COUNTIFS($D$8:$D$1007,$I12))</f>
        <v>0</v>
      </c>
      <c r="K12" s="69" t="n">
        <f aca="false">IF($I12="",0,COUNTIFS($D$8:$D$1007,$I12,$E$8:$E$1007,"Presente"))</f>
        <v>0</v>
      </c>
      <c r="L12" s="49" t="n">
        <f aca="false">IF($J12=0,0,$K12/$J12)</f>
        <v>0</v>
      </c>
      <c r="M12" s="69" t="n">
        <f aca="false">IF($I12="",0,COUNTIFS($D$8:$D$1007,$I12,$E$8:$E$1007,"Falta Justificada")+COUNTIFS($D$8:$D$1007,$I12,$E$8:$E$1007,"Falta Não Justificada"))</f>
        <v>0</v>
      </c>
      <c r="N12" s="69" t="n">
        <f aca="false">IF($I12="",0,COUNTIFS($D$8:$D$1007,$I12,$E$8:$E$1007,"Lesionado")+COUNTIFS($D$8:$D$1007,$I12,$E$8:$E$1007,"Departamento Médico"))</f>
        <v>0</v>
      </c>
      <c r="O12" s="69" t="n">
        <f aca="false">IF($I12="",0,SUMIFS($F$8:$F$1007,$D$8:$D$1007,$I12))</f>
        <v>0</v>
      </c>
      <c r="P12" s="70" t="str">
        <f aca="false">IF($I12="","",IF($J12=0,"Sem registro",IF($L12&gt;=0.9,"Excelente",IF($L12&gt;=0.75,"Regular","Baixa assiduidade"))))</f>
        <v/>
      </c>
    </row>
    <row r="13" customFormat="false" ht="15" hidden="false" customHeight="false" outlineLevel="0" collapsed="false">
      <c r="A13" s="21"/>
      <c r="B13" s="33" t="n">
        <f aca="false">IF($A13="",0,INT(($A13-Macrociclo!$C$11)/7)+1)</f>
        <v>0</v>
      </c>
      <c r="C13" s="20"/>
      <c r="D13" s="20"/>
      <c r="E13" s="22"/>
      <c r="F13" s="22"/>
      <c r="G13" s="20"/>
      <c r="I13" s="71" t="str">
        <f aca="false">IF(Cadastro!$B12="","",Cadastro!$B12)</f>
        <v/>
      </c>
      <c r="J13" s="72" t="n">
        <f aca="false">IF($I13="",0,COUNTIFS($D$8:$D$1007,$I13))</f>
        <v>0</v>
      </c>
      <c r="K13" s="72" t="n">
        <f aca="false">IF($I13="",0,COUNTIFS($D$8:$D$1007,$I13,$E$8:$E$1007,"Presente"))</f>
        <v>0</v>
      </c>
      <c r="L13" s="73" t="n">
        <f aca="false">IF($J13=0,0,$K13/$J13)</f>
        <v>0</v>
      </c>
      <c r="M13" s="72" t="n">
        <f aca="false">IF($I13="",0,COUNTIFS($D$8:$D$1007,$I13,$E$8:$E$1007,"Falta Justificada")+COUNTIFS($D$8:$D$1007,$I13,$E$8:$E$1007,"Falta Não Justificada"))</f>
        <v>0</v>
      </c>
      <c r="N13" s="72" t="n">
        <f aca="false">IF($I13="",0,COUNTIFS($D$8:$D$1007,$I13,$E$8:$E$1007,"Lesionado")+COUNTIFS($D$8:$D$1007,$I13,$E$8:$E$1007,"Departamento Médico"))</f>
        <v>0</v>
      </c>
      <c r="O13" s="72" t="n">
        <f aca="false">IF($I13="",0,SUMIFS($F$8:$F$1007,$D$8:$D$1007,$I13))</f>
        <v>0</v>
      </c>
      <c r="P13" s="74" t="str">
        <f aca="false">IF($I13="","",IF($J13=0,"Sem registro",IF($L13&gt;=0.9,"Excelente",IF($L13&gt;=0.75,"Regular","Baixa assiduidade"))))</f>
        <v/>
      </c>
    </row>
    <row r="14" customFormat="false" ht="15" hidden="false" customHeight="false" outlineLevel="0" collapsed="false">
      <c r="A14" s="21"/>
      <c r="B14" s="33" t="n">
        <f aca="false">IF($A14="",0,INT(($A14-Macrociclo!$C$11)/7)+1)</f>
        <v>0</v>
      </c>
      <c r="C14" s="20"/>
      <c r="D14" s="20"/>
      <c r="E14" s="22"/>
      <c r="F14" s="22"/>
      <c r="G14" s="20"/>
      <c r="I14" s="68" t="str">
        <f aca="false">IF(Cadastro!$B13="","",Cadastro!$B13)</f>
        <v/>
      </c>
      <c r="J14" s="69" t="n">
        <f aca="false">IF($I14="",0,COUNTIFS($D$8:$D$1007,$I14))</f>
        <v>0</v>
      </c>
      <c r="K14" s="69" t="n">
        <f aca="false">IF($I14="",0,COUNTIFS($D$8:$D$1007,$I14,$E$8:$E$1007,"Presente"))</f>
        <v>0</v>
      </c>
      <c r="L14" s="49" t="n">
        <f aca="false">IF($J14=0,0,$K14/$J14)</f>
        <v>0</v>
      </c>
      <c r="M14" s="69" t="n">
        <f aca="false">IF($I14="",0,COUNTIFS($D$8:$D$1007,$I14,$E$8:$E$1007,"Falta Justificada")+COUNTIFS($D$8:$D$1007,$I14,$E$8:$E$1007,"Falta Não Justificada"))</f>
        <v>0</v>
      </c>
      <c r="N14" s="69" t="n">
        <f aca="false">IF($I14="",0,COUNTIFS($D$8:$D$1007,$I14,$E$8:$E$1007,"Lesionado")+COUNTIFS($D$8:$D$1007,$I14,$E$8:$E$1007,"Departamento Médico"))</f>
        <v>0</v>
      </c>
      <c r="O14" s="69" t="n">
        <f aca="false">IF($I14="",0,SUMIFS($F$8:$F$1007,$D$8:$D$1007,$I14))</f>
        <v>0</v>
      </c>
      <c r="P14" s="70" t="str">
        <f aca="false">IF($I14="","",IF($J14=0,"Sem registro",IF($L14&gt;=0.9,"Excelente",IF($L14&gt;=0.75,"Regular","Baixa assiduidade"))))</f>
        <v/>
      </c>
    </row>
    <row r="15" customFormat="false" ht="15" hidden="false" customHeight="false" outlineLevel="0" collapsed="false">
      <c r="A15" s="21"/>
      <c r="B15" s="33" t="n">
        <f aca="false">IF($A15="",0,INT(($A15-Macrociclo!$C$11)/7)+1)</f>
        <v>0</v>
      </c>
      <c r="C15" s="20"/>
      <c r="D15" s="20"/>
      <c r="E15" s="22"/>
      <c r="F15" s="22"/>
      <c r="G15" s="20"/>
      <c r="I15" s="71" t="str">
        <f aca="false">IF(Cadastro!$B14="","",Cadastro!$B14)</f>
        <v/>
      </c>
      <c r="J15" s="72" t="n">
        <f aca="false">IF($I15="",0,COUNTIFS($D$8:$D$1007,$I15))</f>
        <v>0</v>
      </c>
      <c r="K15" s="72" t="n">
        <f aca="false">IF($I15="",0,COUNTIFS($D$8:$D$1007,$I15,$E$8:$E$1007,"Presente"))</f>
        <v>0</v>
      </c>
      <c r="L15" s="73" t="n">
        <f aca="false">IF($J15=0,0,$K15/$J15)</f>
        <v>0</v>
      </c>
      <c r="M15" s="72" t="n">
        <f aca="false">IF($I15="",0,COUNTIFS($D$8:$D$1007,$I15,$E$8:$E$1007,"Falta Justificada")+COUNTIFS($D$8:$D$1007,$I15,$E$8:$E$1007,"Falta Não Justificada"))</f>
        <v>0</v>
      </c>
      <c r="N15" s="72" t="n">
        <f aca="false">IF($I15="",0,COUNTIFS($D$8:$D$1007,$I15,$E$8:$E$1007,"Lesionado")+COUNTIFS($D$8:$D$1007,$I15,$E$8:$E$1007,"Departamento Médico"))</f>
        <v>0</v>
      </c>
      <c r="O15" s="72" t="n">
        <f aca="false">IF($I15="",0,SUMIFS($F$8:$F$1007,$D$8:$D$1007,$I15))</f>
        <v>0</v>
      </c>
      <c r="P15" s="74" t="str">
        <f aca="false">IF($I15="","",IF($J15=0,"Sem registro",IF($L15&gt;=0.9,"Excelente",IF($L15&gt;=0.75,"Regular","Baixa assiduidade"))))</f>
        <v/>
      </c>
    </row>
    <row r="16" customFormat="false" ht="15" hidden="false" customHeight="false" outlineLevel="0" collapsed="false">
      <c r="A16" s="21"/>
      <c r="B16" s="33" t="n">
        <f aca="false">IF($A16="",0,INT(($A16-Macrociclo!$C$11)/7)+1)</f>
        <v>0</v>
      </c>
      <c r="C16" s="20"/>
      <c r="D16" s="20"/>
      <c r="E16" s="22"/>
      <c r="F16" s="22"/>
      <c r="G16" s="20"/>
      <c r="I16" s="68" t="str">
        <f aca="false">IF(Cadastro!$B15="","",Cadastro!$B15)</f>
        <v/>
      </c>
      <c r="J16" s="69" t="n">
        <f aca="false">IF($I16="",0,COUNTIFS($D$8:$D$1007,$I16))</f>
        <v>0</v>
      </c>
      <c r="K16" s="69" t="n">
        <f aca="false">IF($I16="",0,COUNTIFS($D$8:$D$1007,$I16,$E$8:$E$1007,"Presente"))</f>
        <v>0</v>
      </c>
      <c r="L16" s="49" t="n">
        <f aca="false">IF($J16=0,0,$K16/$J16)</f>
        <v>0</v>
      </c>
      <c r="M16" s="69" t="n">
        <f aca="false">IF($I16="",0,COUNTIFS($D$8:$D$1007,$I16,$E$8:$E$1007,"Falta Justificada")+COUNTIFS($D$8:$D$1007,$I16,$E$8:$E$1007,"Falta Não Justificada"))</f>
        <v>0</v>
      </c>
      <c r="N16" s="69" t="n">
        <f aca="false">IF($I16="",0,COUNTIFS($D$8:$D$1007,$I16,$E$8:$E$1007,"Lesionado")+COUNTIFS($D$8:$D$1007,$I16,$E$8:$E$1007,"Departamento Médico"))</f>
        <v>0</v>
      </c>
      <c r="O16" s="69" t="n">
        <f aca="false">IF($I16="",0,SUMIFS($F$8:$F$1007,$D$8:$D$1007,$I16))</f>
        <v>0</v>
      </c>
      <c r="P16" s="70" t="str">
        <f aca="false">IF($I16="","",IF($J16=0,"Sem registro",IF($L16&gt;=0.9,"Excelente",IF($L16&gt;=0.75,"Regular","Baixa assiduidade"))))</f>
        <v/>
      </c>
    </row>
    <row r="17" customFormat="false" ht="15" hidden="false" customHeight="false" outlineLevel="0" collapsed="false">
      <c r="A17" s="21"/>
      <c r="B17" s="33" t="n">
        <f aca="false">IF($A17="",0,INT(($A17-Macrociclo!$C$11)/7)+1)</f>
        <v>0</v>
      </c>
      <c r="C17" s="20"/>
      <c r="D17" s="20"/>
      <c r="E17" s="22"/>
      <c r="F17" s="22"/>
      <c r="G17" s="20"/>
      <c r="I17" s="71" t="str">
        <f aca="false">IF(Cadastro!$B16="","",Cadastro!$B16)</f>
        <v/>
      </c>
      <c r="J17" s="72" t="n">
        <f aca="false">IF($I17="",0,COUNTIFS($D$8:$D$1007,$I17))</f>
        <v>0</v>
      </c>
      <c r="K17" s="72" t="n">
        <f aca="false">IF($I17="",0,COUNTIFS($D$8:$D$1007,$I17,$E$8:$E$1007,"Presente"))</f>
        <v>0</v>
      </c>
      <c r="L17" s="73" t="n">
        <f aca="false">IF($J17=0,0,$K17/$J17)</f>
        <v>0</v>
      </c>
      <c r="M17" s="72" t="n">
        <f aca="false">IF($I17="",0,COUNTIFS($D$8:$D$1007,$I17,$E$8:$E$1007,"Falta Justificada")+COUNTIFS($D$8:$D$1007,$I17,$E$8:$E$1007,"Falta Não Justificada"))</f>
        <v>0</v>
      </c>
      <c r="N17" s="72" t="n">
        <f aca="false">IF($I17="",0,COUNTIFS($D$8:$D$1007,$I17,$E$8:$E$1007,"Lesionado")+COUNTIFS($D$8:$D$1007,$I17,$E$8:$E$1007,"Departamento Médico"))</f>
        <v>0</v>
      </c>
      <c r="O17" s="72" t="n">
        <f aca="false">IF($I17="",0,SUMIFS($F$8:$F$1007,$D$8:$D$1007,$I17))</f>
        <v>0</v>
      </c>
      <c r="P17" s="74" t="str">
        <f aca="false">IF($I17="","",IF($J17=0,"Sem registro",IF($L17&gt;=0.9,"Excelente",IF($L17&gt;=0.75,"Regular","Baixa assiduidade"))))</f>
        <v/>
      </c>
    </row>
    <row r="18" customFormat="false" ht="15" hidden="false" customHeight="false" outlineLevel="0" collapsed="false">
      <c r="A18" s="21"/>
      <c r="B18" s="33" t="n">
        <f aca="false">IF($A18="",0,INT(($A18-Macrociclo!$C$11)/7)+1)</f>
        <v>0</v>
      </c>
      <c r="C18" s="20"/>
      <c r="D18" s="20"/>
      <c r="E18" s="22"/>
      <c r="F18" s="22"/>
      <c r="G18" s="20"/>
      <c r="I18" s="68" t="str">
        <f aca="false">IF(Cadastro!$B17="","",Cadastro!$B17)</f>
        <v/>
      </c>
      <c r="J18" s="69" t="n">
        <f aca="false">IF($I18="",0,COUNTIFS($D$8:$D$1007,$I18))</f>
        <v>0</v>
      </c>
      <c r="K18" s="69" t="n">
        <f aca="false">IF($I18="",0,COUNTIFS($D$8:$D$1007,$I18,$E$8:$E$1007,"Presente"))</f>
        <v>0</v>
      </c>
      <c r="L18" s="49" t="n">
        <f aca="false">IF($J18=0,0,$K18/$J18)</f>
        <v>0</v>
      </c>
      <c r="M18" s="69" t="n">
        <f aca="false">IF($I18="",0,COUNTIFS($D$8:$D$1007,$I18,$E$8:$E$1007,"Falta Justificada")+COUNTIFS($D$8:$D$1007,$I18,$E$8:$E$1007,"Falta Não Justificada"))</f>
        <v>0</v>
      </c>
      <c r="N18" s="69" t="n">
        <f aca="false">IF($I18="",0,COUNTIFS($D$8:$D$1007,$I18,$E$8:$E$1007,"Lesionado")+COUNTIFS($D$8:$D$1007,$I18,$E$8:$E$1007,"Departamento Médico"))</f>
        <v>0</v>
      </c>
      <c r="O18" s="69" t="n">
        <f aca="false">IF($I18="",0,SUMIFS($F$8:$F$1007,$D$8:$D$1007,$I18))</f>
        <v>0</v>
      </c>
      <c r="P18" s="70" t="str">
        <f aca="false">IF($I18="","",IF($J18=0,"Sem registro",IF($L18&gt;=0.9,"Excelente",IF($L18&gt;=0.75,"Regular","Baixa assiduidade"))))</f>
        <v/>
      </c>
    </row>
    <row r="19" customFormat="false" ht="15" hidden="false" customHeight="false" outlineLevel="0" collapsed="false">
      <c r="A19" s="21"/>
      <c r="B19" s="33" t="n">
        <f aca="false">IF($A19="",0,INT(($A19-Macrociclo!$C$11)/7)+1)</f>
        <v>0</v>
      </c>
      <c r="C19" s="20"/>
      <c r="D19" s="20"/>
      <c r="E19" s="22"/>
      <c r="F19" s="22"/>
      <c r="G19" s="20"/>
      <c r="I19" s="71" t="str">
        <f aca="false">IF(Cadastro!$B18="","",Cadastro!$B18)</f>
        <v/>
      </c>
      <c r="J19" s="72" t="n">
        <f aca="false">IF($I19="",0,COUNTIFS($D$8:$D$1007,$I19))</f>
        <v>0</v>
      </c>
      <c r="K19" s="72" t="n">
        <f aca="false">IF($I19="",0,COUNTIFS($D$8:$D$1007,$I19,$E$8:$E$1007,"Presente"))</f>
        <v>0</v>
      </c>
      <c r="L19" s="73" t="n">
        <f aca="false">IF($J19=0,0,$K19/$J19)</f>
        <v>0</v>
      </c>
      <c r="M19" s="72" t="n">
        <f aca="false">IF($I19="",0,COUNTIFS($D$8:$D$1007,$I19,$E$8:$E$1007,"Falta Justificada")+COUNTIFS($D$8:$D$1007,$I19,$E$8:$E$1007,"Falta Não Justificada"))</f>
        <v>0</v>
      </c>
      <c r="N19" s="72" t="n">
        <f aca="false">IF($I19="",0,COUNTIFS($D$8:$D$1007,$I19,$E$8:$E$1007,"Lesionado")+COUNTIFS($D$8:$D$1007,$I19,$E$8:$E$1007,"Departamento Médico"))</f>
        <v>0</v>
      </c>
      <c r="O19" s="72" t="n">
        <f aca="false">IF($I19="",0,SUMIFS($F$8:$F$1007,$D$8:$D$1007,$I19))</f>
        <v>0</v>
      </c>
      <c r="P19" s="74" t="str">
        <f aca="false">IF($I19="","",IF($J19=0,"Sem registro",IF($L19&gt;=0.9,"Excelente",IF($L19&gt;=0.75,"Regular","Baixa assiduidade"))))</f>
        <v/>
      </c>
    </row>
    <row r="20" customFormat="false" ht="15" hidden="false" customHeight="false" outlineLevel="0" collapsed="false">
      <c r="A20" s="21"/>
      <c r="B20" s="33" t="n">
        <f aca="false">IF($A20="",0,INT(($A20-Macrociclo!$C$11)/7)+1)</f>
        <v>0</v>
      </c>
      <c r="C20" s="20"/>
      <c r="D20" s="20"/>
      <c r="E20" s="22"/>
      <c r="F20" s="22"/>
      <c r="G20" s="20"/>
      <c r="I20" s="68" t="str">
        <f aca="false">IF(Cadastro!$B19="","",Cadastro!$B19)</f>
        <v/>
      </c>
      <c r="J20" s="69" t="n">
        <f aca="false">IF($I20="",0,COUNTIFS($D$8:$D$1007,$I20))</f>
        <v>0</v>
      </c>
      <c r="K20" s="69" t="n">
        <f aca="false">IF($I20="",0,COUNTIFS($D$8:$D$1007,$I20,$E$8:$E$1007,"Presente"))</f>
        <v>0</v>
      </c>
      <c r="L20" s="49" t="n">
        <f aca="false">IF($J20=0,0,$K20/$J20)</f>
        <v>0</v>
      </c>
      <c r="M20" s="69" t="n">
        <f aca="false">IF($I20="",0,COUNTIFS($D$8:$D$1007,$I20,$E$8:$E$1007,"Falta Justificada")+COUNTIFS($D$8:$D$1007,$I20,$E$8:$E$1007,"Falta Não Justificada"))</f>
        <v>0</v>
      </c>
      <c r="N20" s="69" t="n">
        <f aca="false">IF($I20="",0,COUNTIFS($D$8:$D$1007,$I20,$E$8:$E$1007,"Lesionado")+COUNTIFS($D$8:$D$1007,$I20,$E$8:$E$1007,"Departamento Médico"))</f>
        <v>0</v>
      </c>
      <c r="O20" s="69" t="n">
        <f aca="false">IF($I20="",0,SUMIFS($F$8:$F$1007,$D$8:$D$1007,$I20))</f>
        <v>0</v>
      </c>
      <c r="P20" s="70" t="str">
        <f aca="false">IF($I20="","",IF($J20=0,"Sem registro",IF($L20&gt;=0.9,"Excelente",IF($L20&gt;=0.75,"Regular","Baixa assiduidade"))))</f>
        <v/>
      </c>
    </row>
    <row r="21" customFormat="false" ht="15" hidden="false" customHeight="false" outlineLevel="0" collapsed="false">
      <c r="A21" s="21"/>
      <c r="B21" s="33" t="n">
        <f aca="false">IF($A21="",0,INT(($A21-Macrociclo!$C$11)/7)+1)</f>
        <v>0</v>
      </c>
      <c r="C21" s="20"/>
      <c r="D21" s="20"/>
      <c r="E21" s="22"/>
      <c r="F21" s="22"/>
      <c r="G21" s="20"/>
      <c r="I21" s="71" t="str">
        <f aca="false">IF(Cadastro!$B20="","",Cadastro!$B20)</f>
        <v/>
      </c>
      <c r="J21" s="72" t="n">
        <f aca="false">IF($I21="",0,COUNTIFS($D$8:$D$1007,$I21))</f>
        <v>0</v>
      </c>
      <c r="K21" s="72" t="n">
        <f aca="false">IF($I21="",0,COUNTIFS($D$8:$D$1007,$I21,$E$8:$E$1007,"Presente"))</f>
        <v>0</v>
      </c>
      <c r="L21" s="73" t="n">
        <f aca="false">IF($J21=0,0,$K21/$J21)</f>
        <v>0</v>
      </c>
      <c r="M21" s="72" t="n">
        <f aca="false">IF($I21="",0,COUNTIFS($D$8:$D$1007,$I21,$E$8:$E$1007,"Falta Justificada")+COUNTIFS($D$8:$D$1007,$I21,$E$8:$E$1007,"Falta Não Justificada"))</f>
        <v>0</v>
      </c>
      <c r="N21" s="72" t="n">
        <f aca="false">IF($I21="",0,COUNTIFS($D$8:$D$1007,$I21,$E$8:$E$1007,"Lesionado")+COUNTIFS($D$8:$D$1007,$I21,$E$8:$E$1007,"Departamento Médico"))</f>
        <v>0</v>
      </c>
      <c r="O21" s="72" t="n">
        <f aca="false">IF($I21="",0,SUMIFS($F$8:$F$1007,$D$8:$D$1007,$I21))</f>
        <v>0</v>
      </c>
      <c r="P21" s="74" t="str">
        <f aca="false">IF($I21="","",IF($J21=0,"Sem registro",IF($L21&gt;=0.9,"Excelente",IF($L21&gt;=0.75,"Regular","Baixa assiduidade"))))</f>
        <v/>
      </c>
    </row>
    <row r="22" customFormat="false" ht="15" hidden="false" customHeight="false" outlineLevel="0" collapsed="false">
      <c r="A22" s="21"/>
      <c r="B22" s="33" t="n">
        <f aca="false">IF($A22="",0,INT(($A22-Macrociclo!$C$11)/7)+1)</f>
        <v>0</v>
      </c>
      <c r="C22" s="20"/>
      <c r="D22" s="20"/>
      <c r="E22" s="22"/>
      <c r="F22" s="22"/>
      <c r="G22" s="20"/>
      <c r="I22" s="68" t="str">
        <f aca="false">IF(Cadastro!$B21="","",Cadastro!$B21)</f>
        <v/>
      </c>
      <c r="J22" s="69" t="n">
        <f aca="false">IF($I22="",0,COUNTIFS($D$8:$D$1007,$I22))</f>
        <v>0</v>
      </c>
      <c r="K22" s="69" t="n">
        <f aca="false">IF($I22="",0,COUNTIFS($D$8:$D$1007,$I22,$E$8:$E$1007,"Presente"))</f>
        <v>0</v>
      </c>
      <c r="L22" s="49" t="n">
        <f aca="false">IF($J22=0,0,$K22/$J22)</f>
        <v>0</v>
      </c>
      <c r="M22" s="69" t="n">
        <f aca="false">IF($I22="",0,COUNTIFS($D$8:$D$1007,$I22,$E$8:$E$1007,"Falta Justificada")+COUNTIFS($D$8:$D$1007,$I22,$E$8:$E$1007,"Falta Não Justificada"))</f>
        <v>0</v>
      </c>
      <c r="N22" s="69" t="n">
        <f aca="false">IF($I22="",0,COUNTIFS($D$8:$D$1007,$I22,$E$8:$E$1007,"Lesionado")+COUNTIFS($D$8:$D$1007,$I22,$E$8:$E$1007,"Departamento Médico"))</f>
        <v>0</v>
      </c>
      <c r="O22" s="69" t="n">
        <f aca="false">IF($I22="",0,SUMIFS($F$8:$F$1007,$D$8:$D$1007,$I22))</f>
        <v>0</v>
      </c>
      <c r="P22" s="70" t="str">
        <f aca="false">IF($I22="","",IF($J22=0,"Sem registro",IF($L22&gt;=0.9,"Excelente",IF($L22&gt;=0.75,"Regular","Baixa assiduidade"))))</f>
        <v/>
      </c>
    </row>
    <row r="23" customFormat="false" ht="15" hidden="false" customHeight="false" outlineLevel="0" collapsed="false">
      <c r="A23" s="21"/>
      <c r="B23" s="33" t="n">
        <f aca="false">IF($A23="",0,INT(($A23-Macrociclo!$C$11)/7)+1)</f>
        <v>0</v>
      </c>
      <c r="C23" s="20"/>
      <c r="D23" s="20"/>
      <c r="E23" s="22"/>
      <c r="F23" s="22"/>
      <c r="G23" s="20"/>
      <c r="I23" s="71" t="str">
        <f aca="false">IF(Cadastro!$B22="","",Cadastro!$B22)</f>
        <v/>
      </c>
      <c r="J23" s="72" t="n">
        <f aca="false">IF($I23="",0,COUNTIFS($D$8:$D$1007,$I23))</f>
        <v>0</v>
      </c>
      <c r="K23" s="72" t="n">
        <f aca="false">IF($I23="",0,COUNTIFS($D$8:$D$1007,$I23,$E$8:$E$1007,"Presente"))</f>
        <v>0</v>
      </c>
      <c r="L23" s="73" t="n">
        <f aca="false">IF($J23=0,0,$K23/$J23)</f>
        <v>0</v>
      </c>
      <c r="M23" s="72" t="n">
        <f aca="false">IF($I23="",0,COUNTIFS($D$8:$D$1007,$I23,$E$8:$E$1007,"Falta Justificada")+COUNTIFS($D$8:$D$1007,$I23,$E$8:$E$1007,"Falta Não Justificada"))</f>
        <v>0</v>
      </c>
      <c r="N23" s="72" t="n">
        <f aca="false">IF($I23="",0,COUNTIFS($D$8:$D$1007,$I23,$E$8:$E$1007,"Lesionado")+COUNTIFS($D$8:$D$1007,$I23,$E$8:$E$1007,"Departamento Médico"))</f>
        <v>0</v>
      </c>
      <c r="O23" s="72" t="n">
        <f aca="false">IF($I23="",0,SUMIFS($F$8:$F$1007,$D$8:$D$1007,$I23))</f>
        <v>0</v>
      </c>
      <c r="P23" s="74" t="str">
        <f aca="false">IF($I23="","",IF($J23=0,"Sem registro",IF($L23&gt;=0.9,"Excelente",IF($L23&gt;=0.75,"Regular","Baixa assiduidade"))))</f>
        <v/>
      </c>
    </row>
    <row r="24" customFormat="false" ht="15" hidden="false" customHeight="false" outlineLevel="0" collapsed="false">
      <c r="A24" s="21"/>
      <c r="B24" s="33" t="n">
        <f aca="false">IF($A24="",0,INT(($A24-Macrociclo!$C$11)/7)+1)</f>
        <v>0</v>
      </c>
      <c r="C24" s="20"/>
      <c r="D24" s="20"/>
      <c r="E24" s="22"/>
      <c r="F24" s="22"/>
      <c r="G24" s="20"/>
      <c r="I24" s="68" t="str">
        <f aca="false">IF(Cadastro!$B23="","",Cadastro!$B23)</f>
        <v/>
      </c>
      <c r="J24" s="69" t="n">
        <f aca="false">IF($I24="",0,COUNTIFS($D$8:$D$1007,$I24))</f>
        <v>0</v>
      </c>
      <c r="K24" s="69" t="n">
        <f aca="false">IF($I24="",0,COUNTIFS($D$8:$D$1007,$I24,$E$8:$E$1007,"Presente"))</f>
        <v>0</v>
      </c>
      <c r="L24" s="49" t="n">
        <f aca="false">IF($J24=0,0,$K24/$J24)</f>
        <v>0</v>
      </c>
      <c r="M24" s="69" t="n">
        <f aca="false">IF($I24="",0,COUNTIFS($D$8:$D$1007,$I24,$E$8:$E$1007,"Falta Justificada")+COUNTIFS($D$8:$D$1007,$I24,$E$8:$E$1007,"Falta Não Justificada"))</f>
        <v>0</v>
      </c>
      <c r="N24" s="69" t="n">
        <f aca="false">IF($I24="",0,COUNTIFS($D$8:$D$1007,$I24,$E$8:$E$1007,"Lesionado")+COUNTIFS($D$8:$D$1007,$I24,$E$8:$E$1007,"Departamento Médico"))</f>
        <v>0</v>
      </c>
      <c r="O24" s="69" t="n">
        <f aca="false">IF($I24="",0,SUMIFS($F$8:$F$1007,$D$8:$D$1007,$I24))</f>
        <v>0</v>
      </c>
      <c r="P24" s="70" t="str">
        <f aca="false">IF($I24="","",IF($J24=0,"Sem registro",IF($L24&gt;=0.9,"Excelente",IF($L24&gt;=0.75,"Regular","Baixa assiduidade"))))</f>
        <v/>
      </c>
    </row>
    <row r="25" customFormat="false" ht="15" hidden="false" customHeight="false" outlineLevel="0" collapsed="false">
      <c r="A25" s="21"/>
      <c r="B25" s="33" t="n">
        <f aca="false">IF($A25="",0,INT(($A25-Macrociclo!$C$11)/7)+1)</f>
        <v>0</v>
      </c>
      <c r="C25" s="20"/>
      <c r="D25" s="20"/>
      <c r="E25" s="22"/>
      <c r="F25" s="22"/>
      <c r="G25" s="20"/>
      <c r="I25" s="71" t="str">
        <f aca="false">IF(Cadastro!$B24="","",Cadastro!$B24)</f>
        <v/>
      </c>
      <c r="J25" s="72" t="n">
        <f aca="false">IF($I25="",0,COUNTIFS($D$8:$D$1007,$I25))</f>
        <v>0</v>
      </c>
      <c r="K25" s="72" t="n">
        <f aca="false">IF($I25="",0,COUNTIFS($D$8:$D$1007,$I25,$E$8:$E$1007,"Presente"))</f>
        <v>0</v>
      </c>
      <c r="L25" s="73" t="n">
        <f aca="false">IF($J25=0,0,$K25/$J25)</f>
        <v>0</v>
      </c>
      <c r="M25" s="72" t="n">
        <f aca="false">IF($I25="",0,COUNTIFS($D$8:$D$1007,$I25,$E$8:$E$1007,"Falta Justificada")+COUNTIFS($D$8:$D$1007,$I25,$E$8:$E$1007,"Falta Não Justificada"))</f>
        <v>0</v>
      </c>
      <c r="N25" s="72" t="n">
        <f aca="false">IF($I25="",0,COUNTIFS($D$8:$D$1007,$I25,$E$8:$E$1007,"Lesionado")+COUNTIFS($D$8:$D$1007,$I25,$E$8:$E$1007,"Departamento Médico"))</f>
        <v>0</v>
      </c>
      <c r="O25" s="72" t="n">
        <f aca="false">IF($I25="",0,SUMIFS($F$8:$F$1007,$D$8:$D$1007,$I25))</f>
        <v>0</v>
      </c>
      <c r="P25" s="74" t="str">
        <f aca="false">IF($I25="","",IF($J25=0,"Sem registro",IF($L25&gt;=0.9,"Excelente",IF($L25&gt;=0.75,"Regular","Baixa assiduidade"))))</f>
        <v/>
      </c>
    </row>
    <row r="26" customFormat="false" ht="15" hidden="false" customHeight="false" outlineLevel="0" collapsed="false">
      <c r="A26" s="21"/>
      <c r="B26" s="33" t="n">
        <f aca="false">IF($A26="",0,INT(($A26-Macrociclo!$C$11)/7)+1)</f>
        <v>0</v>
      </c>
      <c r="C26" s="20"/>
      <c r="D26" s="20"/>
      <c r="E26" s="22"/>
      <c r="F26" s="22"/>
      <c r="G26" s="20"/>
      <c r="I26" s="68" t="str">
        <f aca="false">IF(Cadastro!$B25="","",Cadastro!$B25)</f>
        <v/>
      </c>
      <c r="J26" s="69" t="n">
        <f aca="false">IF($I26="",0,COUNTIFS($D$8:$D$1007,$I26))</f>
        <v>0</v>
      </c>
      <c r="K26" s="69" t="n">
        <f aca="false">IF($I26="",0,COUNTIFS($D$8:$D$1007,$I26,$E$8:$E$1007,"Presente"))</f>
        <v>0</v>
      </c>
      <c r="L26" s="49" t="n">
        <f aca="false">IF($J26=0,0,$K26/$J26)</f>
        <v>0</v>
      </c>
      <c r="M26" s="69" t="n">
        <f aca="false">IF($I26="",0,COUNTIFS($D$8:$D$1007,$I26,$E$8:$E$1007,"Falta Justificada")+COUNTIFS($D$8:$D$1007,$I26,$E$8:$E$1007,"Falta Não Justificada"))</f>
        <v>0</v>
      </c>
      <c r="N26" s="69" t="n">
        <f aca="false">IF($I26="",0,COUNTIFS($D$8:$D$1007,$I26,$E$8:$E$1007,"Lesionado")+COUNTIFS($D$8:$D$1007,$I26,$E$8:$E$1007,"Departamento Médico"))</f>
        <v>0</v>
      </c>
      <c r="O26" s="69" t="n">
        <f aca="false">IF($I26="",0,SUMIFS($F$8:$F$1007,$D$8:$D$1007,$I26))</f>
        <v>0</v>
      </c>
      <c r="P26" s="70" t="str">
        <f aca="false">IF($I26="","",IF($J26=0,"Sem registro",IF($L26&gt;=0.9,"Excelente",IF($L26&gt;=0.75,"Regular","Baixa assiduidade"))))</f>
        <v/>
      </c>
    </row>
    <row r="27" customFormat="false" ht="15" hidden="false" customHeight="false" outlineLevel="0" collapsed="false">
      <c r="A27" s="21"/>
      <c r="B27" s="33" t="n">
        <f aca="false">IF($A27="",0,INT(($A27-Macrociclo!$C$11)/7)+1)</f>
        <v>0</v>
      </c>
      <c r="C27" s="20"/>
      <c r="D27" s="20"/>
      <c r="E27" s="22"/>
      <c r="F27" s="22"/>
      <c r="G27" s="20"/>
      <c r="I27" s="71" t="str">
        <f aca="false">IF(Cadastro!$B26="","",Cadastro!$B26)</f>
        <v/>
      </c>
      <c r="J27" s="72" t="n">
        <f aca="false">IF($I27="",0,COUNTIFS($D$8:$D$1007,$I27))</f>
        <v>0</v>
      </c>
      <c r="K27" s="72" t="n">
        <f aca="false">IF($I27="",0,COUNTIFS($D$8:$D$1007,$I27,$E$8:$E$1007,"Presente"))</f>
        <v>0</v>
      </c>
      <c r="L27" s="73" t="n">
        <f aca="false">IF($J27=0,0,$K27/$J27)</f>
        <v>0</v>
      </c>
      <c r="M27" s="72" t="n">
        <f aca="false">IF($I27="",0,COUNTIFS($D$8:$D$1007,$I27,$E$8:$E$1007,"Falta Justificada")+COUNTIFS($D$8:$D$1007,$I27,$E$8:$E$1007,"Falta Não Justificada"))</f>
        <v>0</v>
      </c>
      <c r="N27" s="72" t="n">
        <f aca="false">IF($I27="",0,COUNTIFS($D$8:$D$1007,$I27,$E$8:$E$1007,"Lesionado")+COUNTIFS($D$8:$D$1007,$I27,$E$8:$E$1007,"Departamento Médico"))</f>
        <v>0</v>
      </c>
      <c r="O27" s="72" t="n">
        <f aca="false">IF($I27="",0,SUMIFS($F$8:$F$1007,$D$8:$D$1007,$I27))</f>
        <v>0</v>
      </c>
      <c r="P27" s="74" t="str">
        <f aca="false">IF($I27="","",IF($J27=0,"Sem registro",IF($L27&gt;=0.9,"Excelente",IF($L27&gt;=0.75,"Regular","Baixa assiduidade"))))</f>
        <v/>
      </c>
    </row>
    <row r="28" customFormat="false" ht="15" hidden="false" customHeight="false" outlineLevel="0" collapsed="false">
      <c r="A28" s="21"/>
      <c r="B28" s="33" t="n">
        <f aca="false">IF($A28="",0,INT(($A28-Macrociclo!$C$11)/7)+1)</f>
        <v>0</v>
      </c>
      <c r="C28" s="20"/>
      <c r="D28" s="20"/>
      <c r="E28" s="22"/>
      <c r="F28" s="22"/>
      <c r="G28" s="20"/>
      <c r="I28" s="68" t="str">
        <f aca="false">IF(Cadastro!$B27="","",Cadastro!$B27)</f>
        <v/>
      </c>
      <c r="J28" s="69" t="n">
        <f aca="false">IF($I28="",0,COUNTIFS($D$8:$D$1007,$I28))</f>
        <v>0</v>
      </c>
      <c r="K28" s="69" t="n">
        <f aca="false">IF($I28="",0,COUNTIFS($D$8:$D$1007,$I28,$E$8:$E$1007,"Presente"))</f>
        <v>0</v>
      </c>
      <c r="L28" s="49" t="n">
        <f aca="false">IF($J28=0,0,$K28/$J28)</f>
        <v>0</v>
      </c>
      <c r="M28" s="69" t="n">
        <f aca="false">IF($I28="",0,COUNTIFS($D$8:$D$1007,$I28,$E$8:$E$1007,"Falta Justificada")+COUNTIFS($D$8:$D$1007,$I28,$E$8:$E$1007,"Falta Não Justificada"))</f>
        <v>0</v>
      </c>
      <c r="N28" s="69" t="n">
        <f aca="false">IF($I28="",0,COUNTIFS($D$8:$D$1007,$I28,$E$8:$E$1007,"Lesionado")+COUNTIFS($D$8:$D$1007,$I28,$E$8:$E$1007,"Departamento Médico"))</f>
        <v>0</v>
      </c>
      <c r="O28" s="69" t="n">
        <f aca="false">IF($I28="",0,SUMIFS($F$8:$F$1007,$D$8:$D$1007,$I28))</f>
        <v>0</v>
      </c>
      <c r="P28" s="70" t="str">
        <f aca="false">IF($I28="","",IF($J28=0,"Sem registro",IF($L28&gt;=0.9,"Excelente",IF($L28&gt;=0.75,"Regular","Baixa assiduidade"))))</f>
        <v/>
      </c>
    </row>
    <row r="29" customFormat="false" ht="15" hidden="false" customHeight="false" outlineLevel="0" collapsed="false">
      <c r="A29" s="21"/>
      <c r="B29" s="33" t="n">
        <f aca="false">IF($A29="",0,INT(($A29-Macrociclo!$C$11)/7)+1)</f>
        <v>0</v>
      </c>
      <c r="C29" s="20"/>
      <c r="D29" s="20"/>
      <c r="E29" s="22"/>
      <c r="F29" s="22"/>
      <c r="G29" s="20"/>
      <c r="I29" s="71" t="str">
        <f aca="false">IF(Cadastro!$B28="","",Cadastro!$B28)</f>
        <v/>
      </c>
      <c r="J29" s="72" t="n">
        <f aca="false">IF($I29="",0,COUNTIFS($D$8:$D$1007,$I29))</f>
        <v>0</v>
      </c>
      <c r="K29" s="72" t="n">
        <f aca="false">IF($I29="",0,COUNTIFS($D$8:$D$1007,$I29,$E$8:$E$1007,"Presente"))</f>
        <v>0</v>
      </c>
      <c r="L29" s="73" t="n">
        <f aca="false">IF($J29=0,0,$K29/$J29)</f>
        <v>0</v>
      </c>
      <c r="M29" s="72" t="n">
        <f aca="false">IF($I29="",0,COUNTIFS($D$8:$D$1007,$I29,$E$8:$E$1007,"Falta Justificada")+COUNTIFS($D$8:$D$1007,$I29,$E$8:$E$1007,"Falta Não Justificada"))</f>
        <v>0</v>
      </c>
      <c r="N29" s="72" t="n">
        <f aca="false">IF($I29="",0,COUNTIFS($D$8:$D$1007,$I29,$E$8:$E$1007,"Lesionado")+COUNTIFS($D$8:$D$1007,$I29,$E$8:$E$1007,"Departamento Médico"))</f>
        <v>0</v>
      </c>
      <c r="O29" s="72" t="n">
        <f aca="false">IF($I29="",0,SUMIFS($F$8:$F$1007,$D$8:$D$1007,$I29))</f>
        <v>0</v>
      </c>
      <c r="P29" s="74" t="str">
        <f aca="false">IF($I29="","",IF($J29=0,"Sem registro",IF($L29&gt;=0.9,"Excelente",IF($L29&gt;=0.75,"Regular","Baixa assiduidade"))))</f>
        <v/>
      </c>
    </row>
    <row r="30" customFormat="false" ht="15" hidden="false" customHeight="false" outlineLevel="0" collapsed="false">
      <c r="A30" s="21"/>
      <c r="B30" s="33" t="n">
        <f aca="false">IF($A30="",0,INT(($A30-Macrociclo!$C$11)/7)+1)</f>
        <v>0</v>
      </c>
      <c r="C30" s="20"/>
      <c r="D30" s="20"/>
      <c r="E30" s="22"/>
      <c r="F30" s="22"/>
      <c r="G30" s="20"/>
      <c r="I30" s="68" t="str">
        <f aca="false">IF(Cadastro!$B29="","",Cadastro!$B29)</f>
        <v/>
      </c>
      <c r="J30" s="69" t="n">
        <f aca="false">IF($I30="",0,COUNTIFS($D$8:$D$1007,$I30))</f>
        <v>0</v>
      </c>
      <c r="K30" s="69" t="n">
        <f aca="false">IF($I30="",0,COUNTIFS($D$8:$D$1007,$I30,$E$8:$E$1007,"Presente"))</f>
        <v>0</v>
      </c>
      <c r="L30" s="49" t="n">
        <f aca="false">IF($J30=0,0,$K30/$J30)</f>
        <v>0</v>
      </c>
      <c r="M30" s="69" t="n">
        <f aca="false">IF($I30="",0,COUNTIFS($D$8:$D$1007,$I30,$E$8:$E$1007,"Falta Justificada")+COUNTIFS($D$8:$D$1007,$I30,$E$8:$E$1007,"Falta Não Justificada"))</f>
        <v>0</v>
      </c>
      <c r="N30" s="69" t="n">
        <f aca="false">IF($I30="",0,COUNTIFS($D$8:$D$1007,$I30,$E$8:$E$1007,"Lesionado")+COUNTIFS($D$8:$D$1007,$I30,$E$8:$E$1007,"Departamento Médico"))</f>
        <v>0</v>
      </c>
      <c r="O30" s="69" t="n">
        <f aca="false">IF($I30="",0,SUMIFS($F$8:$F$1007,$D$8:$D$1007,$I30))</f>
        <v>0</v>
      </c>
      <c r="P30" s="70" t="str">
        <f aca="false">IF($I30="","",IF($J30=0,"Sem registro",IF($L30&gt;=0.9,"Excelente",IF($L30&gt;=0.75,"Regular","Baixa assiduidade"))))</f>
        <v/>
      </c>
    </row>
    <row r="31" customFormat="false" ht="15" hidden="false" customHeight="false" outlineLevel="0" collapsed="false">
      <c r="A31" s="21"/>
      <c r="B31" s="33" t="n">
        <f aca="false">IF($A31="",0,INT(($A31-Macrociclo!$C$11)/7)+1)</f>
        <v>0</v>
      </c>
      <c r="C31" s="20"/>
      <c r="D31" s="20"/>
      <c r="E31" s="22"/>
      <c r="F31" s="22"/>
      <c r="G31" s="20"/>
      <c r="I31" s="71" t="str">
        <f aca="false">IF(Cadastro!$B30="","",Cadastro!$B30)</f>
        <v/>
      </c>
      <c r="J31" s="72" t="n">
        <f aca="false">IF($I31="",0,COUNTIFS($D$8:$D$1007,$I31))</f>
        <v>0</v>
      </c>
      <c r="K31" s="72" t="n">
        <f aca="false">IF($I31="",0,COUNTIFS($D$8:$D$1007,$I31,$E$8:$E$1007,"Presente"))</f>
        <v>0</v>
      </c>
      <c r="L31" s="73" t="n">
        <f aca="false">IF($J31=0,0,$K31/$J31)</f>
        <v>0</v>
      </c>
      <c r="M31" s="72" t="n">
        <f aca="false">IF($I31="",0,COUNTIFS($D$8:$D$1007,$I31,$E$8:$E$1007,"Falta Justificada")+COUNTIFS($D$8:$D$1007,$I31,$E$8:$E$1007,"Falta Não Justificada"))</f>
        <v>0</v>
      </c>
      <c r="N31" s="72" t="n">
        <f aca="false">IF($I31="",0,COUNTIFS($D$8:$D$1007,$I31,$E$8:$E$1007,"Lesionado")+COUNTIFS($D$8:$D$1007,$I31,$E$8:$E$1007,"Departamento Médico"))</f>
        <v>0</v>
      </c>
      <c r="O31" s="72" t="n">
        <f aca="false">IF($I31="",0,SUMIFS($F$8:$F$1007,$D$8:$D$1007,$I31))</f>
        <v>0</v>
      </c>
      <c r="P31" s="74" t="str">
        <f aca="false">IF($I31="","",IF($J31=0,"Sem registro",IF($L31&gt;=0.9,"Excelente",IF($L31&gt;=0.75,"Regular","Baixa assiduidade"))))</f>
        <v/>
      </c>
    </row>
    <row r="32" customFormat="false" ht="15" hidden="false" customHeight="false" outlineLevel="0" collapsed="false">
      <c r="A32" s="21"/>
      <c r="B32" s="33" t="n">
        <f aca="false">IF($A32="",0,INT(($A32-Macrociclo!$C$11)/7)+1)</f>
        <v>0</v>
      </c>
      <c r="C32" s="20"/>
      <c r="D32" s="20"/>
      <c r="E32" s="22"/>
      <c r="F32" s="22"/>
      <c r="G32" s="20"/>
      <c r="I32" s="68" t="str">
        <f aca="false">IF(Cadastro!$B31="","",Cadastro!$B31)</f>
        <v/>
      </c>
      <c r="J32" s="69" t="n">
        <f aca="false">IF($I32="",0,COUNTIFS($D$8:$D$1007,$I32))</f>
        <v>0</v>
      </c>
      <c r="K32" s="69" t="n">
        <f aca="false">IF($I32="",0,COUNTIFS($D$8:$D$1007,$I32,$E$8:$E$1007,"Presente"))</f>
        <v>0</v>
      </c>
      <c r="L32" s="49" t="n">
        <f aca="false">IF($J32=0,0,$K32/$J32)</f>
        <v>0</v>
      </c>
      <c r="M32" s="69" t="n">
        <f aca="false">IF($I32="",0,COUNTIFS($D$8:$D$1007,$I32,$E$8:$E$1007,"Falta Justificada")+COUNTIFS($D$8:$D$1007,$I32,$E$8:$E$1007,"Falta Não Justificada"))</f>
        <v>0</v>
      </c>
      <c r="N32" s="69" t="n">
        <f aca="false">IF($I32="",0,COUNTIFS($D$8:$D$1007,$I32,$E$8:$E$1007,"Lesionado")+COUNTIFS($D$8:$D$1007,$I32,$E$8:$E$1007,"Departamento Médico"))</f>
        <v>0</v>
      </c>
      <c r="O32" s="69" t="n">
        <f aca="false">IF($I32="",0,SUMIFS($F$8:$F$1007,$D$8:$D$1007,$I32))</f>
        <v>0</v>
      </c>
      <c r="P32" s="70" t="str">
        <f aca="false">IF($I32="","",IF($J32=0,"Sem registro",IF($L32&gt;=0.9,"Excelente",IF($L32&gt;=0.75,"Regular","Baixa assiduidade"))))</f>
        <v/>
      </c>
    </row>
    <row r="33" customFormat="false" ht="15" hidden="false" customHeight="false" outlineLevel="0" collapsed="false">
      <c r="A33" s="21"/>
      <c r="B33" s="33" t="n">
        <f aca="false">IF($A33="",0,INT(($A33-Macrociclo!$C$11)/7)+1)</f>
        <v>0</v>
      </c>
      <c r="C33" s="20"/>
      <c r="D33" s="20"/>
      <c r="E33" s="22"/>
      <c r="F33" s="22"/>
      <c r="G33" s="20"/>
      <c r="I33" s="71" t="str">
        <f aca="false">IF(Cadastro!$B32="","",Cadastro!$B32)</f>
        <v/>
      </c>
      <c r="J33" s="72" t="n">
        <f aca="false">IF($I33="",0,COUNTIFS($D$8:$D$1007,$I33))</f>
        <v>0</v>
      </c>
      <c r="K33" s="72" t="n">
        <f aca="false">IF($I33="",0,COUNTIFS($D$8:$D$1007,$I33,$E$8:$E$1007,"Presente"))</f>
        <v>0</v>
      </c>
      <c r="L33" s="73" t="n">
        <f aca="false">IF($J33=0,0,$K33/$J33)</f>
        <v>0</v>
      </c>
      <c r="M33" s="72" t="n">
        <f aca="false">IF($I33="",0,COUNTIFS($D$8:$D$1007,$I33,$E$8:$E$1007,"Falta Justificada")+COUNTIFS($D$8:$D$1007,$I33,$E$8:$E$1007,"Falta Não Justificada"))</f>
        <v>0</v>
      </c>
      <c r="N33" s="72" t="n">
        <f aca="false">IF($I33="",0,COUNTIFS($D$8:$D$1007,$I33,$E$8:$E$1007,"Lesionado")+COUNTIFS($D$8:$D$1007,$I33,$E$8:$E$1007,"Departamento Médico"))</f>
        <v>0</v>
      </c>
      <c r="O33" s="72" t="n">
        <f aca="false">IF($I33="",0,SUMIFS($F$8:$F$1007,$D$8:$D$1007,$I33))</f>
        <v>0</v>
      </c>
      <c r="P33" s="74" t="str">
        <f aca="false">IF($I33="","",IF($J33=0,"Sem registro",IF($L33&gt;=0.9,"Excelente",IF($L33&gt;=0.75,"Regular","Baixa assiduidade"))))</f>
        <v/>
      </c>
    </row>
    <row r="34" customFormat="false" ht="15" hidden="false" customHeight="false" outlineLevel="0" collapsed="false">
      <c r="A34" s="21"/>
      <c r="B34" s="33" t="n">
        <f aca="false">IF($A34="",0,INT(($A34-Macrociclo!$C$11)/7)+1)</f>
        <v>0</v>
      </c>
      <c r="C34" s="20"/>
      <c r="D34" s="20"/>
      <c r="E34" s="22"/>
      <c r="F34" s="22"/>
      <c r="G34" s="20"/>
      <c r="I34" s="68" t="str">
        <f aca="false">IF(Cadastro!$B33="","",Cadastro!$B33)</f>
        <v/>
      </c>
      <c r="J34" s="69" t="n">
        <f aca="false">IF($I34="",0,COUNTIFS($D$8:$D$1007,$I34))</f>
        <v>0</v>
      </c>
      <c r="K34" s="69" t="n">
        <f aca="false">IF($I34="",0,COUNTIFS($D$8:$D$1007,$I34,$E$8:$E$1007,"Presente"))</f>
        <v>0</v>
      </c>
      <c r="L34" s="49" t="n">
        <f aca="false">IF($J34=0,0,$K34/$J34)</f>
        <v>0</v>
      </c>
      <c r="M34" s="69" t="n">
        <f aca="false">IF($I34="",0,COUNTIFS($D$8:$D$1007,$I34,$E$8:$E$1007,"Falta Justificada")+COUNTIFS($D$8:$D$1007,$I34,$E$8:$E$1007,"Falta Não Justificada"))</f>
        <v>0</v>
      </c>
      <c r="N34" s="69" t="n">
        <f aca="false">IF($I34="",0,COUNTIFS($D$8:$D$1007,$I34,$E$8:$E$1007,"Lesionado")+COUNTIFS($D$8:$D$1007,$I34,$E$8:$E$1007,"Departamento Médico"))</f>
        <v>0</v>
      </c>
      <c r="O34" s="69" t="n">
        <f aca="false">IF($I34="",0,SUMIFS($F$8:$F$1007,$D$8:$D$1007,$I34))</f>
        <v>0</v>
      </c>
      <c r="P34" s="70" t="str">
        <f aca="false">IF($I34="","",IF($J34=0,"Sem registro",IF($L34&gt;=0.9,"Excelente",IF($L34&gt;=0.75,"Regular","Baixa assiduidade"))))</f>
        <v/>
      </c>
    </row>
    <row r="35" customFormat="false" ht="15" hidden="false" customHeight="false" outlineLevel="0" collapsed="false">
      <c r="A35" s="21"/>
      <c r="B35" s="33" t="n">
        <f aca="false">IF($A35="",0,INT(($A35-Macrociclo!$C$11)/7)+1)</f>
        <v>0</v>
      </c>
      <c r="C35" s="20"/>
      <c r="D35" s="20"/>
      <c r="E35" s="22"/>
      <c r="F35" s="22"/>
      <c r="G35" s="20"/>
      <c r="I35" s="71" t="str">
        <f aca="false">IF(Cadastro!$B34="","",Cadastro!$B34)</f>
        <v/>
      </c>
      <c r="J35" s="72" t="n">
        <f aca="false">IF($I35="",0,COUNTIFS($D$8:$D$1007,$I35))</f>
        <v>0</v>
      </c>
      <c r="K35" s="72" t="n">
        <f aca="false">IF($I35="",0,COUNTIFS($D$8:$D$1007,$I35,$E$8:$E$1007,"Presente"))</f>
        <v>0</v>
      </c>
      <c r="L35" s="73" t="n">
        <f aca="false">IF($J35=0,0,$K35/$J35)</f>
        <v>0</v>
      </c>
      <c r="M35" s="72" t="n">
        <f aca="false">IF($I35="",0,COUNTIFS($D$8:$D$1007,$I35,$E$8:$E$1007,"Falta Justificada")+COUNTIFS($D$8:$D$1007,$I35,$E$8:$E$1007,"Falta Não Justificada"))</f>
        <v>0</v>
      </c>
      <c r="N35" s="72" t="n">
        <f aca="false">IF($I35="",0,COUNTIFS($D$8:$D$1007,$I35,$E$8:$E$1007,"Lesionado")+COUNTIFS($D$8:$D$1007,$I35,$E$8:$E$1007,"Departamento Médico"))</f>
        <v>0</v>
      </c>
      <c r="O35" s="72" t="n">
        <f aca="false">IF($I35="",0,SUMIFS($F$8:$F$1007,$D$8:$D$1007,$I35))</f>
        <v>0</v>
      </c>
      <c r="P35" s="74" t="str">
        <f aca="false">IF($I35="","",IF($J35=0,"Sem registro",IF($L35&gt;=0.9,"Excelente",IF($L35&gt;=0.75,"Regular","Baixa assiduidade"))))</f>
        <v/>
      </c>
    </row>
    <row r="36" customFormat="false" ht="15" hidden="false" customHeight="false" outlineLevel="0" collapsed="false">
      <c r="A36" s="21"/>
      <c r="B36" s="33" t="n">
        <f aca="false">IF($A36="",0,INT(($A36-Macrociclo!$C$11)/7)+1)</f>
        <v>0</v>
      </c>
      <c r="C36" s="20"/>
      <c r="D36" s="20"/>
      <c r="E36" s="22"/>
      <c r="F36" s="22"/>
      <c r="G36" s="20"/>
      <c r="I36" s="68" t="str">
        <f aca="false">IF(Cadastro!$B35="","",Cadastro!$B35)</f>
        <v/>
      </c>
      <c r="J36" s="69" t="n">
        <f aca="false">IF($I36="",0,COUNTIFS($D$8:$D$1007,$I36))</f>
        <v>0</v>
      </c>
      <c r="K36" s="69" t="n">
        <f aca="false">IF($I36="",0,COUNTIFS($D$8:$D$1007,$I36,$E$8:$E$1007,"Presente"))</f>
        <v>0</v>
      </c>
      <c r="L36" s="49" t="n">
        <f aca="false">IF($J36=0,0,$K36/$J36)</f>
        <v>0</v>
      </c>
      <c r="M36" s="69" t="n">
        <f aca="false">IF($I36="",0,COUNTIFS($D$8:$D$1007,$I36,$E$8:$E$1007,"Falta Justificada")+COUNTIFS($D$8:$D$1007,$I36,$E$8:$E$1007,"Falta Não Justificada"))</f>
        <v>0</v>
      </c>
      <c r="N36" s="69" t="n">
        <f aca="false">IF($I36="",0,COUNTIFS($D$8:$D$1007,$I36,$E$8:$E$1007,"Lesionado")+COUNTIFS($D$8:$D$1007,$I36,$E$8:$E$1007,"Departamento Médico"))</f>
        <v>0</v>
      </c>
      <c r="O36" s="69" t="n">
        <f aca="false">IF($I36="",0,SUMIFS($F$8:$F$1007,$D$8:$D$1007,$I36))</f>
        <v>0</v>
      </c>
      <c r="P36" s="70" t="str">
        <f aca="false">IF($I36="","",IF($J36=0,"Sem registro",IF($L36&gt;=0.9,"Excelente",IF($L36&gt;=0.75,"Regular","Baixa assiduidade"))))</f>
        <v/>
      </c>
    </row>
    <row r="37" customFormat="false" ht="15" hidden="false" customHeight="false" outlineLevel="0" collapsed="false">
      <c r="A37" s="21"/>
      <c r="B37" s="33" t="n">
        <f aca="false">IF($A37="",0,INT(($A37-Macrociclo!$C$11)/7)+1)</f>
        <v>0</v>
      </c>
      <c r="C37" s="20"/>
      <c r="D37" s="20"/>
      <c r="E37" s="22"/>
      <c r="F37" s="22"/>
      <c r="G37" s="20"/>
      <c r="I37" s="71" t="str">
        <f aca="false">IF(Cadastro!$B36="","",Cadastro!$B36)</f>
        <v/>
      </c>
      <c r="J37" s="72" t="n">
        <f aca="false">IF($I37="",0,COUNTIFS($D$8:$D$1007,$I37))</f>
        <v>0</v>
      </c>
      <c r="K37" s="72" t="n">
        <f aca="false">IF($I37="",0,COUNTIFS($D$8:$D$1007,$I37,$E$8:$E$1007,"Presente"))</f>
        <v>0</v>
      </c>
      <c r="L37" s="73" t="n">
        <f aca="false">IF($J37=0,0,$K37/$J37)</f>
        <v>0</v>
      </c>
      <c r="M37" s="72" t="n">
        <f aca="false">IF($I37="",0,COUNTIFS($D$8:$D$1007,$I37,$E$8:$E$1007,"Falta Justificada")+COUNTIFS($D$8:$D$1007,$I37,$E$8:$E$1007,"Falta Não Justificada"))</f>
        <v>0</v>
      </c>
      <c r="N37" s="72" t="n">
        <f aca="false">IF($I37="",0,COUNTIFS($D$8:$D$1007,$I37,$E$8:$E$1007,"Lesionado")+COUNTIFS($D$8:$D$1007,$I37,$E$8:$E$1007,"Departamento Médico"))</f>
        <v>0</v>
      </c>
      <c r="O37" s="72" t="n">
        <f aca="false">IF($I37="",0,SUMIFS($F$8:$F$1007,$D$8:$D$1007,$I37))</f>
        <v>0</v>
      </c>
      <c r="P37" s="74" t="str">
        <f aca="false">IF($I37="","",IF($J37=0,"Sem registro",IF($L37&gt;=0.9,"Excelente",IF($L37&gt;=0.75,"Regular","Baixa assiduidade"))))</f>
        <v/>
      </c>
    </row>
    <row r="38" customFormat="false" ht="15" hidden="false" customHeight="false" outlineLevel="0" collapsed="false">
      <c r="A38" s="21"/>
      <c r="B38" s="33" t="n">
        <f aca="false">IF($A38="",0,INT(($A38-Macrociclo!$C$11)/7)+1)</f>
        <v>0</v>
      </c>
      <c r="C38" s="20"/>
      <c r="D38" s="20"/>
      <c r="E38" s="22"/>
      <c r="F38" s="22"/>
      <c r="G38" s="20"/>
      <c r="I38" s="68" t="str">
        <f aca="false">IF(Cadastro!$B37="","",Cadastro!$B37)</f>
        <v/>
      </c>
      <c r="J38" s="69" t="n">
        <f aca="false">IF($I38="",0,COUNTIFS($D$8:$D$1007,$I38))</f>
        <v>0</v>
      </c>
      <c r="K38" s="69" t="n">
        <f aca="false">IF($I38="",0,COUNTIFS($D$8:$D$1007,$I38,$E$8:$E$1007,"Presente"))</f>
        <v>0</v>
      </c>
      <c r="L38" s="49" t="n">
        <f aca="false">IF($J38=0,0,$K38/$J38)</f>
        <v>0</v>
      </c>
      <c r="M38" s="69" t="n">
        <f aca="false">IF($I38="",0,COUNTIFS($D$8:$D$1007,$I38,$E$8:$E$1007,"Falta Justificada")+COUNTIFS($D$8:$D$1007,$I38,$E$8:$E$1007,"Falta Não Justificada"))</f>
        <v>0</v>
      </c>
      <c r="N38" s="69" t="n">
        <f aca="false">IF($I38="",0,COUNTIFS($D$8:$D$1007,$I38,$E$8:$E$1007,"Lesionado")+COUNTIFS($D$8:$D$1007,$I38,$E$8:$E$1007,"Departamento Médico"))</f>
        <v>0</v>
      </c>
      <c r="O38" s="69" t="n">
        <f aca="false">IF($I38="",0,SUMIFS($F$8:$F$1007,$D$8:$D$1007,$I38))</f>
        <v>0</v>
      </c>
      <c r="P38" s="70" t="str">
        <f aca="false">IF($I38="","",IF($J38=0,"Sem registro",IF($L38&gt;=0.9,"Excelente",IF($L38&gt;=0.75,"Regular","Baixa assiduidade"))))</f>
        <v/>
      </c>
    </row>
    <row r="39" customFormat="false" ht="15" hidden="false" customHeight="false" outlineLevel="0" collapsed="false">
      <c r="A39" s="21"/>
      <c r="B39" s="33" t="n">
        <f aca="false">IF($A39="",0,INT(($A39-Macrociclo!$C$11)/7)+1)</f>
        <v>0</v>
      </c>
      <c r="C39" s="20"/>
      <c r="D39" s="20"/>
      <c r="E39" s="22"/>
      <c r="F39" s="22"/>
      <c r="G39" s="20"/>
      <c r="I39" s="71" t="str">
        <f aca="false">IF(Cadastro!$B38="","",Cadastro!$B38)</f>
        <v/>
      </c>
      <c r="J39" s="72" t="n">
        <f aca="false">IF($I39="",0,COUNTIFS($D$8:$D$1007,$I39))</f>
        <v>0</v>
      </c>
      <c r="K39" s="72" t="n">
        <f aca="false">IF($I39="",0,COUNTIFS($D$8:$D$1007,$I39,$E$8:$E$1007,"Presente"))</f>
        <v>0</v>
      </c>
      <c r="L39" s="73" t="n">
        <f aca="false">IF($J39=0,0,$K39/$J39)</f>
        <v>0</v>
      </c>
      <c r="M39" s="72" t="n">
        <f aca="false">IF($I39="",0,COUNTIFS($D$8:$D$1007,$I39,$E$8:$E$1007,"Falta Justificada")+COUNTIFS($D$8:$D$1007,$I39,$E$8:$E$1007,"Falta Não Justificada"))</f>
        <v>0</v>
      </c>
      <c r="N39" s="72" t="n">
        <f aca="false">IF($I39="",0,COUNTIFS($D$8:$D$1007,$I39,$E$8:$E$1007,"Lesionado")+COUNTIFS($D$8:$D$1007,$I39,$E$8:$E$1007,"Departamento Médico"))</f>
        <v>0</v>
      </c>
      <c r="O39" s="72" t="n">
        <f aca="false">IF($I39="",0,SUMIFS($F$8:$F$1007,$D$8:$D$1007,$I39))</f>
        <v>0</v>
      </c>
      <c r="P39" s="74" t="str">
        <f aca="false">IF($I39="","",IF($J39=0,"Sem registro",IF($L39&gt;=0.9,"Excelente",IF($L39&gt;=0.75,"Regular","Baixa assiduidade"))))</f>
        <v/>
      </c>
    </row>
    <row r="40" customFormat="false" ht="15" hidden="false" customHeight="false" outlineLevel="0" collapsed="false">
      <c r="A40" s="21"/>
      <c r="B40" s="33" t="n">
        <f aca="false">IF($A40="",0,INT(($A40-Macrociclo!$C$11)/7)+1)</f>
        <v>0</v>
      </c>
      <c r="C40" s="20"/>
      <c r="D40" s="20"/>
      <c r="E40" s="22"/>
      <c r="F40" s="22"/>
      <c r="G40" s="20"/>
      <c r="I40" s="68" t="str">
        <f aca="false">IF(Cadastro!$B39="","",Cadastro!$B39)</f>
        <v/>
      </c>
      <c r="J40" s="69" t="n">
        <f aca="false">IF($I40="",0,COUNTIFS($D$8:$D$1007,$I40))</f>
        <v>0</v>
      </c>
      <c r="K40" s="69" t="n">
        <f aca="false">IF($I40="",0,COUNTIFS($D$8:$D$1007,$I40,$E$8:$E$1007,"Presente"))</f>
        <v>0</v>
      </c>
      <c r="L40" s="49" t="n">
        <f aca="false">IF($J40=0,0,$K40/$J40)</f>
        <v>0</v>
      </c>
      <c r="M40" s="69" t="n">
        <f aca="false">IF($I40="",0,COUNTIFS($D$8:$D$1007,$I40,$E$8:$E$1007,"Falta Justificada")+COUNTIFS($D$8:$D$1007,$I40,$E$8:$E$1007,"Falta Não Justificada"))</f>
        <v>0</v>
      </c>
      <c r="N40" s="69" t="n">
        <f aca="false">IF($I40="",0,COUNTIFS($D$8:$D$1007,$I40,$E$8:$E$1007,"Lesionado")+COUNTIFS($D$8:$D$1007,$I40,$E$8:$E$1007,"Departamento Médico"))</f>
        <v>0</v>
      </c>
      <c r="O40" s="69" t="n">
        <f aca="false">IF($I40="",0,SUMIFS($F$8:$F$1007,$D$8:$D$1007,$I40))</f>
        <v>0</v>
      </c>
      <c r="P40" s="70" t="str">
        <f aca="false">IF($I40="","",IF($J40=0,"Sem registro",IF($L40&gt;=0.9,"Excelente",IF($L40&gt;=0.75,"Regular","Baixa assiduidade"))))</f>
        <v/>
      </c>
    </row>
    <row r="41" customFormat="false" ht="15" hidden="false" customHeight="false" outlineLevel="0" collapsed="false">
      <c r="A41" s="21"/>
      <c r="B41" s="33" t="n">
        <f aca="false">IF($A41="",0,INT(($A41-Macrociclo!$C$11)/7)+1)</f>
        <v>0</v>
      </c>
      <c r="C41" s="20"/>
      <c r="D41" s="20"/>
      <c r="E41" s="22"/>
      <c r="F41" s="22"/>
      <c r="G41" s="20"/>
      <c r="I41" s="71" t="str">
        <f aca="false">IF(Cadastro!$B40="","",Cadastro!$B40)</f>
        <v/>
      </c>
      <c r="J41" s="72" t="n">
        <f aca="false">IF($I41="",0,COUNTIFS($D$8:$D$1007,$I41))</f>
        <v>0</v>
      </c>
      <c r="K41" s="72" t="n">
        <f aca="false">IF($I41="",0,COUNTIFS($D$8:$D$1007,$I41,$E$8:$E$1007,"Presente"))</f>
        <v>0</v>
      </c>
      <c r="L41" s="73" t="n">
        <f aca="false">IF($J41=0,0,$K41/$J41)</f>
        <v>0</v>
      </c>
      <c r="M41" s="72" t="n">
        <f aca="false">IF($I41="",0,COUNTIFS($D$8:$D$1007,$I41,$E$8:$E$1007,"Falta Justificada")+COUNTIFS($D$8:$D$1007,$I41,$E$8:$E$1007,"Falta Não Justificada"))</f>
        <v>0</v>
      </c>
      <c r="N41" s="72" t="n">
        <f aca="false">IF($I41="",0,COUNTIFS($D$8:$D$1007,$I41,$E$8:$E$1007,"Lesionado")+COUNTIFS($D$8:$D$1007,$I41,$E$8:$E$1007,"Departamento Médico"))</f>
        <v>0</v>
      </c>
      <c r="O41" s="72" t="n">
        <f aca="false">IF($I41="",0,SUMIFS($F$8:$F$1007,$D$8:$D$1007,$I41))</f>
        <v>0</v>
      </c>
      <c r="P41" s="74" t="str">
        <f aca="false">IF($I41="","",IF($J41=0,"Sem registro",IF($L41&gt;=0.9,"Excelente",IF($L41&gt;=0.75,"Regular","Baixa assiduidade"))))</f>
        <v/>
      </c>
    </row>
    <row r="42" customFormat="false" ht="15" hidden="false" customHeight="false" outlineLevel="0" collapsed="false">
      <c r="A42" s="21"/>
      <c r="B42" s="33" t="n">
        <f aca="false">IF($A42="",0,INT(($A42-Macrociclo!$C$11)/7)+1)</f>
        <v>0</v>
      </c>
      <c r="C42" s="20"/>
      <c r="D42" s="20"/>
      <c r="E42" s="22"/>
      <c r="F42" s="22"/>
      <c r="G42" s="20"/>
      <c r="I42" s="68" t="str">
        <f aca="false">IF(Cadastro!$B41="","",Cadastro!$B41)</f>
        <v/>
      </c>
      <c r="J42" s="69" t="n">
        <f aca="false">IF($I42="",0,COUNTIFS($D$8:$D$1007,$I42))</f>
        <v>0</v>
      </c>
      <c r="K42" s="69" t="n">
        <f aca="false">IF($I42="",0,COUNTIFS($D$8:$D$1007,$I42,$E$8:$E$1007,"Presente"))</f>
        <v>0</v>
      </c>
      <c r="L42" s="49" t="n">
        <f aca="false">IF($J42=0,0,$K42/$J42)</f>
        <v>0</v>
      </c>
      <c r="M42" s="69" t="n">
        <f aca="false">IF($I42="",0,COUNTIFS($D$8:$D$1007,$I42,$E$8:$E$1007,"Falta Justificada")+COUNTIFS($D$8:$D$1007,$I42,$E$8:$E$1007,"Falta Não Justificada"))</f>
        <v>0</v>
      </c>
      <c r="N42" s="69" t="n">
        <f aca="false">IF($I42="",0,COUNTIFS($D$8:$D$1007,$I42,$E$8:$E$1007,"Lesionado")+COUNTIFS($D$8:$D$1007,$I42,$E$8:$E$1007,"Departamento Médico"))</f>
        <v>0</v>
      </c>
      <c r="O42" s="69" t="n">
        <f aca="false">IF($I42="",0,SUMIFS($F$8:$F$1007,$D$8:$D$1007,$I42))</f>
        <v>0</v>
      </c>
      <c r="P42" s="70" t="str">
        <f aca="false">IF($I42="","",IF($J42=0,"Sem registro",IF($L42&gt;=0.9,"Excelente",IF($L42&gt;=0.75,"Regular","Baixa assiduidade"))))</f>
        <v/>
      </c>
    </row>
    <row r="43" customFormat="false" ht="15" hidden="false" customHeight="false" outlineLevel="0" collapsed="false">
      <c r="A43" s="21"/>
      <c r="B43" s="33" t="n">
        <f aca="false">IF($A43="",0,INT(($A43-Macrociclo!$C$11)/7)+1)</f>
        <v>0</v>
      </c>
      <c r="C43" s="20"/>
      <c r="D43" s="20"/>
      <c r="E43" s="22"/>
      <c r="F43" s="22"/>
      <c r="G43" s="20"/>
      <c r="I43" s="71" t="str">
        <f aca="false">IF(Cadastro!$B42="","",Cadastro!$B42)</f>
        <v/>
      </c>
      <c r="J43" s="72" t="n">
        <f aca="false">IF($I43="",0,COUNTIFS($D$8:$D$1007,$I43))</f>
        <v>0</v>
      </c>
      <c r="K43" s="72" t="n">
        <f aca="false">IF($I43="",0,COUNTIFS($D$8:$D$1007,$I43,$E$8:$E$1007,"Presente"))</f>
        <v>0</v>
      </c>
      <c r="L43" s="73" t="n">
        <f aca="false">IF($J43=0,0,$K43/$J43)</f>
        <v>0</v>
      </c>
      <c r="M43" s="72" t="n">
        <f aca="false">IF($I43="",0,COUNTIFS($D$8:$D$1007,$I43,$E$8:$E$1007,"Falta Justificada")+COUNTIFS($D$8:$D$1007,$I43,$E$8:$E$1007,"Falta Não Justificada"))</f>
        <v>0</v>
      </c>
      <c r="N43" s="72" t="n">
        <f aca="false">IF($I43="",0,COUNTIFS($D$8:$D$1007,$I43,$E$8:$E$1007,"Lesionado")+COUNTIFS($D$8:$D$1007,$I43,$E$8:$E$1007,"Departamento Médico"))</f>
        <v>0</v>
      </c>
      <c r="O43" s="72" t="n">
        <f aca="false">IF($I43="",0,SUMIFS($F$8:$F$1007,$D$8:$D$1007,$I43))</f>
        <v>0</v>
      </c>
      <c r="P43" s="74" t="str">
        <f aca="false">IF($I43="","",IF($J43=0,"Sem registro",IF($L43&gt;=0.9,"Excelente",IF($L43&gt;=0.75,"Regular","Baixa assiduidade"))))</f>
        <v/>
      </c>
    </row>
    <row r="44" customFormat="false" ht="15" hidden="false" customHeight="false" outlineLevel="0" collapsed="false">
      <c r="A44" s="21"/>
      <c r="B44" s="33" t="n">
        <f aca="false">IF($A44="",0,INT(($A44-Macrociclo!$C$11)/7)+1)</f>
        <v>0</v>
      </c>
      <c r="C44" s="20"/>
      <c r="D44" s="20"/>
      <c r="E44" s="22"/>
      <c r="F44" s="22"/>
      <c r="G44" s="20"/>
      <c r="I44" s="68" t="str">
        <f aca="false">IF(Cadastro!$B43="","",Cadastro!$B43)</f>
        <v/>
      </c>
      <c r="J44" s="69" t="n">
        <f aca="false">IF($I44="",0,COUNTIFS($D$8:$D$1007,$I44))</f>
        <v>0</v>
      </c>
      <c r="K44" s="69" t="n">
        <f aca="false">IF($I44="",0,COUNTIFS($D$8:$D$1007,$I44,$E$8:$E$1007,"Presente"))</f>
        <v>0</v>
      </c>
      <c r="L44" s="49" t="n">
        <f aca="false">IF($J44=0,0,$K44/$J44)</f>
        <v>0</v>
      </c>
      <c r="M44" s="69" t="n">
        <f aca="false">IF($I44="",0,COUNTIFS($D$8:$D$1007,$I44,$E$8:$E$1007,"Falta Justificada")+COUNTIFS($D$8:$D$1007,$I44,$E$8:$E$1007,"Falta Não Justificada"))</f>
        <v>0</v>
      </c>
      <c r="N44" s="69" t="n">
        <f aca="false">IF($I44="",0,COUNTIFS($D$8:$D$1007,$I44,$E$8:$E$1007,"Lesionado")+COUNTIFS($D$8:$D$1007,$I44,$E$8:$E$1007,"Departamento Médico"))</f>
        <v>0</v>
      </c>
      <c r="O44" s="69" t="n">
        <f aca="false">IF($I44="",0,SUMIFS($F$8:$F$1007,$D$8:$D$1007,$I44))</f>
        <v>0</v>
      </c>
      <c r="P44" s="70" t="str">
        <f aca="false">IF($I44="","",IF($J44=0,"Sem registro",IF($L44&gt;=0.9,"Excelente",IF($L44&gt;=0.75,"Regular","Baixa assiduidade"))))</f>
        <v/>
      </c>
    </row>
    <row r="45" customFormat="false" ht="15" hidden="false" customHeight="false" outlineLevel="0" collapsed="false">
      <c r="A45" s="21"/>
      <c r="B45" s="33" t="n">
        <f aca="false">IF($A45="",0,INT(($A45-Macrociclo!$C$11)/7)+1)</f>
        <v>0</v>
      </c>
      <c r="C45" s="20"/>
      <c r="D45" s="20"/>
      <c r="E45" s="22"/>
      <c r="F45" s="22"/>
      <c r="G45" s="20"/>
      <c r="I45" s="71" t="str">
        <f aca="false">IF(Cadastro!$B44="","",Cadastro!$B44)</f>
        <v/>
      </c>
      <c r="J45" s="72" t="n">
        <f aca="false">IF($I45="",0,COUNTIFS($D$8:$D$1007,$I45))</f>
        <v>0</v>
      </c>
      <c r="K45" s="72" t="n">
        <f aca="false">IF($I45="",0,COUNTIFS($D$8:$D$1007,$I45,$E$8:$E$1007,"Presente"))</f>
        <v>0</v>
      </c>
      <c r="L45" s="73" t="n">
        <f aca="false">IF($J45=0,0,$K45/$J45)</f>
        <v>0</v>
      </c>
      <c r="M45" s="72" t="n">
        <f aca="false">IF($I45="",0,COUNTIFS($D$8:$D$1007,$I45,$E$8:$E$1007,"Falta Justificada")+COUNTIFS($D$8:$D$1007,$I45,$E$8:$E$1007,"Falta Não Justificada"))</f>
        <v>0</v>
      </c>
      <c r="N45" s="72" t="n">
        <f aca="false">IF($I45="",0,COUNTIFS($D$8:$D$1007,$I45,$E$8:$E$1007,"Lesionado")+COUNTIFS($D$8:$D$1007,$I45,$E$8:$E$1007,"Departamento Médico"))</f>
        <v>0</v>
      </c>
      <c r="O45" s="72" t="n">
        <f aca="false">IF($I45="",0,SUMIFS($F$8:$F$1007,$D$8:$D$1007,$I45))</f>
        <v>0</v>
      </c>
      <c r="P45" s="74" t="str">
        <f aca="false">IF($I45="","",IF($J45=0,"Sem registro",IF($L45&gt;=0.9,"Excelente",IF($L45&gt;=0.75,"Regular","Baixa assiduidade"))))</f>
        <v/>
      </c>
    </row>
    <row r="46" customFormat="false" ht="15" hidden="false" customHeight="false" outlineLevel="0" collapsed="false">
      <c r="A46" s="21"/>
      <c r="B46" s="33" t="n">
        <f aca="false">IF($A46="",0,INT(($A46-Macrociclo!$C$11)/7)+1)</f>
        <v>0</v>
      </c>
      <c r="C46" s="20"/>
      <c r="D46" s="20"/>
      <c r="E46" s="22"/>
      <c r="F46" s="22"/>
      <c r="G46" s="20"/>
      <c r="I46" s="68" t="str">
        <f aca="false">IF(Cadastro!$B45="","",Cadastro!$B45)</f>
        <v/>
      </c>
      <c r="J46" s="69" t="n">
        <f aca="false">IF($I46="",0,COUNTIFS($D$8:$D$1007,$I46))</f>
        <v>0</v>
      </c>
      <c r="K46" s="69" t="n">
        <f aca="false">IF($I46="",0,COUNTIFS($D$8:$D$1007,$I46,$E$8:$E$1007,"Presente"))</f>
        <v>0</v>
      </c>
      <c r="L46" s="49" t="n">
        <f aca="false">IF($J46=0,0,$K46/$J46)</f>
        <v>0</v>
      </c>
      <c r="M46" s="69" t="n">
        <f aca="false">IF($I46="",0,COUNTIFS($D$8:$D$1007,$I46,$E$8:$E$1007,"Falta Justificada")+COUNTIFS($D$8:$D$1007,$I46,$E$8:$E$1007,"Falta Não Justificada"))</f>
        <v>0</v>
      </c>
      <c r="N46" s="69" t="n">
        <f aca="false">IF($I46="",0,COUNTIFS($D$8:$D$1007,$I46,$E$8:$E$1007,"Lesionado")+COUNTIFS($D$8:$D$1007,$I46,$E$8:$E$1007,"Departamento Médico"))</f>
        <v>0</v>
      </c>
      <c r="O46" s="69" t="n">
        <f aca="false">IF($I46="",0,SUMIFS($F$8:$F$1007,$D$8:$D$1007,$I46))</f>
        <v>0</v>
      </c>
      <c r="P46" s="70" t="str">
        <f aca="false">IF($I46="","",IF($J46=0,"Sem registro",IF($L46&gt;=0.9,"Excelente",IF($L46&gt;=0.75,"Regular","Baixa assiduidade"))))</f>
        <v/>
      </c>
    </row>
    <row r="47" customFormat="false" ht="15" hidden="false" customHeight="false" outlineLevel="0" collapsed="false">
      <c r="A47" s="21"/>
      <c r="B47" s="33" t="n">
        <f aca="false">IF($A47="",0,INT(($A47-Macrociclo!$C$11)/7)+1)</f>
        <v>0</v>
      </c>
      <c r="C47" s="20"/>
      <c r="D47" s="20"/>
      <c r="E47" s="22"/>
      <c r="F47" s="22"/>
      <c r="G47" s="20"/>
      <c r="I47" s="71" t="str">
        <f aca="false">IF(Cadastro!$B46="","",Cadastro!$B46)</f>
        <v/>
      </c>
      <c r="J47" s="72" t="n">
        <f aca="false">IF($I47="",0,COUNTIFS($D$8:$D$1007,$I47))</f>
        <v>0</v>
      </c>
      <c r="K47" s="72" t="n">
        <f aca="false">IF($I47="",0,COUNTIFS($D$8:$D$1007,$I47,$E$8:$E$1007,"Presente"))</f>
        <v>0</v>
      </c>
      <c r="L47" s="73" t="n">
        <f aca="false">IF($J47=0,0,$K47/$J47)</f>
        <v>0</v>
      </c>
      <c r="M47" s="72" t="n">
        <f aca="false">IF($I47="",0,COUNTIFS($D$8:$D$1007,$I47,$E$8:$E$1007,"Falta Justificada")+COUNTIFS($D$8:$D$1007,$I47,$E$8:$E$1007,"Falta Não Justificada"))</f>
        <v>0</v>
      </c>
      <c r="N47" s="72" t="n">
        <f aca="false">IF($I47="",0,COUNTIFS($D$8:$D$1007,$I47,$E$8:$E$1007,"Lesionado")+COUNTIFS($D$8:$D$1007,$I47,$E$8:$E$1007,"Departamento Médico"))</f>
        <v>0</v>
      </c>
      <c r="O47" s="72" t="n">
        <f aca="false">IF($I47="",0,SUMIFS($F$8:$F$1007,$D$8:$D$1007,$I47))</f>
        <v>0</v>
      </c>
      <c r="P47" s="74" t="str">
        <f aca="false">IF($I47="","",IF($J47=0,"Sem registro",IF($L47&gt;=0.9,"Excelente",IF($L47&gt;=0.75,"Regular","Baixa assiduidade"))))</f>
        <v/>
      </c>
    </row>
    <row r="48" customFormat="false" ht="15" hidden="false" customHeight="false" outlineLevel="0" collapsed="false">
      <c r="A48" s="21"/>
      <c r="B48" s="33" t="n">
        <f aca="false">IF($A48="",0,INT(($A48-Macrociclo!$C$11)/7)+1)</f>
        <v>0</v>
      </c>
      <c r="C48" s="20"/>
      <c r="D48" s="20"/>
      <c r="E48" s="22"/>
      <c r="F48" s="22"/>
      <c r="G48" s="20"/>
      <c r="I48" s="68" t="str">
        <f aca="false">IF(Cadastro!$B47="","",Cadastro!$B47)</f>
        <v/>
      </c>
      <c r="J48" s="69" t="n">
        <f aca="false">IF($I48="",0,COUNTIFS($D$8:$D$1007,$I48))</f>
        <v>0</v>
      </c>
      <c r="K48" s="69" t="n">
        <f aca="false">IF($I48="",0,COUNTIFS($D$8:$D$1007,$I48,$E$8:$E$1007,"Presente"))</f>
        <v>0</v>
      </c>
      <c r="L48" s="49" t="n">
        <f aca="false">IF($J48=0,0,$K48/$J48)</f>
        <v>0</v>
      </c>
      <c r="M48" s="69" t="n">
        <f aca="false">IF($I48="",0,COUNTIFS($D$8:$D$1007,$I48,$E$8:$E$1007,"Falta Justificada")+COUNTIFS($D$8:$D$1007,$I48,$E$8:$E$1007,"Falta Não Justificada"))</f>
        <v>0</v>
      </c>
      <c r="N48" s="69" t="n">
        <f aca="false">IF($I48="",0,COUNTIFS($D$8:$D$1007,$I48,$E$8:$E$1007,"Lesionado")+COUNTIFS($D$8:$D$1007,$I48,$E$8:$E$1007,"Departamento Médico"))</f>
        <v>0</v>
      </c>
      <c r="O48" s="69" t="n">
        <f aca="false">IF($I48="",0,SUMIFS($F$8:$F$1007,$D$8:$D$1007,$I48))</f>
        <v>0</v>
      </c>
      <c r="P48" s="70" t="str">
        <f aca="false">IF($I48="","",IF($J48=0,"Sem registro",IF($L48&gt;=0.9,"Excelente",IF($L48&gt;=0.75,"Regular","Baixa assiduidade"))))</f>
        <v/>
      </c>
    </row>
    <row r="49" customFormat="false" ht="15" hidden="false" customHeight="false" outlineLevel="0" collapsed="false">
      <c r="A49" s="21"/>
      <c r="B49" s="33" t="n">
        <f aca="false">IF($A49="",0,INT(($A49-Macrociclo!$C$11)/7)+1)</f>
        <v>0</v>
      </c>
      <c r="C49" s="20"/>
      <c r="D49" s="20"/>
      <c r="E49" s="22"/>
      <c r="F49" s="22"/>
      <c r="G49" s="20"/>
      <c r="I49" s="71" t="str">
        <f aca="false">IF(Cadastro!$B48="","",Cadastro!$B48)</f>
        <v/>
      </c>
      <c r="J49" s="72" t="n">
        <f aca="false">IF($I49="",0,COUNTIFS($D$8:$D$1007,$I49))</f>
        <v>0</v>
      </c>
      <c r="K49" s="72" t="n">
        <f aca="false">IF($I49="",0,COUNTIFS($D$8:$D$1007,$I49,$E$8:$E$1007,"Presente"))</f>
        <v>0</v>
      </c>
      <c r="L49" s="73" t="n">
        <f aca="false">IF($J49=0,0,$K49/$J49)</f>
        <v>0</v>
      </c>
      <c r="M49" s="72" t="n">
        <f aca="false">IF($I49="",0,COUNTIFS($D$8:$D$1007,$I49,$E$8:$E$1007,"Falta Justificada")+COUNTIFS($D$8:$D$1007,$I49,$E$8:$E$1007,"Falta Não Justificada"))</f>
        <v>0</v>
      </c>
      <c r="N49" s="72" t="n">
        <f aca="false">IF($I49="",0,COUNTIFS($D$8:$D$1007,$I49,$E$8:$E$1007,"Lesionado")+COUNTIFS($D$8:$D$1007,$I49,$E$8:$E$1007,"Departamento Médico"))</f>
        <v>0</v>
      </c>
      <c r="O49" s="72" t="n">
        <f aca="false">IF($I49="",0,SUMIFS($F$8:$F$1007,$D$8:$D$1007,$I49))</f>
        <v>0</v>
      </c>
      <c r="P49" s="74" t="str">
        <f aca="false">IF($I49="","",IF($J49=0,"Sem registro",IF($L49&gt;=0.9,"Excelente",IF($L49&gt;=0.75,"Regular","Baixa assiduidade"))))</f>
        <v/>
      </c>
    </row>
    <row r="50" customFormat="false" ht="15" hidden="false" customHeight="false" outlineLevel="0" collapsed="false">
      <c r="A50" s="21"/>
      <c r="B50" s="33" t="n">
        <f aca="false">IF($A50="",0,INT(($A50-Macrociclo!$C$11)/7)+1)</f>
        <v>0</v>
      </c>
      <c r="C50" s="20"/>
      <c r="D50" s="20"/>
      <c r="E50" s="22"/>
      <c r="F50" s="22"/>
      <c r="G50" s="20"/>
      <c r="I50" s="68" t="str">
        <f aca="false">IF(Cadastro!$B49="","",Cadastro!$B49)</f>
        <v/>
      </c>
      <c r="J50" s="69" t="n">
        <f aca="false">IF($I50="",0,COUNTIFS($D$8:$D$1007,$I50))</f>
        <v>0</v>
      </c>
      <c r="K50" s="69" t="n">
        <f aca="false">IF($I50="",0,COUNTIFS($D$8:$D$1007,$I50,$E$8:$E$1007,"Presente"))</f>
        <v>0</v>
      </c>
      <c r="L50" s="49" t="n">
        <f aca="false">IF($J50=0,0,$K50/$J50)</f>
        <v>0</v>
      </c>
      <c r="M50" s="69" t="n">
        <f aca="false">IF($I50="",0,COUNTIFS($D$8:$D$1007,$I50,$E$8:$E$1007,"Falta Justificada")+COUNTIFS($D$8:$D$1007,$I50,$E$8:$E$1007,"Falta Não Justificada"))</f>
        <v>0</v>
      </c>
      <c r="N50" s="69" t="n">
        <f aca="false">IF($I50="",0,COUNTIFS($D$8:$D$1007,$I50,$E$8:$E$1007,"Lesionado")+COUNTIFS($D$8:$D$1007,$I50,$E$8:$E$1007,"Departamento Médico"))</f>
        <v>0</v>
      </c>
      <c r="O50" s="69" t="n">
        <f aca="false">IF($I50="",0,SUMIFS($F$8:$F$1007,$D$8:$D$1007,$I50))</f>
        <v>0</v>
      </c>
      <c r="P50" s="70" t="str">
        <f aca="false">IF($I50="","",IF($J50=0,"Sem registro",IF($L50&gt;=0.9,"Excelente",IF($L50&gt;=0.75,"Regular","Baixa assiduidade"))))</f>
        <v/>
      </c>
    </row>
    <row r="51" customFormat="false" ht="15" hidden="false" customHeight="false" outlineLevel="0" collapsed="false">
      <c r="A51" s="21"/>
      <c r="B51" s="33" t="n">
        <f aca="false">IF($A51="",0,INT(($A51-Macrociclo!$C$11)/7)+1)</f>
        <v>0</v>
      </c>
      <c r="C51" s="20"/>
      <c r="D51" s="20"/>
      <c r="E51" s="22"/>
      <c r="F51" s="22"/>
      <c r="G51" s="20"/>
      <c r="I51" s="71" t="str">
        <f aca="false">IF(Cadastro!$B50="","",Cadastro!$B50)</f>
        <v/>
      </c>
      <c r="J51" s="72" t="n">
        <f aca="false">IF($I51="",0,COUNTIFS($D$8:$D$1007,$I51))</f>
        <v>0</v>
      </c>
      <c r="K51" s="72" t="n">
        <f aca="false">IF($I51="",0,COUNTIFS($D$8:$D$1007,$I51,$E$8:$E$1007,"Presente"))</f>
        <v>0</v>
      </c>
      <c r="L51" s="73" t="n">
        <f aca="false">IF($J51=0,0,$K51/$J51)</f>
        <v>0</v>
      </c>
      <c r="M51" s="72" t="n">
        <f aca="false">IF($I51="",0,COUNTIFS($D$8:$D$1007,$I51,$E$8:$E$1007,"Falta Justificada")+COUNTIFS($D$8:$D$1007,$I51,$E$8:$E$1007,"Falta Não Justificada"))</f>
        <v>0</v>
      </c>
      <c r="N51" s="72" t="n">
        <f aca="false">IF($I51="",0,COUNTIFS($D$8:$D$1007,$I51,$E$8:$E$1007,"Lesionado")+COUNTIFS($D$8:$D$1007,$I51,$E$8:$E$1007,"Departamento Médico"))</f>
        <v>0</v>
      </c>
      <c r="O51" s="72" t="n">
        <f aca="false">IF($I51="",0,SUMIFS($F$8:$F$1007,$D$8:$D$1007,$I51))</f>
        <v>0</v>
      </c>
      <c r="P51" s="74" t="str">
        <f aca="false">IF($I51="","",IF($J51=0,"Sem registro",IF($L51&gt;=0.9,"Excelente",IF($L51&gt;=0.75,"Regular","Baixa assiduidade"))))</f>
        <v/>
      </c>
    </row>
    <row r="52" customFormat="false" ht="15" hidden="false" customHeight="false" outlineLevel="0" collapsed="false">
      <c r="A52" s="21"/>
      <c r="B52" s="33" t="n">
        <f aca="false">IF($A52="",0,INT(($A52-Macrociclo!$C$11)/7)+1)</f>
        <v>0</v>
      </c>
      <c r="C52" s="20"/>
      <c r="D52" s="20"/>
      <c r="E52" s="22"/>
      <c r="F52" s="22"/>
      <c r="G52" s="20"/>
      <c r="I52" s="68" t="str">
        <f aca="false">IF(Cadastro!$B51="","",Cadastro!$B51)</f>
        <v/>
      </c>
      <c r="J52" s="69" t="n">
        <f aca="false">IF($I52="",0,COUNTIFS($D$8:$D$1007,$I52))</f>
        <v>0</v>
      </c>
      <c r="K52" s="69" t="n">
        <f aca="false">IF($I52="",0,COUNTIFS($D$8:$D$1007,$I52,$E$8:$E$1007,"Presente"))</f>
        <v>0</v>
      </c>
      <c r="L52" s="49" t="n">
        <f aca="false">IF($J52=0,0,$K52/$J52)</f>
        <v>0</v>
      </c>
      <c r="M52" s="69" t="n">
        <f aca="false">IF($I52="",0,COUNTIFS($D$8:$D$1007,$I52,$E$8:$E$1007,"Falta Justificada")+COUNTIFS($D$8:$D$1007,$I52,$E$8:$E$1007,"Falta Não Justificada"))</f>
        <v>0</v>
      </c>
      <c r="N52" s="69" t="n">
        <f aca="false">IF($I52="",0,COUNTIFS($D$8:$D$1007,$I52,$E$8:$E$1007,"Lesionado")+COUNTIFS($D$8:$D$1007,$I52,$E$8:$E$1007,"Departamento Médico"))</f>
        <v>0</v>
      </c>
      <c r="O52" s="69" t="n">
        <f aca="false">IF($I52="",0,SUMIFS($F$8:$F$1007,$D$8:$D$1007,$I52))</f>
        <v>0</v>
      </c>
      <c r="P52" s="70" t="str">
        <f aca="false">IF($I52="","",IF($J52=0,"Sem registro",IF($L52&gt;=0.9,"Excelente",IF($L52&gt;=0.75,"Regular","Baixa assiduidade"))))</f>
        <v/>
      </c>
    </row>
    <row r="53" customFormat="false" ht="15" hidden="false" customHeight="false" outlineLevel="0" collapsed="false">
      <c r="A53" s="21"/>
      <c r="B53" s="33" t="n">
        <f aca="false">IF($A53="",0,INT(($A53-Macrociclo!$C$11)/7)+1)</f>
        <v>0</v>
      </c>
      <c r="C53" s="20"/>
      <c r="D53" s="20"/>
      <c r="E53" s="22"/>
      <c r="F53" s="22"/>
      <c r="G53" s="20"/>
      <c r="I53" s="71" t="str">
        <f aca="false">IF(Cadastro!$B52="","",Cadastro!$B52)</f>
        <v/>
      </c>
      <c r="J53" s="72" t="n">
        <f aca="false">IF($I53="",0,COUNTIFS($D$8:$D$1007,$I53))</f>
        <v>0</v>
      </c>
      <c r="K53" s="72" t="n">
        <f aca="false">IF($I53="",0,COUNTIFS($D$8:$D$1007,$I53,$E$8:$E$1007,"Presente"))</f>
        <v>0</v>
      </c>
      <c r="L53" s="73" t="n">
        <f aca="false">IF($J53=0,0,$K53/$J53)</f>
        <v>0</v>
      </c>
      <c r="M53" s="72" t="n">
        <f aca="false">IF($I53="",0,COUNTIFS($D$8:$D$1007,$I53,$E$8:$E$1007,"Falta Justificada")+COUNTIFS($D$8:$D$1007,$I53,$E$8:$E$1007,"Falta Não Justificada"))</f>
        <v>0</v>
      </c>
      <c r="N53" s="72" t="n">
        <f aca="false">IF($I53="",0,COUNTIFS($D$8:$D$1007,$I53,$E$8:$E$1007,"Lesionado")+COUNTIFS($D$8:$D$1007,$I53,$E$8:$E$1007,"Departamento Médico"))</f>
        <v>0</v>
      </c>
      <c r="O53" s="72" t="n">
        <f aca="false">IF($I53="",0,SUMIFS($F$8:$F$1007,$D$8:$D$1007,$I53))</f>
        <v>0</v>
      </c>
      <c r="P53" s="74" t="str">
        <f aca="false">IF($I53="","",IF($J53=0,"Sem registro",IF($L53&gt;=0.9,"Excelente",IF($L53&gt;=0.75,"Regular","Baixa assiduidade"))))</f>
        <v/>
      </c>
    </row>
    <row r="54" customFormat="false" ht="15" hidden="false" customHeight="false" outlineLevel="0" collapsed="false">
      <c r="A54" s="21"/>
      <c r="B54" s="33" t="n">
        <f aca="false">IF($A54="",0,INT(($A54-Macrociclo!$C$11)/7)+1)</f>
        <v>0</v>
      </c>
      <c r="C54" s="20"/>
      <c r="D54" s="20"/>
      <c r="E54" s="22"/>
      <c r="F54" s="22"/>
      <c r="G54" s="20"/>
      <c r="I54" s="68" t="str">
        <f aca="false">IF(Cadastro!$B53="","",Cadastro!$B53)</f>
        <v/>
      </c>
      <c r="J54" s="69" t="n">
        <f aca="false">IF($I54="",0,COUNTIFS($D$8:$D$1007,$I54))</f>
        <v>0</v>
      </c>
      <c r="K54" s="69" t="n">
        <f aca="false">IF($I54="",0,COUNTIFS($D$8:$D$1007,$I54,$E$8:$E$1007,"Presente"))</f>
        <v>0</v>
      </c>
      <c r="L54" s="49" t="n">
        <f aca="false">IF($J54=0,0,$K54/$J54)</f>
        <v>0</v>
      </c>
      <c r="M54" s="69" t="n">
        <f aca="false">IF($I54="",0,COUNTIFS($D$8:$D$1007,$I54,$E$8:$E$1007,"Falta Justificada")+COUNTIFS($D$8:$D$1007,$I54,$E$8:$E$1007,"Falta Não Justificada"))</f>
        <v>0</v>
      </c>
      <c r="N54" s="69" t="n">
        <f aca="false">IF($I54="",0,COUNTIFS($D$8:$D$1007,$I54,$E$8:$E$1007,"Lesionado")+COUNTIFS($D$8:$D$1007,$I54,$E$8:$E$1007,"Departamento Médico"))</f>
        <v>0</v>
      </c>
      <c r="O54" s="69" t="n">
        <f aca="false">IF($I54="",0,SUMIFS($F$8:$F$1007,$D$8:$D$1007,$I54))</f>
        <v>0</v>
      </c>
      <c r="P54" s="70" t="str">
        <f aca="false">IF($I54="","",IF($J54=0,"Sem registro",IF($L54&gt;=0.9,"Excelente",IF($L54&gt;=0.75,"Regular","Baixa assiduidade"))))</f>
        <v/>
      </c>
    </row>
    <row r="55" customFormat="false" ht="15" hidden="false" customHeight="false" outlineLevel="0" collapsed="false">
      <c r="A55" s="21"/>
      <c r="B55" s="33" t="n">
        <f aca="false">IF($A55="",0,INT(($A55-Macrociclo!$C$11)/7)+1)</f>
        <v>0</v>
      </c>
      <c r="C55" s="20"/>
      <c r="D55" s="20"/>
      <c r="E55" s="22"/>
      <c r="F55" s="22"/>
      <c r="G55" s="20"/>
      <c r="I55" s="71" t="str">
        <f aca="false">IF(Cadastro!$B54="","",Cadastro!$B54)</f>
        <v/>
      </c>
      <c r="J55" s="72" t="n">
        <f aca="false">IF($I55="",0,COUNTIFS($D$8:$D$1007,$I55))</f>
        <v>0</v>
      </c>
      <c r="K55" s="72" t="n">
        <f aca="false">IF($I55="",0,COUNTIFS($D$8:$D$1007,$I55,$E$8:$E$1007,"Presente"))</f>
        <v>0</v>
      </c>
      <c r="L55" s="73" t="n">
        <f aca="false">IF($J55=0,0,$K55/$J55)</f>
        <v>0</v>
      </c>
      <c r="M55" s="72" t="n">
        <f aca="false">IF($I55="",0,COUNTIFS($D$8:$D$1007,$I55,$E$8:$E$1007,"Falta Justificada")+COUNTIFS($D$8:$D$1007,$I55,$E$8:$E$1007,"Falta Não Justificada"))</f>
        <v>0</v>
      </c>
      <c r="N55" s="72" t="n">
        <f aca="false">IF($I55="",0,COUNTIFS($D$8:$D$1007,$I55,$E$8:$E$1007,"Lesionado")+COUNTIFS($D$8:$D$1007,$I55,$E$8:$E$1007,"Departamento Médico"))</f>
        <v>0</v>
      </c>
      <c r="O55" s="72" t="n">
        <f aca="false">IF($I55="",0,SUMIFS($F$8:$F$1007,$D$8:$D$1007,$I55))</f>
        <v>0</v>
      </c>
      <c r="P55" s="74" t="str">
        <f aca="false">IF($I55="","",IF($J55=0,"Sem registro",IF($L55&gt;=0.9,"Excelente",IF($L55&gt;=0.75,"Regular","Baixa assiduidade"))))</f>
        <v/>
      </c>
    </row>
    <row r="56" customFormat="false" ht="15" hidden="false" customHeight="false" outlineLevel="0" collapsed="false">
      <c r="A56" s="21"/>
      <c r="B56" s="33" t="n">
        <f aca="false">IF($A56="",0,INT(($A56-Macrociclo!$C$11)/7)+1)</f>
        <v>0</v>
      </c>
      <c r="C56" s="20"/>
      <c r="D56" s="20"/>
      <c r="E56" s="22"/>
      <c r="F56" s="22"/>
      <c r="G56" s="20"/>
      <c r="I56" s="68" t="str">
        <f aca="false">IF(Cadastro!$B55="","",Cadastro!$B55)</f>
        <v/>
      </c>
      <c r="J56" s="69" t="n">
        <f aca="false">IF($I56="",0,COUNTIFS($D$8:$D$1007,$I56))</f>
        <v>0</v>
      </c>
      <c r="K56" s="69" t="n">
        <f aca="false">IF($I56="",0,COUNTIFS($D$8:$D$1007,$I56,$E$8:$E$1007,"Presente"))</f>
        <v>0</v>
      </c>
      <c r="L56" s="49" t="n">
        <f aca="false">IF($J56=0,0,$K56/$J56)</f>
        <v>0</v>
      </c>
      <c r="M56" s="69" t="n">
        <f aca="false">IF($I56="",0,COUNTIFS($D$8:$D$1007,$I56,$E$8:$E$1007,"Falta Justificada")+COUNTIFS($D$8:$D$1007,$I56,$E$8:$E$1007,"Falta Não Justificada"))</f>
        <v>0</v>
      </c>
      <c r="N56" s="69" t="n">
        <f aca="false">IF($I56="",0,COUNTIFS($D$8:$D$1007,$I56,$E$8:$E$1007,"Lesionado")+COUNTIFS($D$8:$D$1007,$I56,$E$8:$E$1007,"Departamento Médico"))</f>
        <v>0</v>
      </c>
      <c r="O56" s="69" t="n">
        <f aca="false">IF($I56="",0,SUMIFS($F$8:$F$1007,$D$8:$D$1007,$I56))</f>
        <v>0</v>
      </c>
      <c r="P56" s="70" t="str">
        <f aca="false">IF($I56="","",IF($J56=0,"Sem registro",IF($L56&gt;=0.9,"Excelente",IF($L56&gt;=0.75,"Regular","Baixa assiduidade"))))</f>
        <v/>
      </c>
    </row>
    <row r="57" customFormat="false" ht="15" hidden="false" customHeight="false" outlineLevel="0" collapsed="false">
      <c r="A57" s="21"/>
      <c r="B57" s="33" t="n">
        <f aca="false">IF($A57="",0,INT(($A57-Macrociclo!$C$11)/7)+1)</f>
        <v>0</v>
      </c>
      <c r="C57" s="20"/>
      <c r="D57" s="20"/>
      <c r="E57" s="22"/>
      <c r="F57" s="22"/>
      <c r="G57" s="20"/>
      <c r="I57" s="71" t="str">
        <f aca="false">IF(Cadastro!$B56="","",Cadastro!$B56)</f>
        <v/>
      </c>
      <c r="J57" s="72" t="n">
        <f aca="false">IF($I57="",0,COUNTIFS($D$8:$D$1007,$I57))</f>
        <v>0</v>
      </c>
      <c r="K57" s="72" t="n">
        <f aca="false">IF($I57="",0,COUNTIFS($D$8:$D$1007,$I57,$E$8:$E$1007,"Presente"))</f>
        <v>0</v>
      </c>
      <c r="L57" s="73" t="n">
        <f aca="false">IF($J57=0,0,$K57/$J57)</f>
        <v>0</v>
      </c>
      <c r="M57" s="72" t="n">
        <f aca="false">IF($I57="",0,COUNTIFS($D$8:$D$1007,$I57,$E$8:$E$1007,"Falta Justificada")+COUNTIFS($D$8:$D$1007,$I57,$E$8:$E$1007,"Falta Não Justificada"))</f>
        <v>0</v>
      </c>
      <c r="N57" s="72" t="n">
        <f aca="false">IF($I57="",0,COUNTIFS($D$8:$D$1007,$I57,$E$8:$E$1007,"Lesionado")+COUNTIFS($D$8:$D$1007,$I57,$E$8:$E$1007,"Departamento Médico"))</f>
        <v>0</v>
      </c>
      <c r="O57" s="72" t="n">
        <f aca="false">IF($I57="",0,SUMIFS($F$8:$F$1007,$D$8:$D$1007,$I57))</f>
        <v>0</v>
      </c>
      <c r="P57" s="74" t="str">
        <f aca="false">IF($I57="","",IF($J57=0,"Sem registro",IF($L57&gt;=0.9,"Excelente",IF($L57&gt;=0.75,"Regular","Baixa assiduidade"))))</f>
        <v/>
      </c>
    </row>
    <row r="58" customFormat="false" ht="15" hidden="false" customHeight="false" outlineLevel="0" collapsed="false">
      <c r="A58" s="21"/>
      <c r="B58" s="33" t="n">
        <f aca="false">IF($A58="",0,INT(($A58-Macrociclo!$C$11)/7)+1)</f>
        <v>0</v>
      </c>
      <c r="C58" s="20"/>
      <c r="D58" s="20"/>
      <c r="E58" s="22"/>
      <c r="F58" s="22"/>
      <c r="G58" s="20"/>
      <c r="I58" s="68" t="str">
        <f aca="false">IF(Cadastro!$B57="","",Cadastro!$B57)</f>
        <v/>
      </c>
      <c r="J58" s="69" t="n">
        <f aca="false">IF($I58="",0,COUNTIFS($D$8:$D$1007,$I58))</f>
        <v>0</v>
      </c>
      <c r="K58" s="69" t="n">
        <f aca="false">IF($I58="",0,COUNTIFS($D$8:$D$1007,$I58,$E$8:$E$1007,"Presente"))</f>
        <v>0</v>
      </c>
      <c r="L58" s="49" t="n">
        <f aca="false">IF($J58=0,0,$K58/$J58)</f>
        <v>0</v>
      </c>
      <c r="M58" s="69" t="n">
        <f aca="false">IF($I58="",0,COUNTIFS($D$8:$D$1007,$I58,$E$8:$E$1007,"Falta Justificada")+COUNTIFS($D$8:$D$1007,$I58,$E$8:$E$1007,"Falta Não Justificada"))</f>
        <v>0</v>
      </c>
      <c r="N58" s="69" t="n">
        <f aca="false">IF($I58="",0,COUNTIFS($D$8:$D$1007,$I58,$E$8:$E$1007,"Lesionado")+COUNTIFS($D$8:$D$1007,$I58,$E$8:$E$1007,"Departamento Médico"))</f>
        <v>0</v>
      </c>
      <c r="O58" s="69" t="n">
        <f aca="false">IF($I58="",0,SUMIFS($F$8:$F$1007,$D$8:$D$1007,$I58))</f>
        <v>0</v>
      </c>
      <c r="P58" s="70" t="str">
        <f aca="false">IF($I58="","",IF($J58=0,"Sem registro",IF($L58&gt;=0.9,"Excelente",IF($L58&gt;=0.75,"Regular","Baixa assiduidade"))))</f>
        <v/>
      </c>
    </row>
    <row r="59" customFormat="false" ht="15" hidden="false" customHeight="false" outlineLevel="0" collapsed="false">
      <c r="A59" s="21"/>
      <c r="B59" s="33" t="n">
        <f aca="false">IF($A59="",0,INT(($A59-Macrociclo!$C$11)/7)+1)</f>
        <v>0</v>
      </c>
      <c r="C59" s="20"/>
      <c r="D59" s="20"/>
      <c r="E59" s="22"/>
      <c r="F59" s="22"/>
      <c r="G59" s="20"/>
      <c r="I59" s="71" t="str">
        <f aca="false">IF(Cadastro!$B58="","",Cadastro!$B58)</f>
        <v/>
      </c>
      <c r="J59" s="72" t="n">
        <f aca="false">IF($I59="",0,COUNTIFS($D$8:$D$1007,$I59))</f>
        <v>0</v>
      </c>
      <c r="K59" s="72" t="n">
        <f aca="false">IF($I59="",0,COUNTIFS($D$8:$D$1007,$I59,$E$8:$E$1007,"Presente"))</f>
        <v>0</v>
      </c>
      <c r="L59" s="73" t="n">
        <f aca="false">IF($J59=0,0,$K59/$J59)</f>
        <v>0</v>
      </c>
      <c r="M59" s="72" t="n">
        <f aca="false">IF($I59="",0,COUNTIFS($D$8:$D$1007,$I59,$E$8:$E$1007,"Falta Justificada")+COUNTIFS($D$8:$D$1007,$I59,$E$8:$E$1007,"Falta Não Justificada"))</f>
        <v>0</v>
      </c>
      <c r="N59" s="72" t="n">
        <f aca="false">IF($I59="",0,COUNTIFS($D$8:$D$1007,$I59,$E$8:$E$1007,"Lesionado")+COUNTIFS($D$8:$D$1007,$I59,$E$8:$E$1007,"Departamento Médico"))</f>
        <v>0</v>
      </c>
      <c r="O59" s="72" t="n">
        <f aca="false">IF($I59="",0,SUMIFS($F$8:$F$1007,$D$8:$D$1007,$I59))</f>
        <v>0</v>
      </c>
      <c r="P59" s="74" t="str">
        <f aca="false">IF($I59="","",IF($J59=0,"Sem registro",IF($L59&gt;=0.9,"Excelente",IF($L59&gt;=0.75,"Regular","Baixa assiduidade"))))</f>
        <v/>
      </c>
    </row>
    <row r="60" customFormat="false" ht="15" hidden="false" customHeight="false" outlineLevel="0" collapsed="false">
      <c r="A60" s="21"/>
      <c r="B60" s="33" t="n">
        <f aca="false">IF($A60="",0,INT(($A60-Macrociclo!$C$11)/7)+1)</f>
        <v>0</v>
      </c>
      <c r="C60" s="20"/>
      <c r="D60" s="20"/>
      <c r="E60" s="22"/>
      <c r="F60" s="22"/>
      <c r="G60" s="20"/>
      <c r="I60" s="68" t="str">
        <f aca="false">IF(Cadastro!$B59="","",Cadastro!$B59)</f>
        <v/>
      </c>
      <c r="J60" s="69" t="n">
        <f aca="false">IF($I60="",0,COUNTIFS($D$8:$D$1007,$I60))</f>
        <v>0</v>
      </c>
      <c r="K60" s="69" t="n">
        <f aca="false">IF($I60="",0,COUNTIFS($D$8:$D$1007,$I60,$E$8:$E$1007,"Presente"))</f>
        <v>0</v>
      </c>
      <c r="L60" s="49" t="n">
        <f aca="false">IF($J60=0,0,$K60/$J60)</f>
        <v>0</v>
      </c>
      <c r="M60" s="69" t="n">
        <f aca="false">IF($I60="",0,COUNTIFS($D$8:$D$1007,$I60,$E$8:$E$1007,"Falta Justificada")+COUNTIFS($D$8:$D$1007,$I60,$E$8:$E$1007,"Falta Não Justificada"))</f>
        <v>0</v>
      </c>
      <c r="N60" s="69" t="n">
        <f aca="false">IF($I60="",0,COUNTIFS($D$8:$D$1007,$I60,$E$8:$E$1007,"Lesionado")+COUNTIFS($D$8:$D$1007,$I60,$E$8:$E$1007,"Departamento Médico"))</f>
        <v>0</v>
      </c>
      <c r="O60" s="69" t="n">
        <f aca="false">IF($I60="",0,SUMIFS($F$8:$F$1007,$D$8:$D$1007,$I60))</f>
        <v>0</v>
      </c>
      <c r="P60" s="70" t="str">
        <f aca="false">IF($I60="","",IF($J60=0,"Sem registro",IF($L60&gt;=0.9,"Excelente",IF($L60&gt;=0.75,"Regular","Baixa assiduidade"))))</f>
        <v/>
      </c>
    </row>
    <row r="61" customFormat="false" ht="15" hidden="false" customHeight="false" outlineLevel="0" collapsed="false">
      <c r="A61" s="21"/>
      <c r="B61" s="33" t="n">
        <f aca="false">IF($A61="",0,INT(($A61-Macrociclo!$C$11)/7)+1)</f>
        <v>0</v>
      </c>
      <c r="C61" s="20"/>
      <c r="D61" s="20"/>
      <c r="E61" s="22"/>
      <c r="F61" s="22"/>
      <c r="G61" s="20"/>
      <c r="I61" s="71" t="str">
        <f aca="false">IF(Cadastro!$B60="","",Cadastro!$B60)</f>
        <v/>
      </c>
      <c r="J61" s="72" t="n">
        <f aca="false">IF($I61="",0,COUNTIFS($D$8:$D$1007,$I61))</f>
        <v>0</v>
      </c>
      <c r="K61" s="72" t="n">
        <f aca="false">IF($I61="",0,COUNTIFS($D$8:$D$1007,$I61,$E$8:$E$1007,"Presente"))</f>
        <v>0</v>
      </c>
      <c r="L61" s="73" t="n">
        <f aca="false">IF($J61=0,0,$K61/$J61)</f>
        <v>0</v>
      </c>
      <c r="M61" s="72" t="n">
        <f aca="false">IF($I61="",0,COUNTIFS($D$8:$D$1007,$I61,$E$8:$E$1007,"Falta Justificada")+COUNTIFS($D$8:$D$1007,$I61,$E$8:$E$1007,"Falta Não Justificada"))</f>
        <v>0</v>
      </c>
      <c r="N61" s="72" t="n">
        <f aca="false">IF($I61="",0,COUNTIFS($D$8:$D$1007,$I61,$E$8:$E$1007,"Lesionado")+COUNTIFS($D$8:$D$1007,$I61,$E$8:$E$1007,"Departamento Médico"))</f>
        <v>0</v>
      </c>
      <c r="O61" s="72" t="n">
        <f aca="false">IF($I61="",0,SUMIFS($F$8:$F$1007,$D$8:$D$1007,$I61))</f>
        <v>0</v>
      </c>
      <c r="P61" s="74" t="str">
        <f aca="false">IF($I61="","",IF($J61=0,"Sem registro",IF($L61&gt;=0.9,"Excelente",IF($L61&gt;=0.75,"Regular","Baixa assiduidade"))))</f>
        <v/>
      </c>
    </row>
    <row r="62" customFormat="false" ht="15" hidden="false" customHeight="false" outlineLevel="0" collapsed="false">
      <c r="A62" s="21"/>
      <c r="B62" s="33" t="n">
        <f aca="false">IF($A62="",0,INT(($A62-Macrociclo!$C$11)/7)+1)</f>
        <v>0</v>
      </c>
      <c r="C62" s="20"/>
      <c r="D62" s="20"/>
      <c r="E62" s="22"/>
      <c r="F62" s="22"/>
      <c r="G62" s="20"/>
      <c r="I62" s="68" t="str">
        <f aca="false">IF(Cadastro!$B61="","",Cadastro!$B61)</f>
        <v/>
      </c>
      <c r="J62" s="69" t="n">
        <f aca="false">IF($I62="",0,COUNTIFS($D$8:$D$1007,$I62))</f>
        <v>0</v>
      </c>
      <c r="K62" s="69" t="n">
        <f aca="false">IF($I62="",0,COUNTIFS($D$8:$D$1007,$I62,$E$8:$E$1007,"Presente"))</f>
        <v>0</v>
      </c>
      <c r="L62" s="49" t="n">
        <f aca="false">IF($J62=0,0,$K62/$J62)</f>
        <v>0</v>
      </c>
      <c r="M62" s="69" t="n">
        <f aca="false">IF($I62="",0,COUNTIFS($D$8:$D$1007,$I62,$E$8:$E$1007,"Falta Justificada")+COUNTIFS($D$8:$D$1007,$I62,$E$8:$E$1007,"Falta Não Justificada"))</f>
        <v>0</v>
      </c>
      <c r="N62" s="69" t="n">
        <f aca="false">IF($I62="",0,COUNTIFS($D$8:$D$1007,$I62,$E$8:$E$1007,"Lesionado")+COUNTIFS($D$8:$D$1007,$I62,$E$8:$E$1007,"Departamento Médico"))</f>
        <v>0</v>
      </c>
      <c r="O62" s="69" t="n">
        <f aca="false">IF($I62="",0,SUMIFS($F$8:$F$1007,$D$8:$D$1007,$I62))</f>
        <v>0</v>
      </c>
      <c r="P62" s="70" t="str">
        <f aca="false">IF($I62="","",IF($J62=0,"Sem registro",IF($L62&gt;=0.9,"Excelente",IF($L62&gt;=0.75,"Regular","Baixa assiduidade"))))</f>
        <v/>
      </c>
    </row>
    <row r="63" customFormat="false" ht="15" hidden="false" customHeight="false" outlineLevel="0" collapsed="false">
      <c r="A63" s="21"/>
      <c r="B63" s="33" t="n">
        <f aca="false">IF($A63="",0,INT(($A63-Macrociclo!$C$11)/7)+1)</f>
        <v>0</v>
      </c>
      <c r="C63" s="20"/>
      <c r="D63" s="20"/>
      <c r="E63" s="22"/>
      <c r="F63" s="22"/>
      <c r="G63" s="20"/>
      <c r="I63" s="71" t="str">
        <f aca="false">IF(Cadastro!$B62="","",Cadastro!$B62)</f>
        <v/>
      </c>
      <c r="J63" s="72" t="n">
        <f aca="false">IF($I63="",0,COUNTIFS($D$8:$D$1007,$I63))</f>
        <v>0</v>
      </c>
      <c r="K63" s="72" t="n">
        <f aca="false">IF($I63="",0,COUNTIFS($D$8:$D$1007,$I63,$E$8:$E$1007,"Presente"))</f>
        <v>0</v>
      </c>
      <c r="L63" s="73" t="n">
        <f aca="false">IF($J63=0,0,$K63/$J63)</f>
        <v>0</v>
      </c>
      <c r="M63" s="72" t="n">
        <f aca="false">IF($I63="",0,COUNTIFS($D$8:$D$1007,$I63,$E$8:$E$1007,"Falta Justificada")+COUNTIFS($D$8:$D$1007,$I63,$E$8:$E$1007,"Falta Não Justificada"))</f>
        <v>0</v>
      </c>
      <c r="N63" s="72" t="n">
        <f aca="false">IF($I63="",0,COUNTIFS($D$8:$D$1007,$I63,$E$8:$E$1007,"Lesionado")+COUNTIFS($D$8:$D$1007,$I63,$E$8:$E$1007,"Departamento Médico"))</f>
        <v>0</v>
      </c>
      <c r="O63" s="72" t="n">
        <f aca="false">IF($I63="",0,SUMIFS($F$8:$F$1007,$D$8:$D$1007,$I63))</f>
        <v>0</v>
      </c>
      <c r="P63" s="74" t="str">
        <f aca="false">IF($I63="","",IF($J63=0,"Sem registro",IF($L63&gt;=0.9,"Excelente",IF($L63&gt;=0.75,"Regular","Baixa assiduidade"))))</f>
        <v/>
      </c>
    </row>
    <row r="64" customFormat="false" ht="15" hidden="false" customHeight="false" outlineLevel="0" collapsed="false">
      <c r="A64" s="21"/>
      <c r="B64" s="33" t="n">
        <f aca="false">IF($A64="",0,INT(($A64-Macrociclo!$C$11)/7)+1)</f>
        <v>0</v>
      </c>
      <c r="C64" s="20"/>
      <c r="D64" s="20"/>
      <c r="E64" s="22"/>
      <c r="F64" s="22"/>
      <c r="G64" s="20"/>
      <c r="I64" s="68" t="str">
        <f aca="false">IF(Cadastro!$B63="","",Cadastro!$B63)</f>
        <v/>
      </c>
      <c r="J64" s="69" t="n">
        <f aca="false">IF($I64="",0,COUNTIFS($D$8:$D$1007,$I64))</f>
        <v>0</v>
      </c>
      <c r="K64" s="69" t="n">
        <f aca="false">IF($I64="",0,COUNTIFS($D$8:$D$1007,$I64,$E$8:$E$1007,"Presente"))</f>
        <v>0</v>
      </c>
      <c r="L64" s="49" t="n">
        <f aca="false">IF($J64=0,0,$K64/$J64)</f>
        <v>0</v>
      </c>
      <c r="M64" s="69" t="n">
        <f aca="false">IF($I64="",0,COUNTIFS($D$8:$D$1007,$I64,$E$8:$E$1007,"Falta Justificada")+COUNTIFS($D$8:$D$1007,$I64,$E$8:$E$1007,"Falta Não Justificada"))</f>
        <v>0</v>
      </c>
      <c r="N64" s="69" t="n">
        <f aca="false">IF($I64="",0,COUNTIFS($D$8:$D$1007,$I64,$E$8:$E$1007,"Lesionado")+COUNTIFS($D$8:$D$1007,$I64,$E$8:$E$1007,"Departamento Médico"))</f>
        <v>0</v>
      </c>
      <c r="O64" s="69" t="n">
        <f aca="false">IF($I64="",0,SUMIFS($F$8:$F$1007,$D$8:$D$1007,$I64))</f>
        <v>0</v>
      </c>
      <c r="P64" s="70" t="str">
        <f aca="false">IF($I64="","",IF($J64=0,"Sem registro",IF($L64&gt;=0.9,"Excelente",IF($L64&gt;=0.75,"Regular","Baixa assiduidade"))))</f>
        <v/>
      </c>
    </row>
    <row r="65" customFormat="false" ht="15" hidden="false" customHeight="false" outlineLevel="0" collapsed="false">
      <c r="A65" s="21"/>
      <c r="B65" s="33" t="n">
        <f aca="false">IF($A65="",0,INT(($A65-Macrociclo!$C$11)/7)+1)</f>
        <v>0</v>
      </c>
      <c r="C65" s="20"/>
      <c r="D65" s="20"/>
      <c r="E65" s="22"/>
      <c r="F65" s="22"/>
      <c r="G65" s="20"/>
      <c r="I65" s="71" t="str">
        <f aca="false">IF(Cadastro!$B64="","",Cadastro!$B64)</f>
        <v/>
      </c>
      <c r="J65" s="72" t="n">
        <f aca="false">IF($I65="",0,COUNTIFS($D$8:$D$1007,$I65))</f>
        <v>0</v>
      </c>
      <c r="K65" s="72" t="n">
        <f aca="false">IF($I65="",0,COUNTIFS($D$8:$D$1007,$I65,$E$8:$E$1007,"Presente"))</f>
        <v>0</v>
      </c>
      <c r="L65" s="73" t="n">
        <f aca="false">IF($J65=0,0,$K65/$J65)</f>
        <v>0</v>
      </c>
      <c r="M65" s="72" t="n">
        <f aca="false">IF($I65="",0,COUNTIFS($D$8:$D$1007,$I65,$E$8:$E$1007,"Falta Justificada")+COUNTIFS($D$8:$D$1007,$I65,$E$8:$E$1007,"Falta Não Justificada"))</f>
        <v>0</v>
      </c>
      <c r="N65" s="72" t="n">
        <f aca="false">IF($I65="",0,COUNTIFS($D$8:$D$1007,$I65,$E$8:$E$1007,"Lesionado")+COUNTIFS($D$8:$D$1007,$I65,$E$8:$E$1007,"Departamento Médico"))</f>
        <v>0</v>
      </c>
      <c r="O65" s="72" t="n">
        <f aca="false">IF($I65="",0,SUMIFS($F$8:$F$1007,$D$8:$D$1007,$I65))</f>
        <v>0</v>
      </c>
      <c r="P65" s="74" t="str">
        <f aca="false">IF($I65="","",IF($J65=0,"Sem registro",IF($L65&gt;=0.9,"Excelente",IF($L65&gt;=0.75,"Regular","Baixa assiduidade"))))</f>
        <v/>
      </c>
    </row>
    <row r="66" customFormat="false" ht="15" hidden="false" customHeight="false" outlineLevel="0" collapsed="false">
      <c r="A66" s="21"/>
      <c r="B66" s="33" t="n">
        <f aca="false">IF($A66="",0,INT(($A66-Macrociclo!$C$11)/7)+1)</f>
        <v>0</v>
      </c>
      <c r="C66" s="20"/>
      <c r="D66" s="20"/>
      <c r="E66" s="22"/>
      <c r="F66" s="22"/>
      <c r="G66" s="20"/>
      <c r="I66" s="68" t="str">
        <f aca="false">IF(Cadastro!$B65="","",Cadastro!$B65)</f>
        <v/>
      </c>
      <c r="J66" s="69" t="n">
        <f aca="false">IF($I66="",0,COUNTIFS($D$8:$D$1007,$I66))</f>
        <v>0</v>
      </c>
      <c r="K66" s="69" t="n">
        <f aca="false">IF($I66="",0,COUNTIFS($D$8:$D$1007,$I66,$E$8:$E$1007,"Presente"))</f>
        <v>0</v>
      </c>
      <c r="L66" s="49" t="n">
        <f aca="false">IF($J66=0,0,$K66/$J66)</f>
        <v>0</v>
      </c>
      <c r="M66" s="69" t="n">
        <f aca="false">IF($I66="",0,COUNTIFS($D$8:$D$1007,$I66,$E$8:$E$1007,"Falta Justificada")+COUNTIFS($D$8:$D$1007,$I66,$E$8:$E$1007,"Falta Não Justificada"))</f>
        <v>0</v>
      </c>
      <c r="N66" s="69" t="n">
        <f aca="false">IF($I66="",0,COUNTIFS($D$8:$D$1007,$I66,$E$8:$E$1007,"Lesionado")+COUNTIFS($D$8:$D$1007,$I66,$E$8:$E$1007,"Departamento Médico"))</f>
        <v>0</v>
      </c>
      <c r="O66" s="69" t="n">
        <f aca="false">IF($I66="",0,SUMIFS($F$8:$F$1007,$D$8:$D$1007,$I66))</f>
        <v>0</v>
      </c>
      <c r="P66" s="70" t="str">
        <f aca="false">IF($I66="","",IF($J66=0,"Sem registro",IF($L66&gt;=0.9,"Excelente",IF($L66&gt;=0.75,"Regular","Baixa assiduidade"))))</f>
        <v/>
      </c>
    </row>
    <row r="67" customFormat="false" ht="15" hidden="false" customHeight="false" outlineLevel="0" collapsed="false">
      <c r="A67" s="21"/>
      <c r="B67" s="33" t="n">
        <f aca="false">IF($A67="",0,INT(($A67-Macrociclo!$C$11)/7)+1)</f>
        <v>0</v>
      </c>
      <c r="C67" s="20"/>
      <c r="D67" s="20"/>
      <c r="E67" s="22"/>
      <c r="F67" s="22"/>
      <c r="G67" s="20"/>
      <c r="I67" s="71" t="str">
        <f aca="false">IF(Cadastro!$B66="","",Cadastro!$B66)</f>
        <v/>
      </c>
      <c r="J67" s="72" t="n">
        <f aca="false">IF($I67="",0,COUNTIFS($D$8:$D$1007,$I67))</f>
        <v>0</v>
      </c>
      <c r="K67" s="72" t="n">
        <f aca="false">IF($I67="",0,COUNTIFS($D$8:$D$1007,$I67,$E$8:$E$1007,"Presente"))</f>
        <v>0</v>
      </c>
      <c r="L67" s="73" t="n">
        <f aca="false">IF($J67=0,0,$K67/$J67)</f>
        <v>0</v>
      </c>
      <c r="M67" s="72" t="n">
        <f aca="false">IF($I67="",0,COUNTIFS($D$8:$D$1007,$I67,$E$8:$E$1007,"Falta Justificada")+COUNTIFS($D$8:$D$1007,$I67,$E$8:$E$1007,"Falta Não Justificada"))</f>
        <v>0</v>
      </c>
      <c r="N67" s="72" t="n">
        <f aca="false">IF($I67="",0,COUNTIFS($D$8:$D$1007,$I67,$E$8:$E$1007,"Lesionado")+COUNTIFS($D$8:$D$1007,$I67,$E$8:$E$1007,"Departamento Médico"))</f>
        <v>0</v>
      </c>
      <c r="O67" s="72" t="n">
        <f aca="false">IF($I67="",0,SUMIFS($F$8:$F$1007,$D$8:$D$1007,$I67))</f>
        <v>0</v>
      </c>
      <c r="P67" s="74" t="str">
        <f aca="false">IF($I67="","",IF($J67=0,"Sem registro",IF($L67&gt;=0.9,"Excelente",IF($L67&gt;=0.75,"Regular","Baixa assiduidade"))))</f>
        <v/>
      </c>
    </row>
    <row r="68" customFormat="false" ht="15" hidden="false" customHeight="false" outlineLevel="0" collapsed="false">
      <c r="A68" s="21"/>
      <c r="B68" s="33" t="n">
        <f aca="false">IF($A68="",0,INT(($A68-Macrociclo!$C$11)/7)+1)</f>
        <v>0</v>
      </c>
      <c r="C68" s="20"/>
      <c r="D68" s="20"/>
      <c r="E68" s="22"/>
      <c r="F68" s="22"/>
      <c r="G68" s="20"/>
    </row>
    <row r="69" customFormat="false" ht="15" hidden="false" customHeight="false" outlineLevel="0" collapsed="false">
      <c r="A69" s="21"/>
      <c r="B69" s="33" t="n">
        <f aca="false">IF($A69="",0,INT(($A69-Macrociclo!$C$11)/7)+1)</f>
        <v>0</v>
      </c>
      <c r="C69" s="20"/>
      <c r="D69" s="20"/>
      <c r="E69" s="22"/>
      <c r="F69" s="22"/>
      <c r="G69" s="20"/>
    </row>
    <row r="70" customFormat="false" ht="15" hidden="false" customHeight="false" outlineLevel="0" collapsed="false">
      <c r="A70" s="21"/>
      <c r="B70" s="33" t="n">
        <f aca="false">IF($A70="",0,INT(($A70-Macrociclo!$C$11)/7)+1)</f>
        <v>0</v>
      </c>
      <c r="C70" s="20"/>
      <c r="D70" s="20"/>
      <c r="E70" s="22"/>
      <c r="F70" s="22"/>
      <c r="G70" s="20"/>
    </row>
    <row r="71" customFormat="false" ht="15" hidden="false" customHeight="false" outlineLevel="0" collapsed="false">
      <c r="A71" s="21"/>
      <c r="B71" s="33" t="n">
        <f aca="false">IF($A71="",0,INT(($A71-Macrociclo!$C$11)/7)+1)</f>
        <v>0</v>
      </c>
      <c r="C71" s="20"/>
      <c r="D71" s="20"/>
      <c r="E71" s="22"/>
      <c r="F71" s="22"/>
      <c r="G71" s="20"/>
    </row>
    <row r="72" customFormat="false" ht="15" hidden="false" customHeight="false" outlineLevel="0" collapsed="false">
      <c r="A72" s="21"/>
      <c r="B72" s="33" t="n">
        <f aca="false">IF($A72="",0,INT(($A72-Macrociclo!$C$11)/7)+1)</f>
        <v>0</v>
      </c>
      <c r="C72" s="20"/>
      <c r="D72" s="20"/>
      <c r="E72" s="22"/>
      <c r="F72" s="22"/>
      <c r="G72" s="20"/>
    </row>
    <row r="73" customFormat="false" ht="15" hidden="false" customHeight="false" outlineLevel="0" collapsed="false">
      <c r="A73" s="21"/>
      <c r="B73" s="33" t="n">
        <f aca="false">IF($A73="",0,INT(($A73-Macrociclo!$C$11)/7)+1)</f>
        <v>0</v>
      </c>
      <c r="C73" s="20"/>
      <c r="D73" s="20"/>
      <c r="E73" s="22"/>
      <c r="F73" s="22"/>
      <c r="G73" s="20"/>
    </row>
    <row r="74" customFormat="false" ht="15" hidden="false" customHeight="false" outlineLevel="0" collapsed="false">
      <c r="A74" s="21"/>
      <c r="B74" s="33" t="n">
        <f aca="false">IF($A74="",0,INT(($A74-Macrociclo!$C$11)/7)+1)</f>
        <v>0</v>
      </c>
      <c r="C74" s="20"/>
      <c r="D74" s="20"/>
      <c r="E74" s="22"/>
      <c r="F74" s="22"/>
      <c r="G74" s="20"/>
    </row>
    <row r="75" customFormat="false" ht="15" hidden="false" customHeight="false" outlineLevel="0" collapsed="false">
      <c r="A75" s="21"/>
      <c r="B75" s="33" t="n">
        <f aca="false">IF($A75="",0,INT(($A75-Macrociclo!$C$11)/7)+1)</f>
        <v>0</v>
      </c>
      <c r="C75" s="20"/>
      <c r="D75" s="20"/>
      <c r="E75" s="22"/>
      <c r="F75" s="22"/>
      <c r="G75" s="20"/>
    </row>
    <row r="76" customFormat="false" ht="15" hidden="false" customHeight="false" outlineLevel="0" collapsed="false">
      <c r="A76" s="21"/>
      <c r="B76" s="33" t="n">
        <f aca="false">IF($A76="",0,INT(($A76-Macrociclo!$C$11)/7)+1)</f>
        <v>0</v>
      </c>
      <c r="C76" s="20"/>
      <c r="D76" s="20"/>
      <c r="E76" s="22"/>
      <c r="F76" s="22"/>
      <c r="G76" s="20"/>
    </row>
    <row r="77" customFormat="false" ht="15" hidden="false" customHeight="false" outlineLevel="0" collapsed="false">
      <c r="A77" s="21"/>
      <c r="B77" s="33" t="n">
        <f aca="false">IF($A77="",0,INT(($A77-Macrociclo!$C$11)/7)+1)</f>
        <v>0</v>
      </c>
      <c r="C77" s="20"/>
      <c r="D77" s="20"/>
      <c r="E77" s="22"/>
      <c r="F77" s="22"/>
      <c r="G77" s="20"/>
    </row>
    <row r="78" customFormat="false" ht="15" hidden="false" customHeight="false" outlineLevel="0" collapsed="false">
      <c r="A78" s="21"/>
      <c r="B78" s="33" t="n">
        <f aca="false">IF($A78="",0,INT(($A78-Macrociclo!$C$11)/7)+1)</f>
        <v>0</v>
      </c>
      <c r="C78" s="20"/>
      <c r="D78" s="20"/>
      <c r="E78" s="22"/>
      <c r="F78" s="22"/>
      <c r="G78" s="20"/>
    </row>
    <row r="79" customFormat="false" ht="15" hidden="false" customHeight="false" outlineLevel="0" collapsed="false">
      <c r="A79" s="21"/>
      <c r="B79" s="33" t="n">
        <f aca="false">IF($A79="",0,INT(($A79-Macrociclo!$C$11)/7)+1)</f>
        <v>0</v>
      </c>
      <c r="C79" s="20"/>
      <c r="D79" s="20"/>
      <c r="E79" s="22"/>
      <c r="F79" s="22"/>
      <c r="G79" s="20"/>
    </row>
    <row r="80" customFormat="false" ht="15" hidden="false" customHeight="false" outlineLevel="0" collapsed="false">
      <c r="A80" s="21"/>
      <c r="B80" s="33" t="n">
        <f aca="false">IF($A80="",0,INT(($A80-Macrociclo!$C$11)/7)+1)</f>
        <v>0</v>
      </c>
      <c r="C80" s="20"/>
      <c r="D80" s="20"/>
      <c r="E80" s="22"/>
      <c r="F80" s="22"/>
      <c r="G80" s="20"/>
    </row>
    <row r="81" customFormat="false" ht="15" hidden="false" customHeight="false" outlineLevel="0" collapsed="false">
      <c r="A81" s="21"/>
      <c r="B81" s="33" t="n">
        <f aca="false">IF($A81="",0,INT(($A81-Macrociclo!$C$11)/7)+1)</f>
        <v>0</v>
      </c>
      <c r="C81" s="20"/>
      <c r="D81" s="20"/>
      <c r="E81" s="22"/>
      <c r="F81" s="22"/>
      <c r="G81" s="20"/>
    </row>
    <row r="82" customFormat="false" ht="15" hidden="false" customHeight="false" outlineLevel="0" collapsed="false">
      <c r="A82" s="21"/>
      <c r="B82" s="33" t="n">
        <f aca="false">IF($A82="",0,INT(($A82-Macrociclo!$C$11)/7)+1)</f>
        <v>0</v>
      </c>
      <c r="C82" s="20"/>
      <c r="D82" s="20"/>
      <c r="E82" s="22"/>
      <c r="F82" s="22"/>
      <c r="G82" s="20"/>
    </row>
    <row r="83" customFormat="false" ht="15" hidden="false" customHeight="false" outlineLevel="0" collapsed="false">
      <c r="A83" s="21"/>
      <c r="B83" s="33" t="n">
        <f aca="false">IF($A83="",0,INT(($A83-Macrociclo!$C$11)/7)+1)</f>
        <v>0</v>
      </c>
      <c r="C83" s="20"/>
      <c r="D83" s="20"/>
      <c r="E83" s="22"/>
      <c r="F83" s="22"/>
      <c r="G83" s="20"/>
    </row>
    <row r="84" customFormat="false" ht="15" hidden="false" customHeight="false" outlineLevel="0" collapsed="false">
      <c r="A84" s="21"/>
      <c r="B84" s="33" t="n">
        <f aca="false">IF($A84="",0,INT(($A84-Macrociclo!$C$11)/7)+1)</f>
        <v>0</v>
      </c>
      <c r="C84" s="20"/>
      <c r="D84" s="20"/>
      <c r="E84" s="22"/>
      <c r="F84" s="22"/>
      <c r="G84" s="20"/>
    </row>
    <row r="85" customFormat="false" ht="15" hidden="false" customHeight="false" outlineLevel="0" collapsed="false">
      <c r="A85" s="21"/>
      <c r="B85" s="33" t="n">
        <f aca="false">IF($A85="",0,INT(($A85-Macrociclo!$C$11)/7)+1)</f>
        <v>0</v>
      </c>
      <c r="C85" s="20"/>
      <c r="D85" s="20"/>
      <c r="E85" s="22"/>
      <c r="F85" s="22"/>
      <c r="G85" s="20"/>
    </row>
    <row r="86" customFormat="false" ht="15" hidden="false" customHeight="false" outlineLevel="0" collapsed="false">
      <c r="A86" s="21"/>
      <c r="B86" s="33" t="n">
        <f aca="false">IF($A86="",0,INT(($A86-Macrociclo!$C$11)/7)+1)</f>
        <v>0</v>
      </c>
      <c r="C86" s="20"/>
      <c r="D86" s="20"/>
      <c r="E86" s="22"/>
      <c r="F86" s="22"/>
      <c r="G86" s="20"/>
    </row>
    <row r="87" customFormat="false" ht="15" hidden="false" customHeight="false" outlineLevel="0" collapsed="false">
      <c r="A87" s="21"/>
      <c r="B87" s="33" t="n">
        <f aca="false">IF($A87="",0,INT(($A87-Macrociclo!$C$11)/7)+1)</f>
        <v>0</v>
      </c>
      <c r="C87" s="20"/>
      <c r="D87" s="20"/>
      <c r="E87" s="22"/>
      <c r="F87" s="22"/>
      <c r="G87" s="20"/>
    </row>
    <row r="88" customFormat="false" ht="15" hidden="false" customHeight="false" outlineLevel="0" collapsed="false">
      <c r="A88" s="21"/>
      <c r="B88" s="33" t="n">
        <f aca="false">IF($A88="",0,INT(($A88-Macrociclo!$C$11)/7)+1)</f>
        <v>0</v>
      </c>
      <c r="C88" s="20"/>
      <c r="D88" s="20"/>
      <c r="E88" s="22"/>
      <c r="F88" s="22"/>
      <c r="G88" s="20"/>
    </row>
    <row r="89" customFormat="false" ht="15" hidden="false" customHeight="false" outlineLevel="0" collapsed="false">
      <c r="A89" s="21"/>
      <c r="B89" s="33" t="n">
        <f aca="false">IF($A89="",0,INT(($A89-Macrociclo!$C$11)/7)+1)</f>
        <v>0</v>
      </c>
      <c r="C89" s="20"/>
      <c r="D89" s="20"/>
      <c r="E89" s="22"/>
      <c r="F89" s="22"/>
      <c r="G89" s="20"/>
    </row>
    <row r="90" customFormat="false" ht="15" hidden="false" customHeight="false" outlineLevel="0" collapsed="false">
      <c r="A90" s="21"/>
      <c r="B90" s="33" t="n">
        <f aca="false">IF($A90="",0,INT(($A90-Macrociclo!$C$11)/7)+1)</f>
        <v>0</v>
      </c>
      <c r="C90" s="20"/>
      <c r="D90" s="20"/>
      <c r="E90" s="22"/>
      <c r="F90" s="22"/>
      <c r="G90" s="20"/>
    </row>
    <row r="91" customFormat="false" ht="15" hidden="false" customHeight="false" outlineLevel="0" collapsed="false">
      <c r="A91" s="21"/>
      <c r="B91" s="33" t="n">
        <f aca="false">IF($A91="",0,INT(($A91-Macrociclo!$C$11)/7)+1)</f>
        <v>0</v>
      </c>
      <c r="C91" s="20"/>
      <c r="D91" s="20"/>
      <c r="E91" s="22"/>
      <c r="F91" s="22"/>
      <c r="G91" s="20"/>
    </row>
    <row r="92" customFormat="false" ht="15" hidden="false" customHeight="false" outlineLevel="0" collapsed="false">
      <c r="A92" s="21"/>
      <c r="B92" s="33" t="n">
        <f aca="false">IF($A92="",0,INT(($A92-Macrociclo!$C$11)/7)+1)</f>
        <v>0</v>
      </c>
      <c r="C92" s="20"/>
      <c r="D92" s="20"/>
      <c r="E92" s="22"/>
      <c r="F92" s="22"/>
      <c r="G92" s="20"/>
    </row>
    <row r="93" customFormat="false" ht="15" hidden="false" customHeight="false" outlineLevel="0" collapsed="false">
      <c r="A93" s="21"/>
      <c r="B93" s="33" t="n">
        <f aca="false">IF($A93="",0,INT(($A93-Macrociclo!$C$11)/7)+1)</f>
        <v>0</v>
      </c>
      <c r="C93" s="20"/>
      <c r="D93" s="20"/>
      <c r="E93" s="22"/>
      <c r="F93" s="22"/>
      <c r="G93" s="20"/>
    </row>
    <row r="94" customFormat="false" ht="15" hidden="false" customHeight="false" outlineLevel="0" collapsed="false">
      <c r="A94" s="21"/>
      <c r="B94" s="33" t="n">
        <f aca="false">IF($A94="",0,INT(($A94-Macrociclo!$C$11)/7)+1)</f>
        <v>0</v>
      </c>
      <c r="C94" s="20"/>
      <c r="D94" s="20"/>
      <c r="E94" s="22"/>
      <c r="F94" s="22"/>
      <c r="G94" s="20"/>
    </row>
    <row r="95" customFormat="false" ht="15" hidden="false" customHeight="false" outlineLevel="0" collapsed="false">
      <c r="A95" s="21"/>
      <c r="B95" s="33" t="n">
        <f aca="false">IF($A95="",0,INT(($A95-Macrociclo!$C$11)/7)+1)</f>
        <v>0</v>
      </c>
      <c r="C95" s="20"/>
      <c r="D95" s="20"/>
      <c r="E95" s="22"/>
      <c r="F95" s="22"/>
      <c r="G95" s="20"/>
    </row>
    <row r="96" customFormat="false" ht="15" hidden="false" customHeight="false" outlineLevel="0" collapsed="false">
      <c r="A96" s="21"/>
      <c r="B96" s="33" t="n">
        <f aca="false">IF($A96="",0,INT(($A96-Macrociclo!$C$11)/7)+1)</f>
        <v>0</v>
      </c>
      <c r="C96" s="20"/>
      <c r="D96" s="20"/>
      <c r="E96" s="22"/>
      <c r="F96" s="22"/>
      <c r="G96" s="20"/>
    </row>
    <row r="97" customFormat="false" ht="15" hidden="false" customHeight="false" outlineLevel="0" collapsed="false">
      <c r="A97" s="21"/>
      <c r="B97" s="33" t="n">
        <f aca="false">IF($A97="",0,INT(($A97-Macrociclo!$C$11)/7)+1)</f>
        <v>0</v>
      </c>
      <c r="C97" s="20"/>
      <c r="D97" s="20"/>
      <c r="E97" s="22"/>
      <c r="F97" s="22"/>
      <c r="G97" s="20"/>
    </row>
    <row r="98" customFormat="false" ht="15" hidden="false" customHeight="false" outlineLevel="0" collapsed="false">
      <c r="A98" s="21"/>
      <c r="B98" s="33" t="n">
        <f aca="false">IF($A98="",0,INT(($A98-Macrociclo!$C$11)/7)+1)</f>
        <v>0</v>
      </c>
      <c r="C98" s="20"/>
      <c r="D98" s="20"/>
      <c r="E98" s="22"/>
      <c r="F98" s="22"/>
      <c r="G98" s="20"/>
    </row>
    <row r="99" customFormat="false" ht="15" hidden="false" customHeight="false" outlineLevel="0" collapsed="false">
      <c r="A99" s="21"/>
      <c r="B99" s="33" t="n">
        <f aca="false">IF($A99="",0,INT(($A99-Macrociclo!$C$11)/7)+1)</f>
        <v>0</v>
      </c>
      <c r="C99" s="20"/>
      <c r="D99" s="20"/>
      <c r="E99" s="22"/>
      <c r="F99" s="22"/>
      <c r="G99" s="20"/>
    </row>
    <row r="100" customFormat="false" ht="15" hidden="false" customHeight="false" outlineLevel="0" collapsed="false">
      <c r="A100" s="21"/>
      <c r="B100" s="33" t="n">
        <f aca="false">IF($A100="",0,INT(($A100-Macrociclo!$C$11)/7)+1)</f>
        <v>0</v>
      </c>
      <c r="C100" s="20"/>
      <c r="D100" s="20"/>
      <c r="E100" s="22"/>
      <c r="F100" s="22"/>
      <c r="G100" s="20"/>
    </row>
    <row r="101" customFormat="false" ht="15" hidden="false" customHeight="false" outlineLevel="0" collapsed="false">
      <c r="A101" s="21"/>
      <c r="B101" s="33" t="n">
        <f aca="false">IF($A101="",0,INT(($A101-Macrociclo!$C$11)/7)+1)</f>
        <v>0</v>
      </c>
      <c r="C101" s="20"/>
      <c r="D101" s="20"/>
      <c r="E101" s="22"/>
      <c r="F101" s="22"/>
      <c r="G101" s="20"/>
    </row>
    <row r="102" customFormat="false" ht="15" hidden="false" customHeight="false" outlineLevel="0" collapsed="false">
      <c r="A102" s="21"/>
      <c r="B102" s="33" t="n">
        <f aca="false">IF($A102="",0,INT(($A102-Macrociclo!$C$11)/7)+1)</f>
        <v>0</v>
      </c>
      <c r="C102" s="20"/>
      <c r="D102" s="20"/>
      <c r="E102" s="22"/>
      <c r="F102" s="22"/>
      <c r="G102" s="20"/>
    </row>
    <row r="103" customFormat="false" ht="15" hidden="false" customHeight="false" outlineLevel="0" collapsed="false">
      <c r="A103" s="21"/>
      <c r="B103" s="33" t="n">
        <f aca="false">IF($A103="",0,INT(($A103-Macrociclo!$C$11)/7)+1)</f>
        <v>0</v>
      </c>
      <c r="C103" s="20"/>
      <c r="D103" s="20"/>
      <c r="E103" s="22"/>
      <c r="F103" s="22"/>
      <c r="G103" s="20"/>
    </row>
    <row r="104" customFormat="false" ht="15" hidden="false" customHeight="false" outlineLevel="0" collapsed="false">
      <c r="A104" s="21"/>
      <c r="B104" s="33" t="n">
        <f aca="false">IF($A104="",0,INT(($A104-Macrociclo!$C$11)/7)+1)</f>
        <v>0</v>
      </c>
      <c r="C104" s="20"/>
      <c r="D104" s="20"/>
      <c r="E104" s="22"/>
      <c r="F104" s="22"/>
      <c r="G104" s="20"/>
    </row>
    <row r="105" customFormat="false" ht="15" hidden="false" customHeight="false" outlineLevel="0" collapsed="false">
      <c r="A105" s="21"/>
      <c r="B105" s="33" t="n">
        <f aca="false">IF($A105="",0,INT(($A105-Macrociclo!$C$11)/7)+1)</f>
        <v>0</v>
      </c>
      <c r="C105" s="20"/>
      <c r="D105" s="20"/>
      <c r="E105" s="22"/>
      <c r="F105" s="22"/>
      <c r="G105" s="20"/>
    </row>
    <row r="106" customFormat="false" ht="15" hidden="false" customHeight="false" outlineLevel="0" collapsed="false">
      <c r="A106" s="21"/>
      <c r="B106" s="33" t="n">
        <f aca="false">IF($A106="",0,INT(($A106-Macrociclo!$C$11)/7)+1)</f>
        <v>0</v>
      </c>
      <c r="C106" s="20"/>
      <c r="D106" s="20"/>
      <c r="E106" s="22"/>
      <c r="F106" s="22"/>
      <c r="G106" s="20"/>
    </row>
    <row r="107" customFormat="false" ht="15" hidden="false" customHeight="false" outlineLevel="0" collapsed="false">
      <c r="A107" s="21"/>
      <c r="B107" s="33" t="n">
        <f aca="false">IF($A107="",0,INT(($A107-Macrociclo!$C$11)/7)+1)</f>
        <v>0</v>
      </c>
      <c r="C107" s="20"/>
      <c r="D107" s="20"/>
      <c r="E107" s="22"/>
      <c r="F107" s="22"/>
      <c r="G107" s="20"/>
    </row>
    <row r="108" customFormat="false" ht="15" hidden="false" customHeight="false" outlineLevel="0" collapsed="false">
      <c r="A108" s="21"/>
      <c r="B108" s="33" t="n">
        <f aca="false">IF($A108="",0,INT(($A108-Macrociclo!$C$11)/7)+1)</f>
        <v>0</v>
      </c>
      <c r="C108" s="20"/>
      <c r="D108" s="20"/>
      <c r="E108" s="22"/>
      <c r="F108" s="22"/>
      <c r="G108" s="20"/>
    </row>
    <row r="109" customFormat="false" ht="15" hidden="false" customHeight="false" outlineLevel="0" collapsed="false">
      <c r="A109" s="21"/>
      <c r="B109" s="33" t="n">
        <f aca="false">IF($A109="",0,INT(($A109-Macrociclo!$C$11)/7)+1)</f>
        <v>0</v>
      </c>
      <c r="C109" s="20"/>
      <c r="D109" s="20"/>
      <c r="E109" s="22"/>
      <c r="F109" s="22"/>
      <c r="G109" s="20"/>
    </row>
    <row r="110" customFormat="false" ht="15" hidden="false" customHeight="false" outlineLevel="0" collapsed="false">
      <c r="A110" s="21"/>
      <c r="B110" s="33" t="n">
        <f aca="false">IF($A110="",0,INT(($A110-Macrociclo!$C$11)/7)+1)</f>
        <v>0</v>
      </c>
      <c r="C110" s="20"/>
      <c r="D110" s="20"/>
      <c r="E110" s="22"/>
      <c r="F110" s="22"/>
      <c r="G110" s="20"/>
    </row>
    <row r="111" customFormat="false" ht="15" hidden="false" customHeight="false" outlineLevel="0" collapsed="false">
      <c r="A111" s="21"/>
      <c r="B111" s="33" t="n">
        <f aca="false">IF($A111="",0,INT(($A111-Macrociclo!$C$11)/7)+1)</f>
        <v>0</v>
      </c>
      <c r="C111" s="20"/>
      <c r="D111" s="20"/>
      <c r="E111" s="22"/>
      <c r="F111" s="22"/>
      <c r="G111" s="20"/>
    </row>
    <row r="112" customFormat="false" ht="15" hidden="false" customHeight="false" outlineLevel="0" collapsed="false">
      <c r="A112" s="21"/>
      <c r="B112" s="33" t="n">
        <f aca="false">IF($A112="",0,INT(($A112-Macrociclo!$C$11)/7)+1)</f>
        <v>0</v>
      </c>
      <c r="C112" s="20"/>
      <c r="D112" s="20"/>
      <c r="E112" s="22"/>
      <c r="F112" s="22"/>
      <c r="G112" s="20"/>
    </row>
    <row r="113" customFormat="false" ht="15" hidden="false" customHeight="false" outlineLevel="0" collapsed="false">
      <c r="A113" s="21"/>
      <c r="B113" s="33" t="n">
        <f aca="false">IF($A113="",0,INT(($A113-Macrociclo!$C$11)/7)+1)</f>
        <v>0</v>
      </c>
      <c r="C113" s="20"/>
      <c r="D113" s="20"/>
      <c r="E113" s="22"/>
      <c r="F113" s="22"/>
      <c r="G113" s="20"/>
    </row>
    <row r="114" customFormat="false" ht="15" hidden="false" customHeight="false" outlineLevel="0" collapsed="false">
      <c r="A114" s="21"/>
      <c r="B114" s="33" t="n">
        <f aca="false">IF($A114="",0,INT(($A114-Macrociclo!$C$11)/7)+1)</f>
        <v>0</v>
      </c>
      <c r="C114" s="20"/>
      <c r="D114" s="20"/>
      <c r="E114" s="22"/>
      <c r="F114" s="22"/>
      <c r="G114" s="20"/>
    </row>
    <row r="115" customFormat="false" ht="15" hidden="false" customHeight="false" outlineLevel="0" collapsed="false">
      <c r="A115" s="21"/>
      <c r="B115" s="33" t="n">
        <f aca="false">IF($A115="",0,INT(($A115-Macrociclo!$C$11)/7)+1)</f>
        <v>0</v>
      </c>
      <c r="C115" s="20"/>
      <c r="D115" s="20"/>
      <c r="E115" s="22"/>
      <c r="F115" s="22"/>
      <c r="G115" s="20"/>
    </row>
    <row r="116" customFormat="false" ht="15" hidden="false" customHeight="false" outlineLevel="0" collapsed="false">
      <c r="A116" s="21"/>
      <c r="B116" s="33" t="n">
        <f aca="false">IF($A116="",0,INT(($A116-Macrociclo!$C$11)/7)+1)</f>
        <v>0</v>
      </c>
      <c r="C116" s="20"/>
      <c r="D116" s="20"/>
      <c r="E116" s="22"/>
      <c r="F116" s="22"/>
      <c r="G116" s="20"/>
    </row>
    <row r="117" customFormat="false" ht="15" hidden="false" customHeight="false" outlineLevel="0" collapsed="false">
      <c r="A117" s="21"/>
      <c r="B117" s="33" t="n">
        <f aca="false">IF($A117="",0,INT(($A117-Macrociclo!$C$11)/7)+1)</f>
        <v>0</v>
      </c>
      <c r="C117" s="20"/>
      <c r="D117" s="20"/>
      <c r="E117" s="22"/>
      <c r="F117" s="22"/>
      <c r="G117" s="20"/>
    </row>
    <row r="118" customFormat="false" ht="15" hidden="false" customHeight="false" outlineLevel="0" collapsed="false">
      <c r="A118" s="21"/>
      <c r="B118" s="33" t="n">
        <f aca="false">IF($A118="",0,INT(($A118-Macrociclo!$C$11)/7)+1)</f>
        <v>0</v>
      </c>
      <c r="C118" s="20"/>
      <c r="D118" s="20"/>
      <c r="E118" s="22"/>
      <c r="F118" s="22"/>
      <c r="G118" s="20"/>
    </row>
    <row r="119" customFormat="false" ht="15" hidden="false" customHeight="false" outlineLevel="0" collapsed="false">
      <c r="A119" s="21"/>
      <c r="B119" s="33" t="n">
        <f aca="false">IF($A119="",0,INT(($A119-Macrociclo!$C$11)/7)+1)</f>
        <v>0</v>
      </c>
      <c r="C119" s="20"/>
      <c r="D119" s="20"/>
      <c r="E119" s="22"/>
      <c r="F119" s="22"/>
      <c r="G119" s="20"/>
    </row>
    <row r="120" customFormat="false" ht="15" hidden="false" customHeight="false" outlineLevel="0" collapsed="false">
      <c r="A120" s="21"/>
      <c r="B120" s="33" t="n">
        <f aca="false">IF($A120="",0,INT(($A120-Macrociclo!$C$11)/7)+1)</f>
        <v>0</v>
      </c>
      <c r="C120" s="20"/>
      <c r="D120" s="20"/>
      <c r="E120" s="22"/>
      <c r="F120" s="22"/>
      <c r="G120" s="20"/>
    </row>
    <row r="121" customFormat="false" ht="15" hidden="false" customHeight="false" outlineLevel="0" collapsed="false">
      <c r="A121" s="21"/>
      <c r="B121" s="33" t="n">
        <f aca="false">IF($A121="",0,INT(($A121-Macrociclo!$C$11)/7)+1)</f>
        <v>0</v>
      </c>
      <c r="C121" s="20"/>
      <c r="D121" s="20"/>
      <c r="E121" s="22"/>
      <c r="F121" s="22"/>
      <c r="G121" s="20"/>
    </row>
    <row r="122" customFormat="false" ht="15" hidden="false" customHeight="false" outlineLevel="0" collapsed="false">
      <c r="A122" s="21"/>
      <c r="B122" s="33" t="n">
        <f aca="false">IF($A122="",0,INT(($A122-Macrociclo!$C$11)/7)+1)</f>
        <v>0</v>
      </c>
      <c r="C122" s="20"/>
      <c r="D122" s="20"/>
      <c r="E122" s="22"/>
      <c r="F122" s="22"/>
      <c r="G122" s="20"/>
    </row>
    <row r="123" customFormat="false" ht="15" hidden="false" customHeight="false" outlineLevel="0" collapsed="false">
      <c r="A123" s="21"/>
      <c r="B123" s="33" t="n">
        <f aca="false">IF($A123="",0,INT(($A123-Macrociclo!$C$11)/7)+1)</f>
        <v>0</v>
      </c>
      <c r="C123" s="20"/>
      <c r="D123" s="20"/>
      <c r="E123" s="22"/>
      <c r="F123" s="22"/>
      <c r="G123" s="20"/>
    </row>
    <row r="124" customFormat="false" ht="15" hidden="false" customHeight="false" outlineLevel="0" collapsed="false">
      <c r="A124" s="21"/>
      <c r="B124" s="33" t="n">
        <f aca="false">IF($A124="",0,INT(($A124-Macrociclo!$C$11)/7)+1)</f>
        <v>0</v>
      </c>
      <c r="C124" s="20"/>
      <c r="D124" s="20"/>
      <c r="E124" s="22"/>
      <c r="F124" s="22"/>
      <c r="G124" s="20"/>
    </row>
    <row r="125" customFormat="false" ht="15" hidden="false" customHeight="false" outlineLevel="0" collapsed="false">
      <c r="A125" s="21"/>
      <c r="B125" s="33" t="n">
        <f aca="false">IF($A125="",0,INT(($A125-Macrociclo!$C$11)/7)+1)</f>
        <v>0</v>
      </c>
      <c r="C125" s="20"/>
      <c r="D125" s="20"/>
      <c r="E125" s="22"/>
      <c r="F125" s="22"/>
      <c r="G125" s="20"/>
    </row>
    <row r="126" customFormat="false" ht="15" hidden="false" customHeight="false" outlineLevel="0" collapsed="false">
      <c r="A126" s="21"/>
      <c r="B126" s="33" t="n">
        <f aca="false">IF($A126="",0,INT(($A126-Macrociclo!$C$11)/7)+1)</f>
        <v>0</v>
      </c>
      <c r="C126" s="20"/>
      <c r="D126" s="20"/>
      <c r="E126" s="22"/>
      <c r="F126" s="22"/>
      <c r="G126" s="20"/>
    </row>
    <row r="127" customFormat="false" ht="15" hidden="false" customHeight="false" outlineLevel="0" collapsed="false">
      <c r="A127" s="21"/>
      <c r="B127" s="33" t="n">
        <f aca="false">IF($A127="",0,INT(($A127-Macrociclo!$C$11)/7)+1)</f>
        <v>0</v>
      </c>
      <c r="C127" s="20"/>
      <c r="D127" s="20"/>
      <c r="E127" s="22"/>
      <c r="F127" s="22"/>
      <c r="G127" s="20"/>
    </row>
    <row r="128" customFormat="false" ht="15" hidden="false" customHeight="false" outlineLevel="0" collapsed="false">
      <c r="A128" s="21"/>
      <c r="B128" s="33" t="n">
        <f aca="false">IF($A128="",0,INT(($A128-Macrociclo!$C$11)/7)+1)</f>
        <v>0</v>
      </c>
      <c r="C128" s="20"/>
      <c r="D128" s="20"/>
      <c r="E128" s="22"/>
      <c r="F128" s="22"/>
      <c r="G128" s="20"/>
    </row>
    <row r="129" customFormat="false" ht="15" hidden="false" customHeight="false" outlineLevel="0" collapsed="false">
      <c r="A129" s="21"/>
      <c r="B129" s="33" t="n">
        <f aca="false">IF($A129="",0,INT(($A129-Macrociclo!$C$11)/7)+1)</f>
        <v>0</v>
      </c>
      <c r="C129" s="20"/>
      <c r="D129" s="20"/>
      <c r="E129" s="22"/>
      <c r="F129" s="22"/>
      <c r="G129" s="20"/>
    </row>
    <row r="130" customFormat="false" ht="15" hidden="false" customHeight="false" outlineLevel="0" collapsed="false">
      <c r="A130" s="21"/>
      <c r="B130" s="33" t="n">
        <f aca="false">IF($A130="",0,INT(($A130-Macrociclo!$C$11)/7)+1)</f>
        <v>0</v>
      </c>
      <c r="C130" s="20"/>
      <c r="D130" s="20"/>
      <c r="E130" s="22"/>
      <c r="F130" s="22"/>
      <c r="G130" s="20"/>
    </row>
    <row r="131" customFormat="false" ht="15" hidden="false" customHeight="false" outlineLevel="0" collapsed="false">
      <c r="A131" s="21"/>
      <c r="B131" s="33" t="n">
        <f aca="false">IF($A131="",0,INT(($A131-Macrociclo!$C$11)/7)+1)</f>
        <v>0</v>
      </c>
      <c r="C131" s="20"/>
      <c r="D131" s="20"/>
      <c r="E131" s="22"/>
      <c r="F131" s="22"/>
      <c r="G131" s="20"/>
    </row>
    <row r="132" customFormat="false" ht="15" hidden="false" customHeight="false" outlineLevel="0" collapsed="false">
      <c r="A132" s="21"/>
      <c r="B132" s="33" t="n">
        <f aca="false">IF($A132="",0,INT(($A132-Macrociclo!$C$11)/7)+1)</f>
        <v>0</v>
      </c>
      <c r="C132" s="20"/>
      <c r="D132" s="20"/>
      <c r="E132" s="22"/>
      <c r="F132" s="22"/>
      <c r="G132" s="20"/>
    </row>
    <row r="133" customFormat="false" ht="15" hidden="false" customHeight="false" outlineLevel="0" collapsed="false">
      <c r="A133" s="21"/>
      <c r="B133" s="33" t="n">
        <f aca="false">IF($A133="",0,INT(($A133-Macrociclo!$C$11)/7)+1)</f>
        <v>0</v>
      </c>
      <c r="C133" s="20"/>
      <c r="D133" s="20"/>
      <c r="E133" s="22"/>
      <c r="F133" s="22"/>
      <c r="G133" s="20"/>
    </row>
    <row r="134" customFormat="false" ht="15" hidden="false" customHeight="false" outlineLevel="0" collapsed="false">
      <c r="A134" s="21"/>
      <c r="B134" s="33" t="n">
        <f aca="false">IF($A134="",0,INT(($A134-Macrociclo!$C$11)/7)+1)</f>
        <v>0</v>
      </c>
      <c r="C134" s="20"/>
      <c r="D134" s="20"/>
      <c r="E134" s="22"/>
      <c r="F134" s="22"/>
      <c r="G134" s="20"/>
    </row>
    <row r="135" customFormat="false" ht="15" hidden="false" customHeight="false" outlineLevel="0" collapsed="false">
      <c r="A135" s="21"/>
      <c r="B135" s="33" t="n">
        <f aca="false">IF($A135="",0,INT(($A135-Macrociclo!$C$11)/7)+1)</f>
        <v>0</v>
      </c>
      <c r="C135" s="20"/>
      <c r="D135" s="20"/>
      <c r="E135" s="22"/>
      <c r="F135" s="22"/>
      <c r="G135" s="20"/>
    </row>
    <row r="136" customFormat="false" ht="15" hidden="false" customHeight="false" outlineLevel="0" collapsed="false">
      <c r="A136" s="21"/>
      <c r="B136" s="33" t="n">
        <f aca="false">IF($A136="",0,INT(($A136-Macrociclo!$C$11)/7)+1)</f>
        <v>0</v>
      </c>
      <c r="C136" s="20"/>
      <c r="D136" s="20"/>
      <c r="E136" s="22"/>
      <c r="F136" s="22"/>
      <c r="G136" s="20"/>
    </row>
    <row r="137" customFormat="false" ht="15" hidden="false" customHeight="false" outlineLevel="0" collapsed="false">
      <c r="A137" s="21"/>
      <c r="B137" s="33" t="n">
        <f aca="false">IF($A137="",0,INT(($A137-Macrociclo!$C$11)/7)+1)</f>
        <v>0</v>
      </c>
      <c r="C137" s="20"/>
      <c r="D137" s="20"/>
      <c r="E137" s="22"/>
      <c r="F137" s="22"/>
      <c r="G137" s="20"/>
    </row>
    <row r="138" customFormat="false" ht="15" hidden="false" customHeight="false" outlineLevel="0" collapsed="false">
      <c r="A138" s="21"/>
      <c r="B138" s="33" t="n">
        <f aca="false">IF($A138="",0,INT(($A138-Macrociclo!$C$11)/7)+1)</f>
        <v>0</v>
      </c>
      <c r="C138" s="20"/>
      <c r="D138" s="20"/>
      <c r="E138" s="22"/>
      <c r="F138" s="22"/>
      <c r="G138" s="20"/>
    </row>
    <row r="139" customFormat="false" ht="15" hidden="false" customHeight="false" outlineLevel="0" collapsed="false">
      <c r="A139" s="21"/>
      <c r="B139" s="33" t="n">
        <f aca="false">IF($A139="",0,INT(($A139-Macrociclo!$C$11)/7)+1)</f>
        <v>0</v>
      </c>
      <c r="C139" s="20"/>
      <c r="D139" s="20"/>
      <c r="E139" s="22"/>
      <c r="F139" s="22"/>
      <c r="G139" s="20"/>
    </row>
    <row r="140" customFormat="false" ht="15" hidden="false" customHeight="false" outlineLevel="0" collapsed="false">
      <c r="A140" s="21"/>
      <c r="B140" s="33" t="n">
        <f aca="false">IF($A140="",0,INT(($A140-Macrociclo!$C$11)/7)+1)</f>
        <v>0</v>
      </c>
      <c r="C140" s="20"/>
      <c r="D140" s="20"/>
      <c r="E140" s="22"/>
      <c r="F140" s="22"/>
      <c r="G140" s="20"/>
    </row>
    <row r="141" customFormat="false" ht="15" hidden="false" customHeight="false" outlineLevel="0" collapsed="false">
      <c r="A141" s="21"/>
      <c r="B141" s="33" t="n">
        <f aca="false">IF($A141="",0,INT(($A141-Macrociclo!$C$11)/7)+1)</f>
        <v>0</v>
      </c>
      <c r="C141" s="20"/>
      <c r="D141" s="20"/>
      <c r="E141" s="22"/>
      <c r="F141" s="22"/>
      <c r="G141" s="20"/>
    </row>
    <row r="142" customFormat="false" ht="15" hidden="false" customHeight="false" outlineLevel="0" collapsed="false">
      <c r="A142" s="21"/>
      <c r="B142" s="33" t="n">
        <f aca="false">IF($A142="",0,INT(($A142-Macrociclo!$C$11)/7)+1)</f>
        <v>0</v>
      </c>
      <c r="C142" s="20"/>
      <c r="D142" s="20"/>
      <c r="E142" s="22"/>
      <c r="F142" s="22"/>
      <c r="G142" s="20"/>
    </row>
    <row r="143" customFormat="false" ht="15" hidden="false" customHeight="false" outlineLevel="0" collapsed="false">
      <c r="A143" s="21"/>
      <c r="B143" s="33" t="n">
        <f aca="false">IF($A143="",0,INT(($A143-Macrociclo!$C$11)/7)+1)</f>
        <v>0</v>
      </c>
      <c r="C143" s="20"/>
      <c r="D143" s="20"/>
      <c r="E143" s="22"/>
      <c r="F143" s="22"/>
      <c r="G143" s="20"/>
    </row>
    <row r="144" customFormat="false" ht="15" hidden="false" customHeight="false" outlineLevel="0" collapsed="false">
      <c r="A144" s="21"/>
      <c r="B144" s="33" t="n">
        <f aca="false">IF($A144="",0,INT(($A144-Macrociclo!$C$11)/7)+1)</f>
        <v>0</v>
      </c>
      <c r="C144" s="20"/>
      <c r="D144" s="20"/>
      <c r="E144" s="22"/>
      <c r="F144" s="22"/>
      <c r="G144" s="20"/>
    </row>
    <row r="145" customFormat="false" ht="15" hidden="false" customHeight="false" outlineLevel="0" collapsed="false">
      <c r="A145" s="21"/>
      <c r="B145" s="33" t="n">
        <f aca="false">IF($A145="",0,INT(($A145-Macrociclo!$C$11)/7)+1)</f>
        <v>0</v>
      </c>
      <c r="C145" s="20"/>
      <c r="D145" s="20"/>
      <c r="E145" s="22"/>
      <c r="F145" s="22"/>
      <c r="G145" s="20"/>
    </row>
    <row r="146" customFormat="false" ht="15" hidden="false" customHeight="false" outlineLevel="0" collapsed="false">
      <c r="A146" s="21"/>
      <c r="B146" s="33" t="n">
        <f aca="false">IF($A146="",0,INT(($A146-Macrociclo!$C$11)/7)+1)</f>
        <v>0</v>
      </c>
      <c r="C146" s="20"/>
      <c r="D146" s="20"/>
      <c r="E146" s="22"/>
      <c r="F146" s="22"/>
      <c r="G146" s="20"/>
    </row>
    <row r="147" customFormat="false" ht="15" hidden="false" customHeight="false" outlineLevel="0" collapsed="false">
      <c r="A147" s="21"/>
      <c r="B147" s="33" t="n">
        <f aca="false">IF($A147="",0,INT(($A147-Macrociclo!$C$11)/7)+1)</f>
        <v>0</v>
      </c>
      <c r="C147" s="20"/>
      <c r="D147" s="20"/>
      <c r="E147" s="22"/>
      <c r="F147" s="22"/>
      <c r="G147" s="20"/>
    </row>
    <row r="148" customFormat="false" ht="15" hidden="false" customHeight="false" outlineLevel="0" collapsed="false">
      <c r="A148" s="21"/>
      <c r="B148" s="33" t="n">
        <f aca="false">IF($A148="",0,INT(($A148-Macrociclo!$C$11)/7)+1)</f>
        <v>0</v>
      </c>
      <c r="C148" s="20"/>
      <c r="D148" s="20"/>
      <c r="E148" s="22"/>
      <c r="F148" s="22"/>
      <c r="G148" s="20"/>
    </row>
    <row r="149" customFormat="false" ht="15" hidden="false" customHeight="false" outlineLevel="0" collapsed="false">
      <c r="A149" s="21"/>
      <c r="B149" s="33" t="n">
        <f aca="false">IF($A149="",0,INT(($A149-Macrociclo!$C$11)/7)+1)</f>
        <v>0</v>
      </c>
      <c r="C149" s="20"/>
      <c r="D149" s="20"/>
      <c r="E149" s="22"/>
      <c r="F149" s="22"/>
      <c r="G149" s="20"/>
    </row>
    <row r="150" customFormat="false" ht="15" hidden="false" customHeight="false" outlineLevel="0" collapsed="false">
      <c r="A150" s="21"/>
      <c r="B150" s="33" t="n">
        <f aca="false">IF($A150="",0,INT(($A150-Macrociclo!$C$11)/7)+1)</f>
        <v>0</v>
      </c>
      <c r="C150" s="20"/>
      <c r="D150" s="20"/>
      <c r="E150" s="22"/>
      <c r="F150" s="22"/>
      <c r="G150" s="20"/>
    </row>
    <row r="151" customFormat="false" ht="15" hidden="false" customHeight="false" outlineLevel="0" collapsed="false">
      <c r="A151" s="21"/>
      <c r="B151" s="33" t="n">
        <f aca="false">IF($A151="",0,INT(($A151-Macrociclo!$C$11)/7)+1)</f>
        <v>0</v>
      </c>
      <c r="C151" s="20"/>
      <c r="D151" s="20"/>
      <c r="E151" s="22"/>
      <c r="F151" s="22"/>
      <c r="G151" s="20"/>
    </row>
    <row r="152" customFormat="false" ht="15" hidden="false" customHeight="false" outlineLevel="0" collapsed="false">
      <c r="A152" s="21"/>
      <c r="B152" s="33" t="n">
        <f aca="false">IF($A152="",0,INT(($A152-Macrociclo!$C$11)/7)+1)</f>
        <v>0</v>
      </c>
      <c r="C152" s="20"/>
      <c r="D152" s="20"/>
      <c r="E152" s="22"/>
      <c r="F152" s="22"/>
      <c r="G152" s="20"/>
    </row>
    <row r="153" customFormat="false" ht="15" hidden="false" customHeight="false" outlineLevel="0" collapsed="false">
      <c r="A153" s="21"/>
      <c r="B153" s="33" t="n">
        <f aca="false">IF($A153="",0,INT(($A153-Macrociclo!$C$11)/7)+1)</f>
        <v>0</v>
      </c>
      <c r="C153" s="20"/>
      <c r="D153" s="20"/>
      <c r="E153" s="22"/>
      <c r="F153" s="22"/>
      <c r="G153" s="20"/>
    </row>
    <row r="154" customFormat="false" ht="15" hidden="false" customHeight="false" outlineLevel="0" collapsed="false">
      <c r="A154" s="21"/>
      <c r="B154" s="33" t="n">
        <f aca="false">IF($A154="",0,INT(($A154-Macrociclo!$C$11)/7)+1)</f>
        <v>0</v>
      </c>
      <c r="C154" s="20"/>
      <c r="D154" s="20"/>
      <c r="E154" s="22"/>
      <c r="F154" s="22"/>
      <c r="G154" s="20"/>
    </row>
    <row r="155" customFormat="false" ht="15" hidden="false" customHeight="false" outlineLevel="0" collapsed="false">
      <c r="A155" s="21"/>
      <c r="B155" s="33" t="n">
        <f aca="false">IF($A155="",0,INT(($A155-Macrociclo!$C$11)/7)+1)</f>
        <v>0</v>
      </c>
      <c r="C155" s="20"/>
      <c r="D155" s="20"/>
      <c r="E155" s="22"/>
      <c r="F155" s="22"/>
      <c r="G155" s="20"/>
    </row>
    <row r="156" customFormat="false" ht="15" hidden="false" customHeight="false" outlineLevel="0" collapsed="false">
      <c r="A156" s="21"/>
      <c r="B156" s="33" t="n">
        <f aca="false">IF($A156="",0,INT(($A156-Macrociclo!$C$11)/7)+1)</f>
        <v>0</v>
      </c>
      <c r="C156" s="20"/>
      <c r="D156" s="20"/>
      <c r="E156" s="22"/>
      <c r="F156" s="22"/>
      <c r="G156" s="20"/>
    </row>
    <row r="157" customFormat="false" ht="15" hidden="false" customHeight="false" outlineLevel="0" collapsed="false">
      <c r="A157" s="21"/>
      <c r="B157" s="33" t="n">
        <f aca="false">IF($A157="",0,INT(($A157-Macrociclo!$C$11)/7)+1)</f>
        <v>0</v>
      </c>
      <c r="C157" s="20"/>
      <c r="D157" s="20"/>
      <c r="E157" s="22"/>
      <c r="F157" s="22"/>
      <c r="G157" s="20"/>
    </row>
    <row r="158" customFormat="false" ht="15" hidden="false" customHeight="false" outlineLevel="0" collapsed="false">
      <c r="A158" s="21"/>
      <c r="B158" s="33" t="n">
        <f aca="false">IF($A158="",0,INT(($A158-Macrociclo!$C$11)/7)+1)</f>
        <v>0</v>
      </c>
      <c r="C158" s="20"/>
      <c r="D158" s="20"/>
      <c r="E158" s="22"/>
      <c r="F158" s="22"/>
      <c r="G158" s="20"/>
    </row>
    <row r="159" customFormat="false" ht="15" hidden="false" customHeight="false" outlineLevel="0" collapsed="false">
      <c r="A159" s="21"/>
      <c r="B159" s="33" t="n">
        <f aca="false">IF($A159="",0,INT(($A159-Macrociclo!$C$11)/7)+1)</f>
        <v>0</v>
      </c>
      <c r="C159" s="20"/>
      <c r="D159" s="20"/>
      <c r="E159" s="22"/>
      <c r="F159" s="22"/>
      <c r="G159" s="20"/>
    </row>
    <row r="160" customFormat="false" ht="15" hidden="false" customHeight="false" outlineLevel="0" collapsed="false">
      <c r="A160" s="21"/>
      <c r="B160" s="33" t="n">
        <f aca="false">IF($A160="",0,INT(($A160-Macrociclo!$C$11)/7)+1)</f>
        <v>0</v>
      </c>
      <c r="C160" s="20"/>
      <c r="D160" s="20"/>
      <c r="E160" s="22"/>
      <c r="F160" s="22"/>
      <c r="G160" s="20"/>
    </row>
    <row r="161" customFormat="false" ht="15" hidden="false" customHeight="false" outlineLevel="0" collapsed="false">
      <c r="A161" s="21"/>
      <c r="B161" s="33" t="n">
        <f aca="false">IF($A161="",0,INT(($A161-Macrociclo!$C$11)/7)+1)</f>
        <v>0</v>
      </c>
      <c r="C161" s="20"/>
      <c r="D161" s="20"/>
      <c r="E161" s="22"/>
      <c r="F161" s="22"/>
      <c r="G161" s="20"/>
    </row>
    <row r="162" customFormat="false" ht="15" hidden="false" customHeight="false" outlineLevel="0" collapsed="false">
      <c r="A162" s="21"/>
      <c r="B162" s="33" t="n">
        <f aca="false">IF($A162="",0,INT(($A162-Macrociclo!$C$11)/7)+1)</f>
        <v>0</v>
      </c>
      <c r="C162" s="20"/>
      <c r="D162" s="20"/>
      <c r="E162" s="22"/>
      <c r="F162" s="22"/>
      <c r="G162" s="20"/>
    </row>
    <row r="163" customFormat="false" ht="15" hidden="false" customHeight="false" outlineLevel="0" collapsed="false">
      <c r="A163" s="21"/>
      <c r="B163" s="33" t="n">
        <f aca="false">IF($A163="",0,INT(($A163-Macrociclo!$C$11)/7)+1)</f>
        <v>0</v>
      </c>
      <c r="C163" s="20"/>
      <c r="D163" s="20"/>
      <c r="E163" s="22"/>
      <c r="F163" s="22"/>
      <c r="G163" s="20"/>
    </row>
    <row r="164" customFormat="false" ht="15" hidden="false" customHeight="false" outlineLevel="0" collapsed="false">
      <c r="A164" s="21"/>
      <c r="B164" s="33" t="n">
        <f aca="false">IF($A164="",0,INT(($A164-Macrociclo!$C$11)/7)+1)</f>
        <v>0</v>
      </c>
      <c r="C164" s="20"/>
      <c r="D164" s="20"/>
      <c r="E164" s="22"/>
      <c r="F164" s="22"/>
      <c r="G164" s="20"/>
    </row>
    <row r="165" customFormat="false" ht="15" hidden="false" customHeight="false" outlineLevel="0" collapsed="false">
      <c r="A165" s="21"/>
      <c r="B165" s="33" t="n">
        <f aca="false">IF($A165="",0,INT(($A165-Macrociclo!$C$11)/7)+1)</f>
        <v>0</v>
      </c>
      <c r="C165" s="20"/>
      <c r="D165" s="20"/>
      <c r="E165" s="22"/>
      <c r="F165" s="22"/>
      <c r="G165" s="20"/>
    </row>
    <row r="166" customFormat="false" ht="15" hidden="false" customHeight="false" outlineLevel="0" collapsed="false">
      <c r="A166" s="21"/>
      <c r="B166" s="33" t="n">
        <f aca="false">IF($A166="",0,INT(($A166-Macrociclo!$C$11)/7)+1)</f>
        <v>0</v>
      </c>
      <c r="C166" s="20"/>
      <c r="D166" s="20"/>
      <c r="E166" s="22"/>
      <c r="F166" s="22"/>
      <c r="G166" s="20"/>
    </row>
    <row r="167" customFormat="false" ht="15" hidden="false" customHeight="false" outlineLevel="0" collapsed="false">
      <c r="A167" s="21"/>
      <c r="B167" s="33" t="n">
        <f aca="false">IF($A167="",0,INT(($A167-Macrociclo!$C$11)/7)+1)</f>
        <v>0</v>
      </c>
      <c r="C167" s="20"/>
      <c r="D167" s="20"/>
      <c r="E167" s="22"/>
      <c r="F167" s="22"/>
      <c r="G167" s="20"/>
    </row>
    <row r="168" customFormat="false" ht="15" hidden="false" customHeight="false" outlineLevel="0" collapsed="false">
      <c r="A168" s="21"/>
      <c r="B168" s="33" t="n">
        <f aca="false">IF($A168="",0,INT(($A168-Macrociclo!$C$11)/7)+1)</f>
        <v>0</v>
      </c>
      <c r="C168" s="20"/>
      <c r="D168" s="20"/>
      <c r="E168" s="22"/>
      <c r="F168" s="22"/>
      <c r="G168" s="20"/>
    </row>
    <row r="169" customFormat="false" ht="15" hidden="false" customHeight="false" outlineLevel="0" collapsed="false">
      <c r="A169" s="21"/>
      <c r="B169" s="33" t="n">
        <f aca="false">IF($A169="",0,INT(($A169-Macrociclo!$C$11)/7)+1)</f>
        <v>0</v>
      </c>
      <c r="C169" s="20"/>
      <c r="D169" s="20"/>
      <c r="E169" s="22"/>
      <c r="F169" s="22"/>
      <c r="G169" s="20"/>
    </row>
    <row r="170" customFormat="false" ht="15" hidden="false" customHeight="false" outlineLevel="0" collapsed="false">
      <c r="A170" s="21"/>
      <c r="B170" s="33" t="n">
        <f aca="false">IF($A170="",0,INT(($A170-Macrociclo!$C$11)/7)+1)</f>
        <v>0</v>
      </c>
      <c r="C170" s="20"/>
      <c r="D170" s="20"/>
      <c r="E170" s="22"/>
      <c r="F170" s="22"/>
      <c r="G170" s="20"/>
    </row>
    <row r="171" customFormat="false" ht="15" hidden="false" customHeight="false" outlineLevel="0" collapsed="false">
      <c r="A171" s="21"/>
      <c r="B171" s="33" t="n">
        <f aca="false">IF($A171="",0,INT(($A171-Macrociclo!$C$11)/7)+1)</f>
        <v>0</v>
      </c>
      <c r="C171" s="20"/>
      <c r="D171" s="20"/>
      <c r="E171" s="22"/>
      <c r="F171" s="22"/>
      <c r="G171" s="20"/>
    </row>
    <row r="172" customFormat="false" ht="15" hidden="false" customHeight="false" outlineLevel="0" collapsed="false">
      <c r="A172" s="21"/>
      <c r="B172" s="33" t="n">
        <f aca="false">IF($A172="",0,INT(($A172-Macrociclo!$C$11)/7)+1)</f>
        <v>0</v>
      </c>
      <c r="C172" s="20"/>
      <c r="D172" s="20"/>
      <c r="E172" s="22"/>
      <c r="F172" s="22"/>
      <c r="G172" s="20"/>
    </row>
    <row r="173" customFormat="false" ht="15" hidden="false" customHeight="false" outlineLevel="0" collapsed="false">
      <c r="A173" s="21"/>
      <c r="B173" s="33" t="n">
        <f aca="false">IF($A173="",0,INT(($A173-Macrociclo!$C$11)/7)+1)</f>
        <v>0</v>
      </c>
      <c r="C173" s="20"/>
      <c r="D173" s="20"/>
      <c r="E173" s="22"/>
      <c r="F173" s="22"/>
      <c r="G173" s="20"/>
    </row>
    <row r="174" customFormat="false" ht="15" hidden="false" customHeight="false" outlineLevel="0" collapsed="false">
      <c r="A174" s="21"/>
      <c r="B174" s="33" t="n">
        <f aca="false">IF($A174="",0,INT(($A174-Macrociclo!$C$11)/7)+1)</f>
        <v>0</v>
      </c>
      <c r="C174" s="20"/>
      <c r="D174" s="20"/>
      <c r="E174" s="22"/>
      <c r="F174" s="22"/>
      <c r="G174" s="20"/>
    </row>
    <row r="175" customFormat="false" ht="15" hidden="false" customHeight="false" outlineLevel="0" collapsed="false">
      <c r="A175" s="21"/>
      <c r="B175" s="33" t="n">
        <f aca="false">IF($A175="",0,INT(($A175-Macrociclo!$C$11)/7)+1)</f>
        <v>0</v>
      </c>
      <c r="C175" s="20"/>
      <c r="D175" s="20"/>
      <c r="E175" s="22"/>
      <c r="F175" s="22"/>
      <c r="G175" s="20"/>
    </row>
    <row r="176" customFormat="false" ht="15" hidden="false" customHeight="false" outlineLevel="0" collapsed="false">
      <c r="A176" s="21"/>
      <c r="B176" s="33" t="n">
        <f aca="false">IF($A176="",0,INT(($A176-Macrociclo!$C$11)/7)+1)</f>
        <v>0</v>
      </c>
      <c r="C176" s="20"/>
      <c r="D176" s="20"/>
      <c r="E176" s="22"/>
      <c r="F176" s="22"/>
      <c r="G176" s="20"/>
    </row>
    <row r="177" customFormat="false" ht="15" hidden="false" customHeight="false" outlineLevel="0" collapsed="false">
      <c r="A177" s="21"/>
      <c r="B177" s="33" t="n">
        <f aca="false">IF($A177="",0,INT(($A177-Macrociclo!$C$11)/7)+1)</f>
        <v>0</v>
      </c>
      <c r="C177" s="20"/>
      <c r="D177" s="20"/>
      <c r="E177" s="22"/>
      <c r="F177" s="22"/>
      <c r="G177" s="20"/>
    </row>
    <row r="178" customFormat="false" ht="15" hidden="false" customHeight="false" outlineLevel="0" collapsed="false">
      <c r="A178" s="21"/>
      <c r="B178" s="33" t="n">
        <f aca="false">IF($A178="",0,INT(($A178-Macrociclo!$C$11)/7)+1)</f>
        <v>0</v>
      </c>
      <c r="C178" s="20"/>
      <c r="D178" s="20"/>
      <c r="E178" s="22"/>
      <c r="F178" s="22"/>
      <c r="G178" s="20"/>
    </row>
    <row r="179" customFormat="false" ht="15" hidden="false" customHeight="false" outlineLevel="0" collapsed="false">
      <c r="A179" s="21"/>
      <c r="B179" s="33" t="n">
        <f aca="false">IF($A179="",0,INT(($A179-Macrociclo!$C$11)/7)+1)</f>
        <v>0</v>
      </c>
      <c r="C179" s="20"/>
      <c r="D179" s="20"/>
      <c r="E179" s="22"/>
      <c r="F179" s="22"/>
      <c r="G179" s="20"/>
    </row>
    <row r="180" customFormat="false" ht="15" hidden="false" customHeight="false" outlineLevel="0" collapsed="false">
      <c r="A180" s="21"/>
      <c r="B180" s="33" t="n">
        <f aca="false">IF($A180="",0,INT(($A180-Macrociclo!$C$11)/7)+1)</f>
        <v>0</v>
      </c>
      <c r="C180" s="20"/>
      <c r="D180" s="20"/>
      <c r="E180" s="22"/>
      <c r="F180" s="22"/>
      <c r="G180" s="20"/>
    </row>
    <row r="181" customFormat="false" ht="15" hidden="false" customHeight="false" outlineLevel="0" collapsed="false">
      <c r="A181" s="21"/>
      <c r="B181" s="33" t="n">
        <f aca="false">IF($A181="",0,INT(($A181-Macrociclo!$C$11)/7)+1)</f>
        <v>0</v>
      </c>
      <c r="C181" s="20"/>
      <c r="D181" s="20"/>
      <c r="E181" s="22"/>
      <c r="F181" s="22"/>
      <c r="G181" s="20"/>
    </row>
    <row r="182" customFormat="false" ht="15" hidden="false" customHeight="false" outlineLevel="0" collapsed="false">
      <c r="A182" s="21"/>
      <c r="B182" s="33" t="n">
        <f aca="false">IF($A182="",0,INT(($A182-Macrociclo!$C$11)/7)+1)</f>
        <v>0</v>
      </c>
      <c r="C182" s="20"/>
      <c r="D182" s="20"/>
      <c r="E182" s="22"/>
      <c r="F182" s="22"/>
      <c r="G182" s="20"/>
    </row>
    <row r="183" customFormat="false" ht="15" hidden="false" customHeight="false" outlineLevel="0" collapsed="false">
      <c r="A183" s="21"/>
      <c r="B183" s="33" t="n">
        <f aca="false">IF($A183="",0,INT(($A183-Macrociclo!$C$11)/7)+1)</f>
        <v>0</v>
      </c>
      <c r="C183" s="20"/>
      <c r="D183" s="20"/>
      <c r="E183" s="22"/>
      <c r="F183" s="22"/>
      <c r="G183" s="20"/>
    </row>
    <row r="184" customFormat="false" ht="15" hidden="false" customHeight="false" outlineLevel="0" collapsed="false">
      <c r="A184" s="21"/>
      <c r="B184" s="33" t="n">
        <f aca="false">IF($A184="",0,INT(($A184-Macrociclo!$C$11)/7)+1)</f>
        <v>0</v>
      </c>
      <c r="C184" s="20"/>
      <c r="D184" s="20"/>
      <c r="E184" s="22"/>
      <c r="F184" s="22"/>
      <c r="G184" s="20"/>
    </row>
    <row r="185" customFormat="false" ht="15" hidden="false" customHeight="false" outlineLevel="0" collapsed="false">
      <c r="A185" s="21"/>
      <c r="B185" s="33" t="n">
        <f aca="false">IF($A185="",0,INT(($A185-Macrociclo!$C$11)/7)+1)</f>
        <v>0</v>
      </c>
      <c r="C185" s="20"/>
      <c r="D185" s="20"/>
      <c r="E185" s="22"/>
      <c r="F185" s="22"/>
      <c r="G185" s="20"/>
    </row>
    <row r="186" customFormat="false" ht="15" hidden="false" customHeight="false" outlineLevel="0" collapsed="false">
      <c r="A186" s="21"/>
      <c r="B186" s="33" t="n">
        <f aca="false">IF($A186="",0,INT(($A186-Macrociclo!$C$11)/7)+1)</f>
        <v>0</v>
      </c>
      <c r="C186" s="20"/>
      <c r="D186" s="20"/>
      <c r="E186" s="22"/>
      <c r="F186" s="22"/>
      <c r="G186" s="20"/>
    </row>
    <row r="187" customFormat="false" ht="15" hidden="false" customHeight="false" outlineLevel="0" collapsed="false">
      <c r="A187" s="21"/>
      <c r="B187" s="33" t="n">
        <f aca="false">IF($A187="",0,INT(($A187-Macrociclo!$C$11)/7)+1)</f>
        <v>0</v>
      </c>
      <c r="C187" s="20"/>
      <c r="D187" s="20"/>
      <c r="E187" s="22"/>
      <c r="F187" s="22"/>
      <c r="G187" s="20"/>
    </row>
    <row r="188" customFormat="false" ht="15" hidden="false" customHeight="false" outlineLevel="0" collapsed="false">
      <c r="A188" s="21"/>
      <c r="B188" s="33" t="n">
        <f aca="false">IF($A188="",0,INT(($A188-Macrociclo!$C$11)/7)+1)</f>
        <v>0</v>
      </c>
      <c r="C188" s="20"/>
      <c r="D188" s="20"/>
      <c r="E188" s="22"/>
      <c r="F188" s="22"/>
      <c r="G188" s="20"/>
    </row>
    <row r="189" customFormat="false" ht="15" hidden="false" customHeight="false" outlineLevel="0" collapsed="false">
      <c r="A189" s="21"/>
      <c r="B189" s="33" t="n">
        <f aca="false">IF($A189="",0,INT(($A189-Macrociclo!$C$11)/7)+1)</f>
        <v>0</v>
      </c>
      <c r="C189" s="20"/>
      <c r="D189" s="20"/>
      <c r="E189" s="22"/>
      <c r="F189" s="22"/>
      <c r="G189" s="20"/>
    </row>
    <row r="190" customFormat="false" ht="15" hidden="false" customHeight="false" outlineLevel="0" collapsed="false">
      <c r="A190" s="21"/>
      <c r="B190" s="33" t="n">
        <f aca="false">IF($A190="",0,INT(($A190-Macrociclo!$C$11)/7)+1)</f>
        <v>0</v>
      </c>
      <c r="C190" s="20"/>
      <c r="D190" s="20"/>
      <c r="E190" s="22"/>
      <c r="F190" s="22"/>
      <c r="G190" s="20"/>
    </row>
    <row r="191" customFormat="false" ht="15" hidden="false" customHeight="false" outlineLevel="0" collapsed="false">
      <c r="A191" s="21"/>
      <c r="B191" s="33" t="n">
        <f aca="false">IF($A191="",0,INT(($A191-Macrociclo!$C$11)/7)+1)</f>
        <v>0</v>
      </c>
      <c r="C191" s="20"/>
      <c r="D191" s="20"/>
      <c r="E191" s="22"/>
      <c r="F191" s="22"/>
      <c r="G191" s="20"/>
    </row>
    <row r="192" customFormat="false" ht="15" hidden="false" customHeight="false" outlineLevel="0" collapsed="false">
      <c r="A192" s="21"/>
      <c r="B192" s="33" t="n">
        <f aca="false">IF($A192="",0,INT(($A192-Macrociclo!$C$11)/7)+1)</f>
        <v>0</v>
      </c>
      <c r="C192" s="20"/>
      <c r="D192" s="20"/>
      <c r="E192" s="22"/>
      <c r="F192" s="22"/>
      <c r="G192" s="20"/>
    </row>
    <row r="193" customFormat="false" ht="15" hidden="false" customHeight="false" outlineLevel="0" collapsed="false">
      <c r="A193" s="21"/>
      <c r="B193" s="33" t="n">
        <f aca="false">IF($A193="",0,INT(($A193-Macrociclo!$C$11)/7)+1)</f>
        <v>0</v>
      </c>
      <c r="C193" s="20"/>
      <c r="D193" s="20"/>
      <c r="E193" s="22"/>
      <c r="F193" s="22"/>
      <c r="G193" s="20"/>
    </row>
    <row r="194" customFormat="false" ht="15" hidden="false" customHeight="false" outlineLevel="0" collapsed="false">
      <c r="A194" s="21"/>
      <c r="B194" s="33" t="n">
        <f aca="false">IF($A194="",0,INT(($A194-Macrociclo!$C$11)/7)+1)</f>
        <v>0</v>
      </c>
      <c r="C194" s="20"/>
      <c r="D194" s="20"/>
      <c r="E194" s="22"/>
      <c r="F194" s="22"/>
      <c r="G194" s="20"/>
    </row>
    <row r="195" customFormat="false" ht="15" hidden="false" customHeight="false" outlineLevel="0" collapsed="false">
      <c r="A195" s="21"/>
      <c r="B195" s="33" t="n">
        <f aca="false">IF($A195="",0,INT(($A195-Macrociclo!$C$11)/7)+1)</f>
        <v>0</v>
      </c>
      <c r="C195" s="20"/>
      <c r="D195" s="20"/>
      <c r="E195" s="22"/>
      <c r="F195" s="22"/>
      <c r="G195" s="20"/>
    </row>
    <row r="196" customFormat="false" ht="15" hidden="false" customHeight="false" outlineLevel="0" collapsed="false">
      <c r="A196" s="21"/>
      <c r="B196" s="33" t="n">
        <f aca="false">IF($A196="",0,INT(($A196-Macrociclo!$C$11)/7)+1)</f>
        <v>0</v>
      </c>
      <c r="C196" s="20"/>
      <c r="D196" s="20"/>
      <c r="E196" s="22"/>
      <c r="F196" s="22"/>
      <c r="G196" s="20"/>
    </row>
    <row r="197" customFormat="false" ht="15" hidden="false" customHeight="false" outlineLevel="0" collapsed="false">
      <c r="A197" s="21"/>
      <c r="B197" s="33" t="n">
        <f aca="false">IF($A197="",0,INT(($A197-Macrociclo!$C$11)/7)+1)</f>
        <v>0</v>
      </c>
      <c r="C197" s="20"/>
      <c r="D197" s="20"/>
      <c r="E197" s="22"/>
      <c r="F197" s="22"/>
      <c r="G197" s="20"/>
    </row>
    <row r="198" customFormat="false" ht="15" hidden="false" customHeight="false" outlineLevel="0" collapsed="false">
      <c r="A198" s="21"/>
      <c r="B198" s="33" t="n">
        <f aca="false">IF($A198="",0,INT(($A198-Macrociclo!$C$11)/7)+1)</f>
        <v>0</v>
      </c>
      <c r="C198" s="20"/>
      <c r="D198" s="20"/>
      <c r="E198" s="22"/>
      <c r="F198" s="22"/>
      <c r="G198" s="20"/>
    </row>
    <row r="199" customFormat="false" ht="15" hidden="false" customHeight="false" outlineLevel="0" collapsed="false">
      <c r="A199" s="21"/>
      <c r="B199" s="33" t="n">
        <f aca="false">IF($A199="",0,INT(($A199-Macrociclo!$C$11)/7)+1)</f>
        <v>0</v>
      </c>
      <c r="C199" s="20"/>
      <c r="D199" s="20"/>
      <c r="E199" s="22"/>
      <c r="F199" s="22"/>
      <c r="G199" s="20"/>
    </row>
    <row r="200" customFormat="false" ht="15" hidden="false" customHeight="false" outlineLevel="0" collapsed="false">
      <c r="A200" s="21"/>
      <c r="B200" s="33" t="n">
        <f aca="false">IF($A200="",0,INT(($A200-Macrociclo!$C$11)/7)+1)</f>
        <v>0</v>
      </c>
      <c r="C200" s="20"/>
      <c r="D200" s="20"/>
      <c r="E200" s="22"/>
      <c r="F200" s="22"/>
      <c r="G200" s="20"/>
    </row>
    <row r="201" customFormat="false" ht="15" hidden="false" customHeight="false" outlineLevel="0" collapsed="false">
      <c r="A201" s="21"/>
      <c r="B201" s="33" t="n">
        <f aca="false">IF($A201="",0,INT(($A201-Macrociclo!$C$11)/7)+1)</f>
        <v>0</v>
      </c>
      <c r="C201" s="20"/>
      <c r="D201" s="20"/>
      <c r="E201" s="22"/>
      <c r="F201" s="22"/>
      <c r="G201" s="20"/>
    </row>
    <row r="202" customFormat="false" ht="15" hidden="false" customHeight="false" outlineLevel="0" collapsed="false">
      <c r="A202" s="21"/>
      <c r="B202" s="33" t="n">
        <f aca="false">IF($A202="",0,INT(($A202-Macrociclo!$C$11)/7)+1)</f>
        <v>0</v>
      </c>
      <c r="C202" s="20"/>
      <c r="D202" s="20"/>
      <c r="E202" s="22"/>
      <c r="F202" s="22"/>
      <c r="G202" s="20"/>
    </row>
    <row r="203" customFormat="false" ht="15" hidden="false" customHeight="false" outlineLevel="0" collapsed="false">
      <c r="A203" s="21"/>
      <c r="B203" s="33" t="n">
        <f aca="false">IF($A203="",0,INT(($A203-Macrociclo!$C$11)/7)+1)</f>
        <v>0</v>
      </c>
      <c r="C203" s="20"/>
      <c r="D203" s="20"/>
      <c r="E203" s="22"/>
      <c r="F203" s="22"/>
      <c r="G203" s="20"/>
    </row>
    <row r="204" customFormat="false" ht="15" hidden="false" customHeight="false" outlineLevel="0" collapsed="false">
      <c r="A204" s="21"/>
      <c r="B204" s="33" t="n">
        <f aca="false">IF($A204="",0,INT(($A204-Macrociclo!$C$11)/7)+1)</f>
        <v>0</v>
      </c>
      <c r="C204" s="20"/>
      <c r="D204" s="20"/>
      <c r="E204" s="22"/>
      <c r="F204" s="22"/>
      <c r="G204" s="20"/>
    </row>
    <row r="205" customFormat="false" ht="15" hidden="false" customHeight="false" outlineLevel="0" collapsed="false">
      <c r="A205" s="21"/>
      <c r="B205" s="33" t="n">
        <f aca="false">IF($A205="",0,INT(($A205-Macrociclo!$C$11)/7)+1)</f>
        <v>0</v>
      </c>
      <c r="C205" s="20"/>
      <c r="D205" s="20"/>
      <c r="E205" s="22"/>
      <c r="F205" s="22"/>
      <c r="G205" s="20"/>
    </row>
    <row r="206" customFormat="false" ht="15" hidden="false" customHeight="false" outlineLevel="0" collapsed="false">
      <c r="A206" s="21"/>
      <c r="B206" s="33" t="n">
        <f aca="false">IF($A206="",0,INT(($A206-Macrociclo!$C$11)/7)+1)</f>
        <v>0</v>
      </c>
      <c r="C206" s="20"/>
      <c r="D206" s="20"/>
      <c r="E206" s="22"/>
      <c r="F206" s="22"/>
      <c r="G206" s="20"/>
    </row>
    <row r="207" customFormat="false" ht="15" hidden="false" customHeight="false" outlineLevel="0" collapsed="false">
      <c r="A207" s="21"/>
      <c r="B207" s="33" t="n">
        <f aca="false">IF($A207="",0,INT(($A207-Macrociclo!$C$11)/7)+1)</f>
        <v>0</v>
      </c>
      <c r="C207" s="20"/>
      <c r="D207" s="20"/>
      <c r="E207" s="22"/>
      <c r="F207" s="22"/>
      <c r="G207" s="20"/>
    </row>
    <row r="208" customFormat="false" ht="15" hidden="false" customHeight="false" outlineLevel="0" collapsed="false">
      <c r="A208" s="21"/>
      <c r="B208" s="33" t="n">
        <f aca="false">IF($A208="",0,INT(($A208-Macrociclo!$C$11)/7)+1)</f>
        <v>0</v>
      </c>
      <c r="C208" s="20"/>
      <c r="D208" s="20"/>
      <c r="E208" s="22"/>
      <c r="F208" s="22"/>
      <c r="G208" s="20"/>
    </row>
    <row r="209" customFormat="false" ht="15" hidden="false" customHeight="false" outlineLevel="0" collapsed="false">
      <c r="A209" s="21"/>
      <c r="B209" s="33" t="n">
        <f aca="false">IF($A209="",0,INT(($A209-Macrociclo!$C$11)/7)+1)</f>
        <v>0</v>
      </c>
      <c r="C209" s="20"/>
      <c r="D209" s="20"/>
      <c r="E209" s="22"/>
      <c r="F209" s="22"/>
      <c r="G209" s="20"/>
    </row>
    <row r="210" customFormat="false" ht="15" hidden="false" customHeight="false" outlineLevel="0" collapsed="false">
      <c r="A210" s="21"/>
      <c r="B210" s="33" t="n">
        <f aca="false">IF($A210="",0,INT(($A210-Macrociclo!$C$11)/7)+1)</f>
        <v>0</v>
      </c>
      <c r="C210" s="20"/>
      <c r="D210" s="20"/>
      <c r="E210" s="22"/>
      <c r="F210" s="22"/>
      <c r="G210" s="20"/>
    </row>
    <row r="211" customFormat="false" ht="15" hidden="false" customHeight="false" outlineLevel="0" collapsed="false">
      <c r="A211" s="21"/>
      <c r="B211" s="33" t="n">
        <f aca="false">IF($A211="",0,INT(($A211-Macrociclo!$C$11)/7)+1)</f>
        <v>0</v>
      </c>
      <c r="C211" s="20"/>
      <c r="D211" s="20"/>
      <c r="E211" s="22"/>
      <c r="F211" s="22"/>
      <c r="G211" s="20"/>
    </row>
    <row r="212" customFormat="false" ht="15" hidden="false" customHeight="false" outlineLevel="0" collapsed="false">
      <c r="A212" s="21"/>
      <c r="B212" s="33" t="n">
        <f aca="false">IF($A212="",0,INT(($A212-Macrociclo!$C$11)/7)+1)</f>
        <v>0</v>
      </c>
      <c r="C212" s="20"/>
      <c r="D212" s="20"/>
      <c r="E212" s="22"/>
      <c r="F212" s="22"/>
      <c r="G212" s="20"/>
    </row>
    <row r="213" customFormat="false" ht="15" hidden="false" customHeight="false" outlineLevel="0" collapsed="false">
      <c r="A213" s="21"/>
      <c r="B213" s="33" t="n">
        <f aca="false">IF($A213="",0,INT(($A213-Macrociclo!$C$11)/7)+1)</f>
        <v>0</v>
      </c>
      <c r="C213" s="20"/>
      <c r="D213" s="20"/>
      <c r="E213" s="22"/>
      <c r="F213" s="22"/>
      <c r="G213" s="20"/>
    </row>
    <row r="214" customFormat="false" ht="15" hidden="false" customHeight="false" outlineLevel="0" collapsed="false">
      <c r="A214" s="21"/>
      <c r="B214" s="33" t="n">
        <f aca="false">IF($A214="",0,INT(($A214-Macrociclo!$C$11)/7)+1)</f>
        <v>0</v>
      </c>
      <c r="C214" s="20"/>
      <c r="D214" s="20"/>
      <c r="E214" s="22"/>
      <c r="F214" s="22"/>
      <c r="G214" s="20"/>
    </row>
    <row r="215" customFormat="false" ht="15" hidden="false" customHeight="false" outlineLevel="0" collapsed="false">
      <c r="A215" s="21"/>
      <c r="B215" s="33" t="n">
        <f aca="false">IF($A215="",0,INT(($A215-Macrociclo!$C$11)/7)+1)</f>
        <v>0</v>
      </c>
      <c r="C215" s="20"/>
      <c r="D215" s="20"/>
      <c r="E215" s="22"/>
      <c r="F215" s="22"/>
      <c r="G215" s="20"/>
    </row>
    <row r="216" customFormat="false" ht="15" hidden="false" customHeight="false" outlineLevel="0" collapsed="false">
      <c r="A216" s="21"/>
      <c r="B216" s="33" t="n">
        <f aca="false">IF($A216="",0,INT(($A216-Macrociclo!$C$11)/7)+1)</f>
        <v>0</v>
      </c>
      <c r="C216" s="20"/>
      <c r="D216" s="20"/>
      <c r="E216" s="22"/>
      <c r="F216" s="22"/>
      <c r="G216" s="20"/>
    </row>
    <row r="217" customFormat="false" ht="15" hidden="false" customHeight="false" outlineLevel="0" collapsed="false">
      <c r="A217" s="21"/>
      <c r="B217" s="33" t="n">
        <f aca="false">IF($A217="",0,INT(($A217-Macrociclo!$C$11)/7)+1)</f>
        <v>0</v>
      </c>
      <c r="C217" s="20"/>
      <c r="D217" s="20"/>
      <c r="E217" s="22"/>
      <c r="F217" s="22"/>
      <c r="G217" s="20"/>
    </row>
    <row r="218" customFormat="false" ht="15" hidden="false" customHeight="false" outlineLevel="0" collapsed="false">
      <c r="A218" s="21"/>
      <c r="B218" s="33" t="n">
        <f aca="false">IF($A218="",0,INT(($A218-Macrociclo!$C$11)/7)+1)</f>
        <v>0</v>
      </c>
      <c r="C218" s="20"/>
      <c r="D218" s="20"/>
      <c r="E218" s="22"/>
      <c r="F218" s="22"/>
      <c r="G218" s="20"/>
    </row>
    <row r="219" customFormat="false" ht="15" hidden="false" customHeight="false" outlineLevel="0" collapsed="false">
      <c r="A219" s="21"/>
      <c r="B219" s="33" t="n">
        <f aca="false">IF($A219="",0,INT(($A219-Macrociclo!$C$11)/7)+1)</f>
        <v>0</v>
      </c>
      <c r="C219" s="20"/>
      <c r="D219" s="20"/>
      <c r="E219" s="22"/>
      <c r="F219" s="22"/>
      <c r="G219" s="20"/>
    </row>
    <row r="220" customFormat="false" ht="15" hidden="false" customHeight="false" outlineLevel="0" collapsed="false">
      <c r="A220" s="21"/>
      <c r="B220" s="33" t="n">
        <f aca="false">IF($A220="",0,INT(($A220-Macrociclo!$C$11)/7)+1)</f>
        <v>0</v>
      </c>
      <c r="C220" s="20"/>
      <c r="D220" s="20"/>
      <c r="E220" s="22"/>
      <c r="F220" s="22"/>
      <c r="G220" s="20"/>
    </row>
    <row r="221" customFormat="false" ht="15" hidden="false" customHeight="false" outlineLevel="0" collapsed="false">
      <c r="A221" s="21"/>
      <c r="B221" s="33" t="n">
        <f aca="false">IF($A221="",0,INT(($A221-Macrociclo!$C$11)/7)+1)</f>
        <v>0</v>
      </c>
      <c r="C221" s="20"/>
      <c r="D221" s="20"/>
      <c r="E221" s="22"/>
      <c r="F221" s="22"/>
      <c r="G221" s="20"/>
    </row>
    <row r="222" customFormat="false" ht="15" hidden="false" customHeight="false" outlineLevel="0" collapsed="false">
      <c r="A222" s="21"/>
      <c r="B222" s="33" t="n">
        <f aca="false">IF($A222="",0,INT(($A222-Macrociclo!$C$11)/7)+1)</f>
        <v>0</v>
      </c>
      <c r="C222" s="20"/>
      <c r="D222" s="20"/>
      <c r="E222" s="22"/>
      <c r="F222" s="22"/>
      <c r="G222" s="20"/>
    </row>
    <row r="223" customFormat="false" ht="15" hidden="false" customHeight="false" outlineLevel="0" collapsed="false">
      <c r="A223" s="21"/>
      <c r="B223" s="33" t="n">
        <f aca="false">IF($A223="",0,INT(($A223-Macrociclo!$C$11)/7)+1)</f>
        <v>0</v>
      </c>
      <c r="C223" s="20"/>
      <c r="D223" s="20"/>
      <c r="E223" s="22"/>
      <c r="F223" s="22"/>
      <c r="G223" s="20"/>
    </row>
    <row r="224" customFormat="false" ht="15" hidden="false" customHeight="false" outlineLevel="0" collapsed="false">
      <c r="A224" s="21"/>
      <c r="B224" s="33" t="n">
        <f aca="false">IF($A224="",0,INT(($A224-Macrociclo!$C$11)/7)+1)</f>
        <v>0</v>
      </c>
      <c r="C224" s="20"/>
      <c r="D224" s="20"/>
      <c r="E224" s="22"/>
      <c r="F224" s="22"/>
      <c r="G224" s="20"/>
    </row>
    <row r="225" customFormat="false" ht="15" hidden="false" customHeight="false" outlineLevel="0" collapsed="false">
      <c r="A225" s="21"/>
      <c r="B225" s="33" t="n">
        <f aca="false">IF($A225="",0,INT(($A225-Macrociclo!$C$11)/7)+1)</f>
        <v>0</v>
      </c>
      <c r="C225" s="20"/>
      <c r="D225" s="20"/>
      <c r="E225" s="22"/>
      <c r="F225" s="22"/>
      <c r="G225" s="20"/>
    </row>
    <row r="226" customFormat="false" ht="15" hidden="false" customHeight="false" outlineLevel="0" collapsed="false">
      <c r="A226" s="21"/>
      <c r="B226" s="33" t="n">
        <f aca="false">IF($A226="",0,INT(($A226-Macrociclo!$C$11)/7)+1)</f>
        <v>0</v>
      </c>
      <c r="C226" s="20"/>
      <c r="D226" s="20"/>
      <c r="E226" s="22"/>
      <c r="F226" s="22"/>
      <c r="G226" s="20"/>
    </row>
    <row r="227" customFormat="false" ht="15" hidden="false" customHeight="false" outlineLevel="0" collapsed="false">
      <c r="A227" s="21"/>
      <c r="B227" s="33" t="n">
        <f aca="false">IF($A227="",0,INT(($A227-Macrociclo!$C$11)/7)+1)</f>
        <v>0</v>
      </c>
      <c r="C227" s="20"/>
      <c r="D227" s="20"/>
      <c r="E227" s="22"/>
      <c r="F227" s="22"/>
      <c r="G227" s="20"/>
    </row>
    <row r="228" customFormat="false" ht="15" hidden="false" customHeight="false" outlineLevel="0" collapsed="false">
      <c r="A228" s="21"/>
      <c r="B228" s="33" t="n">
        <f aca="false">IF($A228="",0,INT(($A228-Macrociclo!$C$11)/7)+1)</f>
        <v>0</v>
      </c>
      <c r="C228" s="20"/>
      <c r="D228" s="20"/>
      <c r="E228" s="22"/>
      <c r="F228" s="22"/>
      <c r="G228" s="20"/>
    </row>
    <row r="229" customFormat="false" ht="15" hidden="false" customHeight="false" outlineLevel="0" collapsed="false">
      <c r="A229" s="21"/>
      <c r="B229" s="33" t="n">
        <f aca="false">IF($A229="",0,INT(($A229-Macrociclo!$C$11)/7)+1)</f>
        <v>0</v>
      </c>
      <c r="C229" s="20"/>
      <c r="D229" s="20"/>
      <c r="E229" s="22"/>
      <c r="F229" s="22"/>
      <c r="G229" s="20"/>
    </row>
    <row r="230" customFormat="false" ht="15" hidden="false" customHeight="false" outlineLevel="0" collapsed="false">
      <c r="A230" s="21"/>
      <c r="B230" s="33" t="n">
        <f aca="false">IF($A230="",0,INT(($A230-Macrociclo!$C$11)/7)+1)</f>
        <v>0</v>
      </c>
      <c r="C230" s="20"/>
      <c r="D230" s="20"/>
      <c r="E230" s="22"/>
      <c r="F230" s="22"/>
      <c r="G230" s="20"/>
    </row>
    <row r="231" customFormat="false" ht="15" hidden="false" customHeight="false" outlineLevel="0" collapsed="false">
      <c r="A231" s="21"/>
      <c r="B231" s="33" t="n">
        <f aca="false">IF($A231="",0,INT(($A231-Macrociclo!$C$11)/7)+1)</f>
        <v>0</v>
      </c>
      <c r="C231" s="20"/>
      <c r="D231" s="20"/>
      <c r="E231" s="22"/>
      <c r="F231" s="22"/>
      <c r="G231" s="20"/>
    </row>
    <row r="232" customFormat="false" ht="15" hidden="false" customHeight="false" outlineLevel="0" collapsed="false">
      <c r="A232" s="21"/>
      <c r="B232" s="33" t="n">
        <f aca="false">IF($A232="",0,INT(($A232-Macrociclo!$C$11)/7)+1)</f>
        <v>0</v>
      </c>
      <c r="C232" s="20"/>
      <c r="D232" s="20"/>
      <c r="E232" s="22"/>
      <c r="F232" s="22"/>
      <c r="G232" s="20"/>
    </row>
    <row r="233" customFormat="false" ht="15" hidden="false" customHeight="false" outlineLevel="0" collapsed="false">
      <c r="A233" s="21"/>
      <c r="B233" s="33" t="n">
        <f aca="false">IF($A233="",0,INT(($A233-Macrociclo!$C$11)/7)+1)</f>
        <v>0</v>
      </c>
      <c r="C233" s="20"/>
      <c r="D233" s="20"/>
      <c r="E233" s="22"/>
      <c r="F233" s="22"/>
      <c r="G233" s="20"/>
    </row>
    <row r="234" customFormat="false" ht="15" hidden="false" customHeight="false" outlineLevel="0" collapsed="false">
      <c r="A234" s="21"/>
      <c r="B234" s="33" t="n">
        <f aca="false">IF($A234="",0,INT(($A234-Macrociclo!$C$11)/7)+1)</f>
        <v>0</v>
      </c>
      <c r="C234" s="20"/>
      <c r="D234" s="20"/>
      <c r="E234" s="22"/>
      <c r="F234" s="22"/>
      <c r="G234" s="20"/>
    </row>
    <row r="235" customFormat="false" ht="15" hidden="false" customHeight="false" outlineLevel="0" collapsed="false">
      <c r="A235" s="21"/>
      <c r="B235" s="33" t="n">
        <f aca="false">IF($A235="",0,INT(($A235-Macrociclo!$C$11)/7)+1)</f>
        <v>0</v>
      </c>
      <c r="C235" s="20"/>
      <c r="D235" s="20"/>
      <c r="E235" s="22"/>
      <c r="F235" s="22"/>
      <c r="G235" s="20"/>
    </row>
    <row r="236" customFormat="false" ht="15" hidden="false" customHeight="false" outlineLevel="0" collapsed="false">
      <c r="A236" s="21"/>
      <c r="B236" s="33" t="n">
        <f aca="false">IF($A236="",0,INT(($A236-Macrociclo!$C$11)/7)+1)</f>
        <v>0</v>
      </c>
      <c r="C236" s="20"/>
      <c r="D236" s="20"/>
      <c r="E236" s="22"/>
      <c r="F236" s="22"/>
      <c r="G236" s="20"/>
    </row>
    <row r="237" customFormat="false" ht="15" hidden="false" customHeight="false" outlineLevel="0" collapsed="false">
      <c r="A237" s="21"/>
      <c r="B237" s="33" t="n">
        <f aca="false">IF($A237="",0,INT(($A237-Macrociclo!$C$11)/7)+1)</f>
        <v>0</v>
      </c>
      <c r="C237" s="20"/>
      <c r="D237" s="20"/>
      <c r="E237" s="22"/>
      <c r="F237" s="22"/>
      <c r="G237" s="20"/>
    </row>
    <row r="238" customFormat="false" ht="15" hidden="false" customHeight="false" outlineLevel="0" collapsed="false">
      <c r="A238" s="21"/>
      <c r="B238" s="33" t="n">
        <f aca="false">IF($A238="",0,INT(($A238-Macrociclo!$C$11)/7)+1)</f>
        <v>0</v>
      </c>
      <c r="C238" s="20"/>
      <c r="D238" s="20"/>
      <c r="E238" s="22"/>
      <c r="F238" s="22"/>
      <c r="G238" s="20"/>
    </row>
    <row r="239" customFormat="false" ht="15" hidden="false" customHeight="false" outlineLevel="0" collapsed="false">
      <c r="A239" s="21"/>
      <c r="B239" s="33" t="n">
        <f aca="false">IF($A239="",0,INT(($A239-Macrociclo!$C$11)/7)+1)</f>
        <v>0</v>
      </c>
      <c r="C239" s="20"/>
      <c r="D239" s="20"/>
      <c r="E239" s="22"/>
      <c r="F239" s="22"/>
      <c r="G239" s="20"/>
    </row>
    <row r="240" customFormat="false" ht="15" hidden="false" customHeight="false" outlineLevel="0" collapsed="false">
      <c r="A240" s="21"/>
      <c r="B240" s="33" t="n">
        <f aca="false">IF($A240="",0,INT(($A240-Macrociclo!$C$11)/7)+1)</f>
        <v>0</v>
      </c>
      <c r="C240" s="20"/>
      <c r="D240" s="20"/>
      <c r="E240" s="22"/>
      <c r="F240" s="22"/>
      <c r="G240" s="20"/>
    </row>
    <row r="241" customFormat="false" ht="15" hidden="false" customHeight="false" outlineLevel="0" collapsed="false">
      <c r="A241" s="21"/>
      <c r="B241" s="33" t="n">
        <f aca="false">IF($A241="",0,INT(($A241-Macrociclo!$C$11)/7)+1)</f>
        <v>0</v>
      </c>
      <c r="C241" s="20"/>
      <c r="D241" s="20"/>
      <c r="E241" s="22"/>
      <c r="F241" s="22"/>
      <c r="G241" s="20"/>
    </row>
    <row r="242" customFormat="false" ht="15" hidden="false" customHeight="false" outlineLevel="0" collapsed="false">
      <c r="A242" s="21"/>
      <c r="B242" s="33" t="n">
        <f aca="false">IF($A242="",0,INT(($A242-Macrociclo!$C$11)/7)+1)</f>
        <v>0</v>
      </c>
      <c r="C242" s="20"/>
      <c r="D242" s="20"/>
      <c r="E242" s="22"/>
      <c r="F242" s="22"/>
      <c r="G242" s="20"/>
    </row>
    <row r="243" customFormat="false" ht="15" hidden="false" customHeight="false" outlineLevel="0" collapsed="false">
      <c r="A243" s="21"/>
      <c r="B243" s="33" t="n">
        <f aca="false">IF($A243="",0,INT(($A243-Macrociclo!$C$11)/7)+1)</f>
        <v>0</v>
      </c>
      <c r="C243" s="20"/>
      <c r="D243" s="20"/>
      <c r="E243" s="22"/>
      <c r="F243" s="22"/>
      <c r="G243" s="20"/>
    </row>
    <row r="244" customFormat="false" ht="15" hidden="false" customHeight="false" outlineLevel="0" collapsed="false">
      <c r="A244" s="21"/>
      <c r="B244" s="33" t="n">
        <f aca="false">IF($A244="",0,INT(($A244-Macrociclo!$C$11)/7)+1)</f>
        <v>0</v>
      </c>
      <c r="C244" s="20"/>
      <c r="D244" s="20"/>
      <c r="E244" s="22"/>
      <c r="F244" s="22"/>
      <c r="G244" s="20"/>
    </row>
    <row r="245" customFormat="false" ht="15" hidden="false" customHeight="false" outlineLevel="0" collapsed="false">
      <c r="A245" s="21"/>
      <c r="B245" s="33" t="n">
        <f aca="false">IF($A245="",0,INT(($A245-Macrociclo!$C$11)/7)+1)</f>
        <v>0</v>
      </c>
      <c r="C245" s="20"/>
      <c r="D245" s="20"/>
      <c r="E245" s="22"/>
      <c r="F245" s="22"/>
      <c r="G245" s="20"/>
    </row>
    <row r="246" customFormat="false" ht="15" hidden="false" customHeight="false" outlineLevel="0" collapsed="false">
      <c r="A246" s="21"/>
      <c r="B246" s="33" t="n">
        <f aca="false">IF($A246="",0,INT(($A246-Macrociclo!$C$11)/7)+1)</f>
        <v>0</v>
      </c>
      <c r="C246" s="20"/>
      <c r="D246" s="20"/>
      <c r="E246" s="22"/>
      <c r="F246" s="22"/>
      <c r="G246" s="20"/>
    </row>
    <row r="247" customFormat="false" ht="15" hidden="false" customHeight="false" outlineLevel="0" collapsed="false">
      <c r="A247" s="21"/>
      <c r="B247" s="33" t="n">
        <f aca="false">IF($A247="",0,INT(($A247-Macrociclo!$C$11)/7)+1)</f>
        <v>0</v>
      </c>
      <c r="C247" s="20"/>
      <c r="D247" s="20"/>
      <c r="E247" s="22"/>
      <c r="F247" s="22"/>
      <c r="G247" s="20"/>
    </row>
    <row r="248" customFormat="false" ht="15" hidden="false" customHeight="false" outlineLevel="0" collapsed="false">
      <c r="A248" s="21"/>
      <c r="B248" s="33" t="n">
        <f aca="false">IF($A248="",0,INT(($A248-Macrociclo!$C$11)/7)+1)</f>
        <v>0</v>
      </c>
      <c r="C248" s="20"/>
      <c r="D248" s="20"/>
      <c r="E248" s="22"/>
      <c r="F248" s="22"/>
      <c r="G248" s="20"/>
    </row>
    <row r="249" customFormat="false" ht="15" hidden="false" customHeight="false" outlineLevel="0" collapsed="false">
      <c r="A249" s="21"/>
      <c r="B249" s="33" t="n">
        <f aca="false">IF($A249="",0,INT(($A249-Macrociclo!$C$11)/7)+1)</f>
        <v>0</v>
      </c>
      <c r="C249" s="20"/>
      <c r="D249" s="20"/>
      <c r="E249" s="22"/>
      <c r="F249" s="22"/>
      <c r="G249" s="20"/>
    </row>
    <row r="250" customFormat="false" ht="15" hidden="false" customHeight="false" outlineLevel="0" collapsed="false">
      <c r="A250" s="21"/>
      <c r="B250" s="33" t="n">
        <f aca="false">IF($A250="",0,INT(($A250-Macrociclo!$C$11)/7)+1)</f>
        <v>0</v>
      </c>
      <c r="C250" s="20"/>
      <c r="D250" s="20"/>
      <c r="E250" s="22"/>
      <c r="F250" s="22"/>
      <c r="G250" s="20"/>
    </row>
    <row r="251" customFormat="false" ht="15" hidden="false" customHeight="false" outlineLevel="0" collapsed="false">
      <c r="A251" s="21"/>
      <c r="B251" s="33" t="n">
        <f aca="false">IF($A251="",0,INT(($A251-Macrociclo!$C$11)/7)+1)</f>
        <v>0</v>
      </c>
      <c r="C251" s="20"/>
      <c r="D251" s="20"/>
      <c r="E251" s="22"/>
      <c r="F251" s="22"/>
      <c r="G251" s="20"/>
    </row>
    <row r="252" customFormat="false" ht="15" hidden="false" customHeight="false" outlineLevel="0" collapsed="false">
      <c r="A252" s="21"/>
      <c r="B252" s="33" t="n">
        <f aca="false">IF($A252="",0,INT(($A252-Macrociclo!$C$11)/7)+1)</f>
        <v>0</v>
      </c>
      <c r="C252" s="20"/>
      <c r="D252" s="20"/>
      <c r="E252" s="22"/>
      <c r="F252" s="22"/>
      <c r="G252" s="20"/>
    </row>
    <row r="253" customFormat="false" ht="15" hidden="false" customHeight="false" outlineLevel="0" collapsed="false">
      <c r="A253" s="21"/>
      <c r="B253" s="33" t="n">
        <f aca="false">IF($A253="",0,INT(($A253-Macrociclo!$C$11)/7)+1)</f>
        <v>0</v>
      </c>
      <c r="C253" s="20"/>
      <c r="D253" s="20"/>
      <c r="E253" s="22"/>
      <c r="F253" s="22"/>
      <c r="G253" s="20"/>
    </row>
    <row r="254" customFormat="false" ht="15" hidden="false" customHeight="false" outlineLevel="0" collapsed="false">
      <c r="A254" s="21"/>
      <c r="B254" s="33" t="n">
        <f aca="false">IF($A254="",0,INT(($A254-Macrociclo!$C$11)/7)+1)</f>
        <v>0</v>
      </c>
      <c r="C254" s="20"/>
      <c r="D254" s="20"/>
      <c r="E254" s="22"/>
      <c r="F254" s="22"/>
      <c r="G254" s="20"/>
    </row>
    <row r="255" customFormat="false" ht="15" hidden="false" customHeight="false" outlineLevel="0" collapsed="false">
      <c r="A255" s="21"/>
      <c r="B255" s="33" t="n">
        <f aca="false">IF($A255="",0,INT(($A255-Macrociclo!$C$11)/7)+1)</f>
        <v>0</v>
      </c>
      <c r="C255" s="20"/>
      <c r="D255" s="20"/>
      <c r="E255" s="22"/>
      <c r="F255" s="22"/>
      <c r="G255" s="20"/>
    </row>
    <row r="256" customFormat="false" ht="15" hidden="false" customHeight="false" outlineLevel="0" collapsed="false">
      <c r="A256" s="21"/>
      <c r="B256" s="33" t="n">
        <f aca="false">IF($A256="",0,INT(($A256-Macrociclo!$C$11)/7)+1)</f>
        <v>0</v>
      </c>
      <c r="C256" s="20"/>
      <c r="D256" s="20"/>
      <c r="E256" s="22"/>
      <c r="F256" s="22"/>
      <c r="G256" s="20"/>
    </row>
    <row r="257" customFormat="false" ht="15" hidden="false" customHeight="false" outlineLevel="0" collapsed="false">
      <c r="A257" s="21"/>
      <c r="B257" s="33" t="n">
        <f aca="false">IF($A257="",0,INT(($A257-Macrociclo!$C$11)/7)+1)</f>
        <v>0</v>
      </c>
      <c r="C257" s="20"/>
      <c r="D257" s="20"/>
      <c r="E257" s="22"/>
      <c r="F257" s="22"/>
      <c r="G257" s="20"/>
    </row>
    <row r="258" customFormat="false" ht="15" hidden="false" customHeight="false" outlineLevel="0" collapsed="false">
      <c r="A258" s="21"/>
      <c r="B258" s="33" t="n">
        <f aca="false">IF($A258="",0,INT(($A258-Macrociclo!$C$11)/7)+1)</f>
        <v>0</v>
      </c>
      <c r="C258" s="20"/>
      <c r="D258" s="20"/>
      <c r="E258" s="22"/>
      <c r="F258" s="22"/>
      <c r="G258" s="20"/>
    </row>
    <row r="259" customFormat="false" ht="15" hidden="false" customHeight="false" outlineLevel="0" collapsed="false">
      <c r="A259" s="21"/>
      <c r="B259" s="33" t="n">
        <f aca="false">IF($A259="",0,INT(($A259-Macrociclo!$C$11)/7)+1)</f>
        <v>0</v>
      </c>
      <c r="C259" s="20"/>
      <c r="D259" s="20"/>
      <c r="E259" s="22"/>
      <c r="F259" s="22"/>
      <c r="G259" s="20"/>
    </row>
    <row r="260" customFormat="false" ht="15" hidden="false" customHeight="false" outlineLevel="0" collapsed="false">
      <c r="A260" s="21"/>
      <c r="B260" s="33" t="n">
        <f aca="false">IF($A260="",0,INT(($A260-Macrociclo!$C$11)/7)+1)</f>
        <v>0</v>
      </c>
      <c r="C260" s="20"/>
      <c r="D260" s="20"/>
      <c r="E260" s="22"/>
      <c r="F260" s="22"/>
      <c r="G260" s="20"/>
    </row>
    <row r="261" customFormat="false" ht="15" hidden="false" customHeight="false" outlineLevel="0" collapsed="false">
      <c r="A261" s="21"/>
      <c r="B261" s="33" t="n">
        <f aca="false">IF($A261="",0,INT(($A261-Macrociclo!$C$11)/7)+1)</f>
        <v>0</v>
      </c>
      <c r="C261" s="20"/>
      <c r="D261" s="20"/>
      <c r="E261" s="22"/>
      <c r="F261" s="22"/>
      <c r="G261" s="20"/>
    </row>
    <row r="262" customFormat="false" ht="15" hidden="false" customHeight="false" outlineLevel="0" collapsed="false">
      <c r="A262" s="21"/>
      <c r="B262" s="33" t="n">
        <f aca="false">IF($A262="",0,INT(($A262-Macrociclo!$C$11)/7)+1)</f>
        <v>0</v>
      </c>
      <c r="C262" s="20"/>
      <c r="D262" s="20"/>
      <c r="E262" s="22"/>
      <c r="F262" s="22"/>
      <c r="G262" s="20"/>
    </row>
    <row r="263" customFormat="false" ht="15" hidden="false" customHeight="false" outlineLevel="0" collapsed="false">
      <c r="A263" s="21"/>
      <c r="B263" s="33" t="n">
        <f aca="false">IF($A263="",0,INT(($A263-Macrociclo!$C$11)/7)+1)</f>
        <v>0</v>
      </c>
      <c r="C263" s="20"/>
      <c r="D263" s="20"/>
      <c r="E263" s="22"/>
      <c r="F263" s="22"/>
      <c r="G263" s="20"/>
    </row>
    <row r="264" customFormat="false" ht="15" hidden="false" customHeight="false" outlineLevel="0" collapsed="false">
      <c r="A264" s="21"/>
      <c r="B264" s="33" t="n">
        <f aca="false">IF($A264="",0,INT(($A264-Macrociclo!$C$11)/7)+1)</f>
        <v>0</v>
      </c>
      <c r="C264" s="20"/>
      <c r="D264" s="20"/>
      <c r="E264" s="22"/>
      <c r="F264" s="22"/>
      <c r="G264" s="20"/>
    </row>
    <row r="265" customFormat="false" ht="15" hidden="false" customHeight="false" outlineLevel="0" collapsed="false">
      <c r="A265" s="21"/>
      <c r="B265" s="33" t="n">
        <f aca="false">IF($A265="",0,INT(($A265-Macrociclo!$C$11)/7)+1)</f>
        <v>0</v>
      </c>
      <c r="C265" s="20"/>
      <c r="D265" s="20"/>
      <c r="E265" s="22"/>
      <c r="F265" s="22"/>
      <c r="G265" s="20"/>
    </row>
    <row r="266" customFormat="false" ht="15" hidden="false" customHeight="false" outlineLevel="0" collapsed="false">
      <c r="A266" s="21"/>
      <c r="B266" s="33" t="n">
        <f aca="false">IF($A266="",0,INT(($A266-Macrociclo!$C$11)/7)+1)</f>
        <v>0</v>
      </c>
      <c r="C266" s="20"/>
      <c r="D266" s="20"/>
      <c r="E266" s="22"/>
      <c r="F266" s="22"/>
      <c r="G266" s="20"/>
    </row>
    <row r="267" customFormat="false" ht="15" hidden="false" customHeight="false" outlineLevel="0" collapsed="false">
      <c r="A267" s="21"/>
      <c r="B267" s="33" t="n">
        <f aca="false">IF($A267="",0,INT(($A267-Macrociclo!$C$11)/7)+1)</f>
        <v>0</v>
      </c>
      <c r="C267" s="20"/>
      <c r="D267" s="20"/>
      <c r="E267" s="22"/>
      <c r="F267" s="22"/>
      <c r="G267" s="20"/>
    </row>
    <row r="268" customFormat="false" ht="15" hidden="false" customHeight="false" outlineLevel="0" collapsed="false">
      <c r="A268" s="21"/>
      <c r="B268" s="33" t="n">
        <f aca="false">IF($A268="",0,INT(($A268-Macrociclo!$C$11)/7)+1)</f>
        <v>0</v>
      </c>
      <c r="C268" s="20"/>
      <c r="D268" s="20"/>
      <c r="E268" s="22"/>
      <c r="F268" s="22"/>
      <c r="G268" s="20"/>
    </row>
    <row r="269" customFormat="false" ht="15" hidden="false" customHeight="false" outlineLevel="0" collapsed="false">
      <c r="A269" s="21"/>
      <c r="B269" s="33" t="n">
        <f aca="false">IF($A269="",0,INT(($A269-Macrociclo!$C$11)/7)+1)</f>
        <v>0</v>
      </c>
      <c r="C269" s="20"/>
      <c r="D269" s="20"/>
      <c r="E269" s="22"/>
      <c r="F269" s="22"/>
      <c r="G269" s="20"/>
    </row>
    <row r="270" customFormat="false" ht="15" hidden="false" customHeight="false" outlineLevel="0" collapsed="false">
      <c r="A270" s="21"/>
      <c r="B270" s="33" t="n">
        <f aca="false">IF($A270="",0,INT(($A270-Macrociclo!$C$11)/7)+1)</f>
        <v>0</v>
      </c>
      <c r="C270" s="20"/>
      <c r="D270" s="20"/>
      <c r="E270" s="22"/>
      <c r="F270" s="22"/>
      <c r="G270" s="20"/>
    </row>
    <row r="271" customFormat="false" ht="15" hidden="false" customHeight="false" outlineLevel="0" collapsed="false">
      <c r="A271" s="21"/>
      <c r="B271" s="33" t="n">
        <f aca="false">IF($A271="",0,INT(($A271-Macrociclo!$C$11)/7)+1)</f>
        <v>0</v>
      </c>
      <c r="C271" s="20"/>
      <c r="D271" s="20"/>
      <c r="E271" s="22"/>
      <c r="F271" s="22"/>
      <c r="G271" s="20"/>
    </row>
    <row r="272" customFormat="false" ht="15" hidden="false" customHeight="false" outlineLevel="0" collapsed="false">
      <c r="A272" s="21"/>
      <c r="B272" s="33" t="n">
        <f aca="false">IF($A272="",0,INT(($A272-Macrociclo!$C$11)/7)+1)</f>
        <v>0</v>
      </c>
      <c r="C272" s="20"/>
      <c r="D272" s="20"/>
      <c r="E272" s="22"/>
      <c r="F272" s="22"/>
      <c r="G272" s="20"/>
    </row>
    <row r="273" customFormat="false" ht="15" hidden="false" customHeight="false" outlineLevel="0" collapsed="false">
      <c r="A273" s="21"/>
      <c r="B273" s="33" t="n">
        <f aca="false">IF($A273="",0,INT(($A273-Macrociclo!$C$11)/7)+1)</f>
        <v>0</v>
      </c>
      <c r="C273" s="20"/>
      <c r="D273" s="20"/>
      <c r="E273" s="22"/>
      <c r="F273" s="22"/>
      <c r="G273" s="20"/>
    </row>
    <row r="274" customFormat="false" ht="15" hidden="false" customHeight="false" outlineLevel="0" collapsed="false">
      <c r="A274" s="21"/>
      <c r="B274" s="33" t="n">
        <f aca="false">IF($A274="",0,INT(($A274-Macrociclo!$C$11)/7)+1)</f>
        <v>0</v>
      </c>
      <c r="C274" s="20"/>
      <c r="D274" s="20"/>
      <c r="E274" s="22"/>
      <c r="F274" s="22"/>
      <c r="G274" s="20"/>
    </row>
    <row r="275" customFormat="false" ht="15" hidden="false" customHeight="false" outlineLevel="0" collapsed="false">
      <c r="A275" s="21"/>
      <c r="B275" s="33" t="n">
        <f aca="false">IF($A275="",0,INT(($A275-Macrociclo!$C$11)/7)+1)</f>
        <v>0</v>
      </c>
      <c r="C275" s="20"/>
      <c r="D275" s="20"/>
      <c r="E275" s="22"/>
      <c r="F275" s="22"/>
      <c r="G275" s="20"/>
    </row>
    <row r="276" customFormat="false" ht="15" hidden="false" customHeight="false" outlineLevel="0" collapsed="false">
      <c r="A276" s="21"/>
      <c r="B276" s="33" t="n">
        <f aca="false">IF($A276="",0,INT(($A276-Macrociclo!$C$11)/7)+1)</f>
        <v>0</v>
      </c>
      <c r="C276" s="20"/>
      <c r="D276" s="20"/>
      <c r="E276" s="22"/>
      <c r="F276" s="22"/>
      <c r="G276" s="20"/>
    </row>
    <row r="277" customFormat="false" ht="15" hidden="false" customHeight="false" outlineLevel="0" collapsed="false">
      <c r="A277" s="21"/>
      <c r="B277" s="33" t="n">
        <f aca="false">IF($A277="",0,INT(($A277-Macrociclo!$C$11)/7)+1)</f>
        <v>0</v>
      </c>
      <c r="C277" s="20"/>
      <c r="D277" s="20"/>
      <c r="E277" s="22"/>
      <c r="F277" s="22"/>
      <c r="G277" s="20"/>
    </row>
    <row r="278" customFormat="false" ht="15" hidden="false" customHeight="false" outlineLevel="0" collapsed="false">
      <c r="A278" s="21"/>
      <c r="B278" s="33" t="n">
        <f aca="false">IF($A278="",0,INT(($A278-Macrociclo!$C$11)/7)+1)</f>
        <v>0</v>
      </c>
      <c r="C278" s="20"/>
      <c r="D278" s="20"/>
      <c r="E278" s="22"/>
      <c r="F278" s="22"/>
      <c r="G278" s="20"/>
    </row>
    <row r="279" customFormat="false" ht="15" hidden="false" customHeight="false" outlineLevel="0" collapsed="false">
      <c r="A279" s="21"/>
      <c r="B279" s="33" t="n">
        <f aca="false">IF($A279="",0,INT(($A279-Macrociclo!$C$11)/7)+1)</f>
        <v>0</v>
      </c>
      <c r="C279" s="20"/>
      <c r="D279" s="20"/>
      <c r="E279" s="22"/>
      <c r="F279" s="22"/>
      <c r="G279" s="20"/>
    </row>
    <row r="280" customFormat="false" ht="15" hidden="false" customHeight="false" outlineLevel="0" collapsed="false">
      <c r="A280" s="21"/>
      <c r="B280" s="33" t="n">
        <f aca="false">IF($A280="",0,INT(($A280-Macrociclo!$C$11)/7)+1)</f>
        <v>0</v>
      </c>
      <c r="C280" s="20"/>
      <c r="D280" s="20"/>
      <c r="E280" s="22"/>
      <c r="F280" s="22"/>
      <c r="G280" s="20"/>
    </row>
    <row r="281" customFormat="false" ht="15" hidden="false" customHeight="false" outlineLevel="0" collapsed="false">
      <c r="A281" s="21"/>
      <c r="B281" s="33" t="n">
        <f aca="false">IF($A281="",0,INT(($A281-Macrociclo!$C$11)/7)+1)</f>
        <v>0</v>
      </c>
      <c r="C281" s="20"/>
      <c r="D281" s="20"/>
      <c r="E281" s="22"/>
      <c r="F281" s="22"/>
      <c r="G281" s="20"/>
    </row>
    <row r="282" customFormat="false" ht="15" hidden="false" customHeight="false" outlineLevel="0" collapsed="false">
      <c r="A282" s="21"/>
      <c r="B282" s="33" t="n">
        <f aca="false">IF($A282="",0,INT(($A282-Macrociclo!$C$11)/7)+1)</f>
        <v>0</v>
      </c>
      <c r="C282" s="20"/>
      <c r="D282" s="20"/>
      <c r="E282" s="22"/>
      <c r="F282" s="22"/>
      <c r="G282" s="20"/>
    </row>
    <row r="283" customFormat="false" ht="15" hidden="false" customHeight="false" outlineLevel="0" collapsed="false">
      <c r="A283" s="21"/>
      <c r="B283" s="33" t="n">
        <f aca="false">IF($A283="",0,INT(($A283-Macrociclo!$C$11)/7)+1)</f>
        <v>0</v>
      </c>
      <c r="C283" s="20"/>
      <c r="D283" s="20"/>
      <c r="E283" s="22"/>
      <c r="F283" s="22"/>
      <c r="G283" s="20"/>
    </row>
    <row r="284" customFormat="false" ht="15" hidden="false" customHeight="false" outlineLevel="0" collapsed="false">
      <c r="A284" s="21"/>
      <c r="B284" s="33" t="n">
        <f aca="false">IF($A284="",0,INT(($A284-Macrociclo!$C$11)/7)+1)</f>
        <v>0</v>
      </c>
      <c r="C284" s="20"/>
      <c r="D284" s="20"/>
      <c r="E284" s="22"/>
      <c r="F284" s="22"/>
      <c r="G284" s="20"/>
    </row>
    <row r="285" customFormat="false" ht="15" hidden="false" customHeight="false" outlineLevel="0" collapsed="false">
      <c r="A285" s="21"/>
      <c r="B285" s="33" t="n">
        <f aca="false">IF($A285="",0,INT(($A285-Macrociclo!$C$11)/7)+1)</f>
        <v>0</v>
      </c>
      <c r="C285" s="20"/>
      <c r="D285" s="20"/>
      <c r="E285" s="22"/>
      <c r="F285" s="22"/>
      <c r="G285" s="20"/>
    </row>
    <row r="286" customFormat="false" ht="15" hidden="false" customHeight="false" outlineLevel="0" collapsed="false">
      <c r="A286" s="21"/>
      <c r="B286" s="33" t="n">
        <f aca="false">IF($A286="",0,INT(($A286-Macrociclo!$C$11)/7)+1)</f>
        <v>0</v>
      </c>
      <c r="C286" s="20"/>
      <c r="D286" s="20"/>
      <c r="E286" s="22"/>
      <c r="F286" s="22"/>
      <c r="G286" s="20"/>
    </row>
    <row r="287" customFormat="false" ht="15" hidden="false" customHeight="false" outlineLevel="0" collapsed="false">
      <c r="A287" s="21"/>
      <c r="B287" s="33" t="n">
        <f aca="false">IF($A287="",0,INT(($A287-Macrociclo!$C$11)/7)+1)</f>
        <v>0</v>
      </c>
      <c r="C287" s="20"/>
      <c r="D287" s="20"/>
      <c r="E287" s="22"/>
      <c r="F287" s="22"/>
      <c r="G287" s="20"/>
    </row>
    <row r="288" customFormat="false" ht="15" hidden="false" customHeight="false" outlineLevel="0" collapsed="false">
      <c r="A288" s="21"/>
      <c r="B288" s="33" t="n">
        <f aca="false">IF($A288="",0,INT(($A288-Macrociclo!$C$11)/7)+1)</f>
        <v>0</v>
      </c>
      <c r="C288" s="20"/>
      <c r="D288" s="20"/>
      <c r="E288" s="22"/>
      <c r="F288" s="22"/>
      <c r="G288" s="20"/>
    </row>
    <row r="289" customFormat="false" ht="15" hidden="false" customHeight="false" outlineLevel="0" collapsed="false">
      <c r="A289" s="21"/>
      <c r="B289" s="33" t="n">
        <f aca="false">IF($A289="",0,INT(($A289-Macrociclo!$C$11)/7)+1)</f>
        <v>0</v>
      </c>
      <c r="C289" s="20"/>
      <c r="D289" s="20"/>
      <c r="E289" s="22"/>
      <c r="F289" s="22"/>
      <c r="G289" s="20"/>
    </row>
    <row r="290" customFormat="false" ht="15" hidden="false" customHeight="false" outlineLevel="0" collapsed="false">
      <c r="A290" s="21"/>
      <c r="B290" s="33" t="n">
        <f aca="false">IF($A290="",0,INT(($A290-Macrociclo!$C$11)/7)+1)</f>
        <v>0</v>
      </c>
      <c r="C290" s="20"/>
      <c r="D290" s="20"/>
      <c r="E290" s="22"/>
      <c r="F290" s="22"/>
      <c r="G290" s="20"/>
    </row>
    <row r="291" customFormat="false" ht="15" hidden="false" customHeight="false" outlineLevel="0" collapsed="false">
      <c r="A291" s="21"/>
      <c r="B291" s="33" t="n">
        <f aca="false">IF($A291="",0,INT(($A291-Macrociclo!$C$11)/7)+1)</f>
        <v>0</v>
      </c>
      <c r="C291" s="20"/>
      <c r="D291" s="20"/>
      <c r="E291" s="22"/>
      <c r="F291" s="22"/>
      <c r="G291" s="20"/>
    </row>
    <row r="292" customFormat="false" ht="15" hidden="false" customHeight="false" outlineLevel="0" collapsed="false">
      <c r="A292" s="21"/>
      <c r="B292" s="33" t="n">
        <f aca="false">IF($A292="",0,INT(($A292-Macrociclo!$C$11)/7)+1)</f>
        <v>0</v>
      </c>
      <c r="C292" s="20"/>
      <c r="D292" s="20"/>
      <c r="E292" s="22"/>
      <c r="F292" s="22"/>
      <c r="G292" s="20"/>
    </row>
    <row r="293" customFormat="false" ht="15" hidden="false" customHeight="false" outlineLevel="0" collapsed="false">
      <c r="A293" s="21"/>
      <c r="B293" s="33" t="n">
        <f aca="false">IF($A293="",0,INT(($A293-Macrociclo!$C$11)/7)+1)</f>
        <v>0</v>
      </c>
      <c r="C293" s="20"/>
      <c r="D293" s="20"/>
      <c r="E293" s="22"/>
      <c r="F293" s="22"/>
      <c r="G293" s="20"/>
    </row>
    <row r="294" customFormat="false" ht="15" hidden="false" customHeight="false" outlineLevel="0" collapsed="false">
      <c r="A294" s="21"/>
      <c r="B294" s="33" t="n">
        <f aca="false">IF($A294="",0,INT(($A294-Macrociclo!$C$11)/7)+1)</f>
        <v>0</v>
      </c>
      <c r="C294" s="20"/>
      <c r="D294" s="20"/>
      <c r="E294" s="22"/>
      <c r="F294" s="22"/>
      <c r="G294" s="20"/>
    </row>
    <row r="295" customFormat="false" ht="15" hidden="false" customHeight="false" outlineLevel="0" collapsed="false">
      <c r="A295" s="21"/>
      <c r="B295" s="33" t="n">
        <f aca="false">IF($A295="",0,INT(($A295-Macrociclo!$C$11)/7)+1)</f>
        <v>0</v>
      </c>
      <c r="C295" s="20"/>
      <c r="D295" s="20"/>
      <c r="E295" s="22"/>
      <c r="F295" s="22"/>
      <c r="G295" s="20"/>
    </row>
    <row r="296" customFormat="false" ht="15" hidden="false" customHeight="false" outlineLevel="0" collapsed="false">
      <c r="A296" s="21"/>
      <c r="B296" s="33" t="n">
        <f aca="false">IF($A296="",0,INT(($A296-Macrociclo!$C$11)/7)+1)</f>
        <v>0</v>
      </c>
      <c r="C296" s="20"/>
      <c r="D296" s="20"/>
      <c r="E296" s="22"/>
      <c r="F296" s="22"/>
      <c r="G296" s="20"/>
    </row>
    <row r="297" customFormat="false" ht="15" hidden="false" customHeight="false" outlineLevel="0" collapsed="false">
      <c r="A297" s="21"/>
      <c r="B297" s="33" t="n">
        <f aca="false">IF($A297="",0,INT(($A297-Macrociclo!$C$11)/7)+1)</f>
        <v>0</v>
      </c>
      <c r="C297" s="20"/>
      <c r="D297" s="20"/>
      <c r="E297" s="22"/>
      <c r="F297" s="22"/>
      <c r="G297" s="20"/>
    </row>
    <row r="298" customFormat="false" ht="15" hidden="false" customHeight="false" outlineLevel="0" collapsed="false">
      <c r="A298" s="21"/>
      <c r="B298" s="33" t="n">
        <f aca="false">IF($A298="",0,INT(($A298-Macrociclo!$C$11)/7)+1)</f>
        <v>0</v>
      </c>
      <c r="C298" s="20"/>
      <c r="D298" s="20"/>
      <c r="E298" s="22"/>
      <c r="F298" s="22"/>
      <c r="G298" s="20"/>
    </row>
    <row r="299" customFormat="false" ht="15" hidden="false" customHeight="false" outlineLevel="0" collapsed="false">
      <c r="A299" s="21"/>
      <c r="B299" s="33" t="n">
        <f aca="false">IF($A299="",0,INT(($A299-Macrociclo!$C$11)/7)+1)</f>
        <v>0</v>
      </c>
      <c r="C299" s="20"/>
      <c r="D299" s="20"/>
      <c r="E299" s="22"/>
      <c r="F299" s="22"/>
      <c r="G299" s="20"/>
    </row>
    <row r="300" customFormat="false" ht="15" hidden="false" customHeight="false" outlineLevel="0" collapsed="false">
      <c r="A300" s="21"/>
      <c r="B300" s="33" t="n">
        <f aca="false">IF($A300="",0,INT(($A300-Macrociclo!$C$11)/7)+1)</f>
        <v>0</v>
      </c>
      <c r="C300" s="20"/>
      <c r="D300" s="20"/>
      <c r="E300" s="22"/>
      <c r="F300" s="22"/>
      <c r="G300" s="20"/>
    </row>
    <row r="301" customFormat="false" ht="15" hidden="false" customHeight="false" outlineLevel="0" collapsed="false">
      <c r="A301" s="21"/>
      <c r="B301" s="33" t="n">
        <f aca="false">IF($A301="",0,INT(($A301-Macrociclo!$C$11)/7)+1)</f>
        <v>0</v>
      </c>
      <c r="C301" s="20"/>
      <c r="D301" s="20"/>
      <c r="E301" s="22"/>
      <c r="F301" s="22"/>
      <c r="G301" s="20"/>
    </row>
    <row r="302" customFormat="false" ht="15" hidden="false" customHeight="false" outlineLevel="0" collapsed="false">
      <c r="A302" s="21"/>
      <c r="B302" s="33" t="n">
        <f aca="false">IF($A302="",0,INT(($A302-Macrociclo!$C$11)/7)+1)</f>
        <v>0</v>
      </c>
      <c r="C302" s="20"/>
      <c r="D302" s="20"/>
      <c r="E302" s="22"/>
      <c r="F302" s="22"/>
      <c r="G302" s="20"/>
    </row>
    <row r="303" customFormat="false" ht="15" hidden="false" customHeight="false" outlineLevel="0" collapsed="false">
      <c r="A303" s="21"/>
      <c r="B303" s="33" t="n">
        <f aca="false">IF($A303="",0,INT(($A303-Macrociclo!$C$11)/7)+1)</f>
        <v>0</v>
      </c>
      <c r="C303" s="20"/>
      <c r="D303" s="20"/>
      <c r="E303" s="22"/>
      <c r="F303" s="22"/>
      <c r="G303" s="20"/>
    </row>
    <row r="304" customFormat="false" ht="15" hidden="false" customHeight="false" outlineLevel="0" collapsed="false">
      <c r="A304" s="21"/>
      <c r="B304" s="33" t="n">
        <f aca="false">IF($A304="",0,INT(($A304-Macrociclo!$C$11)/7)+1)</f>
        <v>0</v>
      </c>
      <c r="C304" s="20"/>
      <c r="D304" s="20"/>
      <c r="E304" s="22"/>
      <c r="F304" s="22"/>
      <c r="G304" s="20"/>
    </row>
    <row r="305" customFormat="false" ht="15" hidden="false" customHeight="false" outlineLevel="0" collapsed="false">
      <c r="A305" s="21"/>
      <c r="B305" s="33" t="n">
        <f aca="false">IF($A305="",0,INT(($A305-Macrociclo!$C$11)/7)+1)</f>
        <v>0</v>
      </c>
      <c r="C305" s="20"/>
      <c r="D305" s="20"/>
      <c r="E305" s="22"/>
      <c r="F305" s="22"/>
      <c r="G305" s="20"/>
    </row>
    <row r="306" customFormat="false" ht="15" hidden="false" customHeight="false" outlineLevel="0" collapsed="false">
      <c r="A306" s="21"/>
      <c r="B306" s="33" t="n">
        <f aca="false">IF($A306="",0,INT(($A306-Macrociclo!$C$11)/7)+1)</f>
        <v>0</v>
      </c>
      <c r="C306" s="20"/>
      <c r="D306" s="20"/>
      <c r="E306" s="22"/>
      <c r="F306" s="22"/>
      <c r="G306" s="20"/>
    </row>
    <row r="307" customFormat="false" ht="15" hidden="false" customHeight="false" outlineLevel="0" collapsed="false">
      <c r="A307" s="21"/>
      <c r="B307" s="33" t="n">
        <f aca="false">IF($A307="",0,INT(($A307-Macrociclo!$C$11)/7)+1)</f>
        <v>0</v>
      </c>
      <c r="C307" s="20"/>
      <c r="D307" s="20"/>
      <c r="E307" s="22"/>
      <c r="F307" s="22"/>
      <c r="G307" s="20"/>
    </row>
    <row r="308" customFormat="false" ht="15" hidden="false" customHeight="false" outlineLevel="0" collapsed="false">
      <c r="A308" s="21"/>
      <c r="B308" s="33" t="n">
        <f aca="false">IF($A308="",0,INT(($A308-Macrociclo!$C$11)/7)+1)</f>
        <v>0</v>
      </c>
      <c r="C308" s="20"/>
      <c r="D308" s="20"/>
      <c r="E308" s="22"/>
      <c r="F308" s="22"/>
      <c r="G308" s="20"/>
    </row>
    <row r="309" customFormat="false" ht="15" hidden="false" customHeight="false" outlineLevel="0" collapsed="false">
      <c r="A309" s="21"/>
      <c r="B309" s="33" t="n">
        <f aca="false">IF($A309="",0,INT(($A309-Macrociclo!$C$11)/7)+1)</f>
        <v>0</v>
      </c>
      <c r="C309" s="20"/>
      <c r="D309" s="20"/>
      <c r="E309" s="22"/>
      <c r="F309" s="22"/>
      <c r="G309" s="20"/>
    </row>
    <row r="310" customFormat="false" ht="15" hidden="false" customHeight="false" outlineLevel="0" collapsed="false">
      <c r="A310" s="21"/>
      <c r="B310" s="33" t="n">
        <f aca="false">IF($A310="",0,INT(($A310-Macrociclo!$C$11)/7)+1)</f>
        <v>0</v>
      </c>
      <c r="C310" s="20"/>
      <c r="D310" s="20"/>
      <c r="E310" s="22"/>
      <c r="F310" s="22"/>
      <c r="G310" s="20"/>
    </row>
    <row r="311" customFormat="false" ht="15" hidden="false" customHeight="false" outlineLevel="0" collapsed="false">
      <c r="A311" s="21"/>
      <c r="B311" s="33" t="n">
        <f aca="false">IF($A311="",0,INT(($A311-Macrociclo!$C$11)/7)+1)</f>
        <v>0</v>
      </c>
      <c r="C311" s="20"/>
      <c r="D311" s="20"/>
      <c r="E311" s="22"/>
      <c r="F311" s="22"/>
      <c r="G311" s="20"/>
    </row>
    <row r="312" customFormat="false" ht="15" hidden="false" customHeight="false" outlineLevel="0" collapsed="false">
      <c r="A312" s="21"/>
      <c r="B312" s="33" t="n">
        <f aca="false">IF($A312="",0,INT(($A312-Macrociclo!$C$11)/7)+1)</f>
        <v>0</v>
      </c>
      <c r="C312" s="20"/>
      <c r="D312" s="20"/>
      <c r="E312" s="22"/>
      <c r="F312" s="22"/>
      <c r="G312" s="20"/>
    </row>
    <row r="313" customFormat="false" ht="15" hidden="false" customHeight="false" outlineLevel="0" collapsed="false">
      <c r="A313" s="21"/>
      <c r="B313" s="33" t="n">
        <f aca="false">IF($A313="",0,INT(($A313-Macrociclo!$C$11)/7)+1)</f>
        <v>0</v>
      </c>
      <c r="C313" s="20"/>
      <c r="D313" s="20"/>
      <c r="E313" s="22"/>
      <c r="F313" s="22"/>
      <c r="G313" s="20"/>
    </row>
    <row r="314" customFormat="false" ht="15" hidden="false" customHeight="false" outlineLevel="0" collapsed="false">
      <c r="A314" s="21"/>
      <c r="B314" s="33" t="n">
        <f aca="false">IF($A314="",0,INT(($A314-Macrociclo!$C$11)/7)+1)</f>
        <v>0</v>
      </c>
      <c r="C314" s="20"/>
      <c r="D314" s="20"/>
      <c r="E314" s="22"/>
      <c r="F314" s="22"/>
      <c r="G314" s="20"/>
    </row>
    <row r="315" customFormat="false" ht="15" hidden="false" customHeight="false" outlineLevel="0" collapsed="false">
      <c r="A315" s="21"/>
      <c r="B315" s="33" t="n">
        <f aca="false">IF($A315="",0,INT(($A315-Macrociclo!$C$11)/7)+1)</f>
        <v>0</v>
      </c>
      <c r="C315" s="20"/>
      <c r="D315" s="20"/>
      <c r="E315" s="22"/>
      <c r="F315" s="22"/>
      <c r="G315" s="20"/>
    </row>
    <row r="316" customFormat="false" ht="15" hidden="false" customHeight="false" outlineLevel="0" collapsed="false">
      <c r="A316" s="21"/>
      <c r="B316" s="33" t="n">
        <f aca="false">IF($A316="",0,INT(($A316-Macrociclo!$C$11)/7)+1)</f>
        <v>0</v>
      </c>
      <c r="C316" s="20"/>
      <c r="D316" s="20"/>
      <c r="E316" s="22"/>
      <c r="F316" s="22"/>
      <c r="G316" s="20"/>
    </row>
    <row r="317" customFormat="false" ht="15" hidden="false" customHeight="false" outlineLevel="0" collapsed="false">
      <c r="A317" s="21"/>
      <c r="B317" s="33" t="n">
        <f aca="false">IF($A317="",0,INT(($A317-Macrociclo!$C$11)/7)+1)</f>
        <v>0</v>
      </c>
      <c r="C317" s="20"/>
      <c r="D317" s="20"/>
      <c r="E317" s="22"/>
      <c r="F317" s="22"/>
      <c r="G317" s="20"/>
    </row>
    <row r="318" customFormat="false" ht="15" hidden="false" customHeight="false" outlineLevel="0" collapsed="false">
      <c r="A318" s="21"/>
      <c r="B318" s="33" t="n">
        <f aca="false">IF($A318="",0,INT(($A318-Macrociclo!$C$11)/7)+1)</f>
        <v>0</v>
      </c>
      <c r="C318" s="20"/>
      <c r="D318" s="20"/>
      <c r="E318" s="22"/>
      <c r="F318" s="22"/>
      <c r="G318" s="20"/>
    </row>
    <row r="319" customFormat="false" ht="15" hidden="false" customHeight="false" outlineLevel="0" collapsed="false">
      <c r="A319" s="21"/>
      <c r="B319" s="33" t="n">
        <f aca="false">IF($A319="",0,INT(($A319-Macrociclo!$C$11)/7)+1)</f>
        <v>0</v>
      </c>
      <c r="C319" s="20"/>
      <c r="D319" s="20"/>
      <c r="E319" s="22"/>
      <c r="F319" s="22"/>
      <c r="G319" s="20"/>
    </row>
    <row r="320" customFormat="false" ht="15" hidden="false" customHeight="false" outlineLevel="0" collapsed="false">
      <c r="A320" s="21"/>
      <c r="B320" s="33" t="n">
        <f aca="false">IF($A320="",0,INT(($A320-Macrociclo!$C$11)/7)+1)</f>
        <v>0</v>
      </c>
      <c r="C320" s="20"/>
      <c r="D320" s="20"/>
      <c r="E320" s="22"/>
      <c r="F320" s="22"/>
      <c r="G320" s="20"/>
    </row>
    <row r="321" customFormat="false" ht="15" hidden="false" customHeight="false" outlineLevel="0" collapsed="false">
      <c r="A321" s="21"/>
      <c r="B321" s="33" t="n">
        <f aca="false">IF($A321="",0,INT(($A321-Macrociclo!$C$11)/7)+1)</f>
        <v>0</v>
      </c>
      <c r="C321" s="20"/>
      <c r="D321" s="20"/>
      <c r="E321" s="22"/>
      <c r="F321" s="22"/>
      <c r="G321" s="20"/>
    </row>
    <row r="322" customFormat="false" ht="15" hidden="false" customHeight="false" outlineLevel="0" collapsed="false">
      <c r="A322" s="21"/>
      <c r="B322" s="33" t="n">
        <f aca="false">IF($A322="",0,INT(($A322-Macrociclo!$C$11)/7)+1)</f>
        <v>0</v>
      </c>
      <c r="C322" s="20"/>
      <c r="D322" s="20"/>
      <c r="E322" s="22"/>
      <c r="F322" s="22"/>
      <c r="G322" s="20"/>
    </row>
    <row r="323" customFormat="false" ht="15" hidden="false" customHeight="false" outlineLevel="0" collapsed="false">
      <c r="A323" s="21"/>
      <c r="B323" s="33" t="n">
        <f aca="false">IF($A323="",0,INT(($A323-Macrociclo!$C$11)/7)+1)</f>
        <v>0</v>
      </c>
      <c r="C323" s="20"/>
      <c r="D323" s="20"/>
      <c r="E323" s="22"/>
      <c r="F323" s="22"/>
      <c r="G323" s="20"/>
    </row>
    <row r="324" customFormat="false" ht="15" hidden="false" customHeight="false" outlineLevel="0" collapsed="false">
      <c r="A324" s="21"/>
      <c r="B324" s="33" t="n">
        <f aca="false">IF($A324="",0,INT(($A324-Macrociclo!$C$11)/7)+1)</f>
        <v>0</v>
      </c>
      <c r="C324" s="20"/>
      <c r="D324" s="20"/>
      <c r="E324" s="22"/>
      <c r="F324" s="22"/>
      <c r="G324" s="20"/>
    </row>
    <row r="325" customFormat="false" ht="15" hidden="false" customHeight="false" outlineLevel="0" collapsed="false">
      <c r="A325" s="21"/>
      <c r="B325" s="33" t="n">
        <f aca="false">IF($A325="",0,INT(($A325-Macrociclo!$C$11)/7)+1)</f>
        <v>0</v>
      </c>
      <c r="C325" s="20"/>
      <c r="D325" s="20"/>
      <c r="E325" s="22"/>
      <c r="F325" s="22"/>
      <c r="G325" s="20"/>
    </row>
    <row r="326" customFormat="false" ht="15" hidden="false" customHeight="false" outlineLevel="0" collapsed="false">
      <c r="A326" s="21"/>
      <c r="B326" s="33" t="n">
        <f aca="false">IF($A326="",0,INT(($A326-Macrociclo!$C$11)/7)+1)</f>
        <v>0</v>
      </c>
      <c r="C326" s="20"/>
      <c r="D326" s="20"/>
      <c r="E326" s="22"/>
      <c r="F326" s="22"/>
      <c r="G326" s="20"/>
    </row>
    <row r="327" customFormat="false" ht="15" hidden="false" customHeight="false" outlineLevel="0" collapsed="false">
      <c r="A327" s="21"/>
      <c r="B327" s="33" t="n">
        <f aca="false">IF($A327="",0,INT(($A327-Macrociclo!$C$11)/7)+1)</f>
        <v>0</v>
      </c>
      <c r="C327" s="20"/>
      <c r="D327" s="20"/>
      <c r="E327" s="22"/>
      <c r="F327" s="22"/>
      <c r="G327" s="20"/>
    </row>
    <row r="328" customFormat="false" ht="15" hidden="false" customHeight="false" outlineLevel="0" collapsed="false">
      <c r="A328" s="21"/>
      <c r="B328" s="33" t="n">
        <f aca="false">IF($A328="",0,INT(($A328-Macrociclo!$C$11)/7)+1)</f>
        <v>0</v>
      </c>
      <c r="C328" s="20"/>
      <c r="D328" s="20"/>
      <c r="E328" s="22"/>
      <c r="F328" s="22"/>
      <c r="G328" s="20"/>
    </row>
    <row r="329" customFormat="false" ht="15" hidden="false" customHeight="false" outlineLevel="0" collapsed="false">
      <c r="A329" s="21"/>
      <c r="B329" s="33" t="n">
        <f aca="false">IF($A329="",0,INT(($A329-Macrociclo!$C$11)/7)+1)</f>
        <v>0</v>
      </c>
      <c r="C329" s="20"/>
      <c r="D329" s="20"/>
      <c r="E329" s="22"/>
      <c r="F329" s="22"/>
      <c r="G329" s="20"/>
    </row>
    <row r="330" customFormat="false" ht="15" hidden="false" customHeight="false" outlineLevel="0" collapsed="false">
      <c r="A330" s="21"/>
      <c r="B330" s="33" t="n">
        <f aca="false">IF($A330="",0,INT(($A330-Macrociclo!$C$11)/7)+1)</f>
        <v>0</v>
      </c>
      <c r="C330" s="20"/>
      <c r="D330" s="20"/>
      <c r="E330" s="22"/>
      <c r="F330" s="22"/>
      <c r="G330" s="20"/>
    </row>
    <row r="331" customFormat="false" ht="15" hidden="false" customHeight="false" outlineLevel="0" collapsed="false">
      <c r="A331" s="21"/>
      <c r="B331" s="33" t="n">
        <f aca="false">IF($A331="",0,INT(($A331-Macrociclo!$C$11)/7)+1)</f>
        <v>0</v>
      </c>
      <c r="C331" s="20"/>
      <c r="D331" s="20"/>
      <c r="E331" s="22"/>
      <c r="F331" s="22"/>
      <c r="G331" s="20"/>
    </row>
    <row r="332" customFormat="false" ht="15" hidden="false" customHeight="false" outlineLevel="0" collapsed="false">
      <c r="A332" s="21"/>
      <c r="B332" s="33" t="n">
        <f aca="false">IF($A332="",0,INT(($A332-Macrociclo!$C$11)/7)+1)</f>
        <v>0</v>
      </c>
      <c r="C332" s="20"/>
      <c r="D332" s="20"/>
      <c r="E332" s="22"/>
      <c r="F332" s="22"/>
      <c r="G332" s="20"/>
    </row>
    <row r="333" customFormat="false" ht="15" hidden="false" customHeight="false" outlineLevel="0" collapsed="false">
      <c r="A333" s="21"/>
      <c r="B333" s="33" t="n">
        <f aca="false">IF($A333="",0,INT(($A333-Macrociclo!$C$11)/7)+1)</f>
        <v>0</v>
      </c>
      <c r="C333" s="20"/>
      <c r="D333" s="20"/>
      <c r="E333" s="22"/>
      <c r="F333" s="22"/>
      <c r="G333" s="20"/>
    </row>
    <row r="334" customFormat="false" ht="15" hidden="false" customHeight="false" outlineLevel="0" collapsed="false">
      <c r="A334" s="21"/>
      <c r="B334" s="33" t="n">
        <f aca="false">IF($A334="",0,INT(($A334-Macrociclo!$C$11)/7)+1)</f>
        <v>0</v>
      </c>
      <c r="C334" s="20"/>
      <c r="D334" s="20"/>
      <c r="E334" s="22"/>
      <c r="F334" s="22"/>
      <c r="G334" s="20"/>
    </row>
    <row r="335" customFormat="false" ht="15" hidden="false" customHeight="false" outlineLevel="0" collapsed="false">
      <c r="A335" s="21"/>
      <c r="B335" s="33" t="n">
        <f aca="false">IF($A335="",0,INT(($A335-Macrociclo!$C$11)/7)+1)</f>
        <v>0</v>
      </c>
      <c r="C335" s="20"/>
      <c r="D335" s="20"/>
      <c r="E335" s="22"/>
      <c r="F335" s="22"/>
      <c r="G335" s="20"/>
    </row>
    <row r="336" customFormat="false" ht="15" hidden="false" customHeight="false" outlineLevel="0" collapsed="false">
      <c r="A336" s="21"/>
      <c r="B336" s="33" t="n">
        <f aca="false">IF($A336="",0,INT(($A336-Macrociclo!$C$11)/7)+1)</f>
        <v>0</v>
      </c>
      <c r="C336" s="20"/>
      <c r="D336" s="20"/>
      <c r="E336" s="22"/>
      <c r="F336" s="22"/>
      <c r="G336" s="20"/>
    </row>
    <row r="337" customFormat="false" ht="15" hidden="false" customHeight="false" outlineLevel="0" collapsed="false">
      <c r="A337" s="21"/>
      <c r="B337" s="33" t="n">
        <f aca="false">IF($A337="",0,INT(($A337-Macrociclo!$C$11)/7)+1)</f>
        <v>0</v>
      </c>
      <c r="C337" s="20"/>
      <c r="D337" s="20"/>
      <c r="E337" s="22"/>
      <c r="F337" s="22"/>
      <c r="G337" s="20"/>
    </row>
    <row r="338" customFormat="false" ht="15" hidden="false" customHeight="false" outlineLevel="0" collapsed="false">
      <c r="A338" s="21"/>
      <c r="B338" s="33" t="n">
        <f aca="false">IF($A338="",0,INT(($A338-Macrociclo!$C$11)/7)+1)</f>
        <v>0</v>
      </c>
      <c r="C338" s="20"/>
      <c r="D338" s="20"/>
      <c r="E338" s="22"/>
      <c r="F338" s="22"/>
      <c r="G338" s="20"/>
    </row>
    <row r="339" customFormat="false" ht="15" hidden="false" customHeight="false" outlineLevel="0" collapsed="false">
      <c r="A339" s="21"/>
      <c r="B339" s="33" t="n">
        <f aca="false">IF($A339="",0,INT(($A339-Macrociclo!$C$11)/7)+1)</f>
        <v>0</v>
      </c>
      <c r="C339" s="20"/>
      <c r="D339" s="20"/>
      <c r="E339" s="22"/>
      <c r="F339" s="22"/>
      <c r="G339" s="20"/>
    </row>
    <row r="340" customFormat="false" ht="15" hidden="false" customHeight="false" outlineLevel="0" collapsed="false">
      <c r="A340" s="21"/>
      <c r="B340" s="33" t="n">
        <f aca="false">IF($A340="",0,INT(($A340-Macrociclo!$C$11)/7)+1)</f>
        <v>0</v>
      </c>
      <c r="C340" s="20"/>
      <c r="D340" s="20"/>
      <c r="E340" s="22"/>
      <c r="F340" s="22"/>
      <c r="G340" s="20"/>
    </row>
    <row r="341" customFormat="false" ht="15" hidden="false" customHeight="false" outlineLevel="0" collapsed="false">
      <c r="A341" s="21"/>
      <c r="B341" s="33" t="n">
        <f aca="false">IF($A341="",0,INT(($A341-Macrociclo!$C$11)/7)+1)</f>
        <v>0</v>
      </c>
      <c r="C341" s="20"/>
      <c r="D341" s="20"/>
      <c r="E341" s="22"/>
      <c r="F341" s="22"/>
      <c r="G341" s="20"/>
    </row>
    <row r="342" customFormat="false" ht="15" hidden="false" customHeight="false" outlineLevel="0" collapsed="false">
      <c r="A342" s="21"/>
      <c r="B342" s="33" t="n">
        <f aca="false">IF($A342="",0,INT(($A342-Macrociclo!$C$11)/7)+1)</f>
        <v>0</v>
      </c>
      <c r="C342" s="20"/>
      <c r="D342" s="20"/>
      <c r="E342" s="22"/>
      <c r="F342" s="22"/>
      <c r="G342" s="20"/>
    </row>
    <row r="343" customFormat="false" ht="15" hidden="false" customHeight="false" outlineLevel="0" collapsed="false">
      <c r="A343" s="21"/>
      <c r="B343" s="33" t="n">
        <f aca="false">IF($A343="",0,INT(($A343-Macrociclo!$C$11)/7)+1)</f>
        <v>0</v>
      </c>
      <c r="C343" s="20"/>
      <c r="D343" s="20"/>
      <c r="E343" s="22"/>
      <c r="F343" s="22"/>
      <c r="G343" s="20"/>
    </row>
    <row r="344" customFormat="false" ht="15" hidden="false" customHeight="false" outlineLevel="0" collapsed="false">
      <c r="A344" s="21"/>
      <c r="B344" s="33" t="n">
        <f aca="false">IF($A344="",0,INT(($A344-Macrociclo!$C$11)/7)+1)</f>
        <v>0</v>
      </c>
      <c r="C344" s="20"/>
      <c r="D344" s="20"/>
      <c r="E344" s="22"/>
      <c r="F344" s="22"/>
      <c r="G344" s="20"/>
    </row>
    <row r="345" customFormat="false" ht="15" hidden="false" customHeight="false" outlineLevel="0" collapsed="false">
      <c r="A345" s="21"/>
      <c r="B345" s="33" t="n">
        <f aca="false">IF($A345="",0,INT(($A345-Macrociclo!$C$11)/7)+1)</f>
        <v>0</v>
      </c>
      <c r="C345" s="20"/>
      <c r="D345" s="20"/>
      <c r="E345" s="22"/>
      <c r="F345" s="22"/>
      <c r="G345" s="20"/>
    </row>
    <row r="346" customFormat="false" ht="15" hidden="false" customHeight="false" outlineLevel="0" collapsed="false">
      <c r="A346" s="21"/>
      <c r="B346" s="33" t="n">
        <f aca="false">IF($A346="",0,INT(($A346-Macrociclo!$C$11)/7)+1)</f>
        <v>0</v>
      </c>
      <c r="C346" s="20"/>
      <c r="D346" s="20"/>
      <c r="E346" s="22"/>
      <c r="F346" s="22"/>
      <c r="G346" s="20"/>
    </row>
    <row r="347" customFormat="false" ht="15" hidden="false" customHeight="false" outlineLevel="0" collapsed="false">
      <c r="A347" s="21"/>
      <c r="B347" s="33" t="n">
        <f aca="false">IF($A347="",0,INT(($A347-Macrociclo!$C$11)/7)+1)</f>
        <v>0</v>
      </c>
      <c r="C347" s="20"/>
      <c r="D347" s="20"/>
      <c r="E347" s="22"/>
      <c r="F347" s="22"/>
      <c r="G347" s="20"/>
    </row>
    <row r="348" customFormat="false" ht="15" hidden="false" customHeight="false" outlineLevel="0" collapsed="false">
      <c r="A348" s="21"/>
      <c r="B348" s="33" t="n">
        <f aca="false">IF($A348="",0,INT(($A348-Macrociclo!$C$11)/7)+1)</f>
        <v>0</v>
      </c>
      <c r="C348" s="20"/>
      <c r="D348" s="20"/>
      <c r="E348" s="22"/>
      <c r="F348" s="22"/>
      <c r="G348" s="20"/>
    </row>
    <row r="349" customFormat="false" ht="15" hidden="false" customHeight="false" outlineLevel="0" collapsed="false">
      <c r="A349" s="21"/>
      <c r="B349" s="33" t="n">
        <f aca="false">IF($A349="",0,INT(($A349-Macrociclo!$C$11)/7)+1)</f>
        <v>0</v>
      </c>
      <c r="C349" s="20"/>
      <c r="D349" s="20"/>
      <c r="E349" s="22"/>
      <c r="F349" s="22"/>
      <c r="G349" s="20"/>
    </row>
    <row r="350" customFormat="false" ht="15" hidden="false" customHeight="false" outlineLevel="0" collapsed="false">
      <c r="A350" s="21"/>
      <c r="B350" s="33" t="n">
        <f aca="false">IF($A350="",0,INT(($A350-Macrociclo!$C$11)/7)+1)</f>
        <v>0</v>
      </c>
      <c r="C350" s="20"/>
      <c r="D350" s="20"/>
      <c r="E350" s="22"/>
      <c r="F350" s="22"/>
      <c r="G350" s="20"/>
    </row>
    <row r="351" customFormat="false" ht="15" hidden="false" customHeight="false" outlineLevel="0" collapsed="false">
      <c r="A351" s="21"/>
      <c r="B351" s="33" t="n">
        <f aca="false">IF($A351="",0,INT(($A351-Macrociclo!$C$11)/7)+1)</f>
        <v>0</v>
      </c>
      <c r="C351" s="20"/>
      <c r="D351" s="20"/>
      <c r="E351" s="22"/>
      <c r="F351" s="22"/>
      <c r="G351" s="20"/>
    </row>
    <row r="352" customFormat="false" ht="15" hidden="false" customHeight="false" outlineLevel="0" collapsed="false">
      <c r="A352" s="21"/>
      <c r="B352" s="33" t="n">
        <f aca="false">IF($A352="",0,INT(($A352-Macrociclo!$C$11)/7)+1)</f>
        <v>0</v>
      </c>
      <c r="C352" s="20"/>
      <c r="D352" s="20"/>
      <c r="E352" s="22"/>
      <c r="F352" s="22"/>
      <c r="G352" s="20"/>
    </row>
    <row r="353" customFormat="false" ht="15" hidden="false" customHeight="false" outlineLevel="0" collapsed="false">
      <c r="A353" s="21"/>
      <c r="B353" s="33" t="n">
        <f aca="false">IF($A353="",0,INT(($A353-Macrociclo!$C$11)/7)+1)</f>
        <v>0</v>
      </c>
      <c r="C353" s="20"/>
      <c r="D353" s="20"/>
      <c r="E353" s="22"/>
      <c r="F353" s="22"/>
      <c r="G353" s="20"/>
    </row>
    <row r="354" customFormat="false" ht="15" hidden="false" customHeight="false" outlineLevel="0" collapsed="false">
      <c r="A354" s="21"/>
      <c r="B354" s="33" t="n">
        <f aca="false">IF($A354="",0,INT(($A354-Macrociclo!$C$11)/7)+1)</f>
        <v>0</v>
      </c>
      <c r="C354" s="20"/>
      <c r="D354" s="20"/>
      <c r="E354" s="22"/>
      <c r="F354" s="22"/>
      <c r="G354" s="20"/>
    </row>
    <row r="355" customFormat="false" ht="15" hidden="false" customHeight="false" outlineLevel="0" collapsed="false">
      <c r="A355" s="21"/>
      <c r="B355" s="33" t="n">
        <f aca="false">IF($A355="",0,INT(($A355-Macrociclo!$C$11)/7)+1)</f>
        <v>0</v>
      </c>
      <c r="C355" s="20"/>
      <c r="D355" s="20"/>
      <c r="E355" s="22"/>
      <c r="F355" s="22"/>
      <c r="G355" s="20"/>
    </row>
    <row r="356" customFormat="false" ht="15" hidden="false" customHeight="false" outlineLevel="0" collapsed="false">
      <c r="A356" s="21"/>
      <c r="B356" s="33" t="n">
        <f aca="false">IF($A356="",0,INT(($A356-Macrociclo!$C$11)/7)+1)</f>
        <v>0</v>
      </c>
      <c r="C356" s="20"/>
      <c r="D356" s="20"/>
      <c r="E356" s="22"/>
      <c r="F356" s="22"/>
      <c r="G356" s="20"/>
    </row>
    <row r="357" customFormat="false" ht="15" hidden="false" customHeight="false" outlineLevel="0" collapsed="false">
      <c r="A357" s="21"/>
      <c r="B357" s="33" t="n">
        <f aca="false">IF($A357="",0,INT(($A357-Macrociclo!$C$11)/7)+1)</f>
        <v>0</v>
      </c>
      <c r="C357" s="20"/>
      <c r="D357" s="20"/>
      <c r="E357" s="22"/>
      <c r="F357" s="22"/>
      <c r="G357" s="20"/>
    </row>
    <row r="358" customFormat="false" ht="15" hidden="false" customHeight="false" outlineLevel="0" collapsed="false">
      <c r="A358" s="21"/>
      <c r="B358" s="33" t="n">
        <f aca="false">IF($A358="",0,INT(($A358-Macrociclo!$C$11)/7)+1)</f>
        <v>0</v>
      </c>
      <c r="C358" s="20"/>
      <c r="D358" s="20"/>
      <c r="E358" s="22"/>
      <c r="F358" s="22"/>
      <c r="G358" s="20"/>
    </row>
    <row r="359" customFormat="false" ht="15" hidden="false" customHeight="false" outlineLevel="0" collapsed="false">
      <c r="A359" s="21"/>
      <c r="B359" s="33" t="n">
        <f aca="false">IF($A359="",0,INT(($A359-Macrociclo!$C$11)/7)+1)</f>
        <v>0</v>
      </c>
      <c r="C359" s="20"/>
      <c r="D359" s="20"/>
      <c r="E359" s="22"/>
      <c r="F359" s="22"/>
      <c r="G359" s="20"/>
    </row>
    <row r="360" customFormat="false" ht="15" hidden="false" customHeight="false" outlineLevel="0" collapsed="false">
      <c r="A360" s="21"/>
      <c r="B360" s="33" t="n">
        <f aca="false">IF($A360="",0,INT(($A360-Macrociclo!$C$11)/7)+1)</f>
        <v>0</v>
      </c>
      <c r="C360" s="20"/>
      <c r="D360" s="20"/>
      <c r="E360" s="22"/>
      <c r="F360" s="22"/>
      <c r="G360" s="20"/>
    </row>
    <row r="361" customFormat="false" ht="15" hidden="false" customHeight="false" outlineLevel="0" collapsed="false">
      <c r="A361" s="21"/>
      <c r="B361" s="33" t="n">
        <f aca="false">IF($A361="",0,INT(($A361-Macrociclo!$C$11)/7)+1)</f>
        <v>0</v>
      </c>
      <c r="C361" s="20"/>
      <c r="D361" s="20"/>
      <c r="E361" s="22"/>
      <c r="F361" s="22"/>
      <c r="G361" s="20"/>
    </row>
    <row r="362" customFormat="false" ht="15" hidden="false" customHeight="false" outlineLevel="0" collapsed="false">
      <c r="A362" s="21"/>
      <c r="B362" s="33" t="n">
        <f aca="false">IF($A362="",0,INT(($A362-Macrociclo!$C$11)/7)+1)</f>
        <v>0</v>
      </c>
      <c r="C362" s="20"/>
      <c r="D362" s="20"/>
      <c r="E362" s="22"/>
      <c r="F362" s="22"/>
      <c r="G362" s="20"/>
    </row>
    <row r="363" customFormat="false" ht="15" hidden="false" customHeight="false" outlineLevel="0" collapsed="false">
      <c r="A363" s="21"/>
      <c r="B363" s="33" t="n">
        <f aca="false">IF($A363="",0,INT(($A363-Macrociclo!$C$11)/7)+1)</f>
        <v>0</v>
      </c>
      <c r="C363" s="20"/>
      <c r="D363" s="20"/>
      <c r="E363" s="22"/>
      <c r="F363" s="22"/>
      <c r="G363" s="20"/>
    </row>
    <row r="364" customFormat="false" ht="15" hidden="false" customHeight="false" outlineLevel="0" collapsed="false">
      <c r="A364" s="21"/>
      <c r="B364" s="33" t="n">
        <f aca="false">IF($A364="",0,INT(($A364-Macrociclo!$C$11)/7)+1)</f>
        <v>0</v>
      </c>
      <c r="C364" s="20"/>
      <c r="D364" s="20"/>
      <c r="E364" s="22"/>
      <c r="F364" s="22"/>
      <c r="G364" s="20"/>
    </row>
    <row r="365" customFormat="false" ht="15" hidden="false" customHeight="false" outlineLevel="0" collapsed="false">
      <c r="A365" s="21"/>
      <c r="B365" s="33" t="n">
        <f aca="false">IF($A365="",0,INT(($A365-Macrociclo!$C$11)/7)+1)</f>
        <v>0</v>
      </c>
      <c r="C365" s="20"/>
      <c r="D365" s="20"/>
      <c r="E365" s="22"/>
      <c r="F365" s="22"/>
      <c r="G365" s="20"/>
    </row>
    <row r="366" customFormat="false" ht="15" hidden="false" customHeight="false" outlineLevel="0" collapsed="false">
      <c r="A366" s="21"/>
      <c r="B366" s="33" t="n">
        <f aca="false">IF($A366="",0,INT(($A366-Macrociclo!$C$11)/7)+1)</f>
        <v>0</v>
      </c>
      <c r="C366" s="20"/>
      <c r="D366" s="20"/>
      <c r="E366" s="22"/>
      <c r="F366" s="22"/>
      <c r="G366" s="20"/>
    </row>
    <row r="367" customFormat="false" ht="15" hidden="false" customHeight="false" outlineLevel="0" collapsed="false">
      <c r="A367" s="21"/>
      <c r="B367" s="33" t="n">
        <f aca="false">IF($A367="",0,INT(($A367-Macrociclo!$C$11)/7)+1)</f>
        <v>0</v>
      </c>
      <c r="C367" s="20"/>
      <c r="D367" s="20"/>
      <c r="E367" s="22"/>
      <c r="F367" s="22"/>
      <c r="G367" s="20"/>
    </row>
    <row r="368" customFormat="false" ht="15" hidden="false" customHeight="false" outlineLevel="0" collapsed="false">
      <c r="A368" s="21"/>
      <c r="B368" s="33" t="n">
        <f aca="false">IF($A368="",0,INT(($A368-Macrociclo!$C$11)/7)+1)</f>
        <v>0</v>
      </c>
      <c r="C368" s="20"/>
      <c r="D368" s="20"/>
      <c r="E368" s="22"/>
      <c r="F368" s="22"/>
      <c r="G368" s="20"/>
    </row>
    <row r="369" customFormat="false" ht="15" hidden="false" customHeight="false" outlineLevel="0" collapsed="false">
      <c r="A369" s="21"/>
      <c r="B369" s="33" t="n">
        <f aca="false">IF($A369="",0,INT(($A369-Macrociclo!$C$11)/7)+1)</f>
        <v>0</v>
      </c>
      <c r="C369" s="20"/>
      <c r="D369" s="20"/>
      <c r="E369" s="22"/>
      <c r="F369" s="22"/>
      <c r="G369" s="20"/>
    </row>
    <row r="370" customFormat="false" ht="15" hidden="false" customHeight="false" outlineLevel="0" collapsed="false">
      <c r="A370" s="21"/>
      <c r="B370" s="33" t="n">
        <f aca="false">IF($A370="",0,INT(($A370-Macrociclo!$C$11)/7)+1)</f>
        <v>0</v>
      </c>
      <c r="C370" s="20"/>
      <c r="D370" s="20"/>
      <c r="E370" s="22"/>
      <c r="F370" s="22"/>
      <c r="G370" s="20"/>
    </row>
    <row r="371" customFormat="false" ht="15" hidden="false" customHeight="false" outlineLevel="0" collapsed="false">
      <c r="A371" s="21"/>
      <c r="B371" s="33" t="n">
        <f aca="false">IF($A371="",0,INT(($A371-Macrociclo!$C$11)/7)+1)</f>
        <v>0</v>
      </c>
      <c r="C371" s="20"/>
      <c r="D371" s="20"/>
      <c r="E371" s="22"/>
      <c r="F371" s="22"/>
      <c r="G371" s="20"/>
    </row>
    <row r="372" customFormat="false" ht="15" hidden="false" customHeight="false" outlineLevel="0" collapsed="false">
      <c r="A372" s="21"/>
      <c r="B372" s="33" t="n">
        <f aca="false">IF($A372="",0,INT(($A372-Macrociclo!$C$11)/7)+1)</f>
        <v>0</v>
      </c>
      <c r="C372" s="20"/>
      <c r="D372" s="20"/>
      <c r="E372" s="22"/>
      <c r="F372" s="22"/>
      <c r="G372" s="20"/>
    </row>
    <row r="373" customFormat="false" ht="15" hidden="false" customHeight="false" outlineLevel="0" collapsed="false">
      <c r="A373" s="21"/>
      <c r="B373" s="33" t="n">
        <f aca="false">IF($A373="",0,INT(($A373-Macrociclo!$C$11)/7)+1)</f>
        <v>0</v>
      </c>
      <c r="C373" s="20"/>
      <c r="D373" s="20"/>
      <c r="E373" s="22"/>
      <c r="F373" s="22"/>
      <c r="G373" s="20"/>
    </row>
    <row r="374" customFormat="false" ht="15" hidden="false" customHeight="false" outlineLevel="0" collapsed="false">
      <c r="A374" s="21"/>
      <c r="B374" s="33" t="n">
        <f aca="false">IF($A374="",0,INT(($A374-Macrociclo!$C$11)/7)+1)</f>
        <v>0</v>
      </c>
      <c r="C374" s="20"/>
      <c r="D374" s="20"/>
      <c r="E374" s="22"/>
      <c r="F374" s="22"/>
      <c r="G374" s="20"/>
    </row>
    <row r="375" customFormat="false" ht="15" hidden="false" customHeight="false" outlineLevel="0" collapsed="false">
      <c r="A375" s="21"/>
      <c r="B375" s="33" t="n">
        <f aca="false">IF($A375="",0,INT(($A375-Macrociclo!$C$11)/7)+1)</f>
        <v>0</v>
      </c>
      <c r="C375" s="20"/>
      <c r="D375" s="20"/>
      <c r="E375" s="22"/>
      <c r="F375" s="22"/>
      <c r="G375" s="20"/>
    </row>
    <row r="376" customFormat="false" ht="15" hidden="false" customHeight="false" outlineLevel="0" collapsed="false">
      <c r="A376" s="21"/>
      <c r="B376" s="33" t="n">
        <f aca="false">IF($A376="",0,INT(($A376-Macrociclo!$C$11)/7)+1)</f>
        <v>0</v>
      </c>
      <c r="C376" s="20"/>
      <c r="D376" s="20"/>
      <c r="E376" s="22"/>
      <c r="F376" s="22"/>
      <c r="G376" s="20"/>
    </row>
    <row r="377" customFormat="false" ht="15" hidden="false" customHeight="false" outlineLevel="0" collapsed="false">
      <c r="A377" s="21"/>
      <c r="B377" s="33" t="n">
        <f aca="false">IF($A377="",0,INT(($A377-Macrociclo!$C$11)/7)+1)</f>
        <v>0</v>
      </c>
      <c r="C377" s="20"/>
      <c r="D377" s="20"/>
      <c r="E377" s="22"/>
      <c r="F377" s="22"/>
      <c r="G377" s="20"/>
    </row>
    <row r="378" customFormat="false" ht="15" hidden="false" customHeight="false" outlineLevel="0" collapsed="false">
      <c r="A378" s="21"/>
      <c r="B378" s="33" t="n">
        <f aca="false">IF($A378="",0,INT(($A378-Macrociclo!$C$11)/7)+1)</f>
        <v>0</v>
      </c>
      <c r="C378" s="20"/>
      <c r="D378" s="20"/>
      <c r="E378" s="22"/>
      <c r="F378" s="22"/>
      <c r="G378" s="20"/>
    </row>
    <row r="379" customFormat="false" ht="15" hidden="false" customHeight="false" outlineLevel="0" collapsed="false">
      <c r="A379" s="21"/>
      <c r="B379" s="33" t="n">
        <f aca="false">IF($A379="",0,INT(($A379-Macrociclo!$C$11)/7)+1)</f>
        <v>0</v>
      </c>
      <c r="C379" s="20"/>
      <c r="D379" s="20"/>
      <c r="E379" s="22"/>
      <c r="F379" s="22"/>
      <c r="G379" s="20"/>
    </row>
    <row r="380" customFormat="false" ht="15" hidden="false" customHeight="false" outlineLevel="0" collapsed="false">
      <c r="A380" s="21"/>
      <c r="B380" s="33" t="n">
        <f aca="false">IF($A380="",0,INT(($A380-Macrociclo!$C$11)/7)+1)</f>
        <v>0</v>
      </c>
      <c r="C380" s="20"/>
      <c r="D380" s="20"/>
      <c r="E380" s="22"/>
      <c r="F380" s="22"/>
      <c r="G380" s="20"/>
    </row>
    <row r="381" customFormat="false" ht="15" hidden="false" customHeight="false" outlineLevel="0" collapsed="false">
      <c r="A381" s="21"/>
      <c r="B381" s="33" t="n">
        <f aca="false">IF($A381="",0,INT(($A381-Macrociclo!$C$11)/7)+1)</f>
        <v>0</v>
      </c>
      <c r="C381" s="20"/>
      <c r="D381" s="20"/>
      <c r="E381" s="22"/>
      <c r="F381" s="22"/>
      <c r="G381" s="20"/>
    </row>
    <row r="382" customFormat="false" ht="15" hidden="false" customHeight="false" outlineLevel="0" collapsed="false">
      <c r="A382" s="21"/>
      <c r="B382" s="33" t="n">
        <f aca="false">IF($A382="",0,INT(($A382-Macrociclo!$C$11)/7)+1)</f>
        <v>0</v>
      </c>
      <c r="C382" s="20"/>
      <c r="D382" s="20"/>
      <c r="E382" s="22"/>
      <c r="F382" s="22"/>
      <c r="G382" s="20"/>
    </row>
    <row r="383" customFormat="false" ht="15" hidden="false" customHeight="false" outlineLevel="0" collapsed="false">
      <c r="A383" s="21"/>
      <c r="B383" s="33" t="n">
        <f aca="false">IF($A383="",0,INT(($A383-Macrociclo!$C$11)/7)+1)</f>
        <v>0</v>
      </c>
      <c r="C383" s="20"/>
      <c r="D383" s="20"/>
      <c r="E383" s="22"/>
      <c r="F383" s="22"/>
      <c r="G383" s="20"/>
    </row>
    <row r="384" customFormat="false" ht="15" hidden="false" customHeight="false" outlineLevel="0" collapsed="false">
      <c r="A384" s="21"/>
      <c r="B384" s="33" t="n">
        <f aca="false">IF($A384="",0,INT(($A384-Macrociclo!$C$11)/7)+1)</f>
        <v>0</v>
      </c>
      <c r="C384" s="20"/>
      <c r="D384" s="20"/>
      <c r="E384" s="22"/>
      <c r="F384" s="22"/>
      <c r="G384" s="20"/>
    </row>
    <row r="385" customFormat="false" ht="15" hidden="false" customHeight="false" outlineLevel="0" collapsed="false">
      <c r="A385" s="21"/>
      <c r="B385" s="33" t="n">
        <f aca="false">IF($A385="",0,INT(($A385-Macrociclo!$C$11)/7)+1)</f>
        <v>0</v>
      </c>
      <c r="C385" s="20"/>
      <c r="D385" s="20"/>
      <c r="E385" s="22"/>
      <c r="F385" s="22"/>
      <c r="G385" s="20"/>
    </row>
    <row r="386" customFormat="false" ht="15" hidden="false" customHeight="false" outlineLevel="0" collapsed="false">
      <c r="A386" s="21"/>
      <c r="B386" s="33" t="n">
        <f aca="false">IF($A386="",0,INT(($A386-Macrociclo!$C$11)/7)+1)</f>
        <v>0</v>
      </c>
      <c r="C386" s="20"/>
      <c r="D386" s="20"/>
      <c r="E386" s="22"/>
      <c r="F386" s="22"/>
      <c r="G386" s="20"/>
    </row>
    <row r="387" customFormat="false" ht="15" hidden="false" customHeight="false" outlineLevel="0" collapsed="false">
      <c r="A387" s="21"/>
      <c r="B387" s="33" t="n">
        <f aca="false">IF($A387="",0,INT(($A387-Macrociclo!$C$11)/7)+1)</f>
        <v>0</v>
      </c>
      <c r="C387" s="20"/>
      <c r="D387" s="20"/>
      <c r="E387" s="22"/>
      <c r="F387" s="22"/>
      <c r="G387" s="20"/>
    </row>
    <row r="388" customFormat="false" ht="15" hidden="false" customHeight="false" outlineLevel="0" collapsed="false">
      <c r="A388" s="21"/>
      <c r="B388" s="33" t="n">
        <f aca="false">IF($A388="",0,INT(($A388-Macrociclo!$C$11)/7)+1)</f>
        <v>0</v>
      </c>
      <c r="C388" s="20"/>
      <c r="D388" s="20"/>
      <c r="E388" s="22"/>
      <c r="F388" s="22"/>
      <c r="G388" s="20"/>
    </row>
    <row r="389" customFormat="false" ht="15" hidden="false" customHeight="false" outlineLevel="0" collapsed="false">
      <c r="A389" s="21"/>
      <c r="B389" s="33" t="n">
        <f aca="false">IF($A389="",0,INT(($A389-Macrociclo!$C$11)/7)+1)</f>
        <v>0</v>
      </c>
      <c r="C389" s="20"/>
      <c r="D389" s="20"/>
      <c r="E389" s="22"/>
      <c r="F389" s="22"/>
      <c r="G389" s="20"/>
    </row>
    <row r="390" customFormat="false" ht="15" hidden="false" customHeight="false" outlineLevel="0" collapsed="false">
      <c r="A390" s="21"/>
      <c r="B390" s="33" t="n">
        <f aca="false">IF($A390="",0,INT(($A390-Macrociclo!$C$11)/7)+1)</f>
        <v>0</v>
      </c>
      <c r="C390" s="20"/>
      <c r="D390" s="20"/>
      <c r="E390" s="22"/>
      <c r="F390" s="22"/>
      <c r="G390" s="20"/>
    </row>
    <row r="391" customFormat="false" ht="15" hidden="false" customHeight="false" outlineLevel="0" collapsed="false">
      <c r="A391" s="21"/>
      <c r="B391" s="33" t="n">
        <f aca="false">IF($A391="",0,INT(($A391-Macrociclo!$C$11)/7)+1)</f>
        <v>0</v>
      </c>
      <c r="C391" s="20"/>
      <c r="D391" s="20"/>
      <c r="E391" s="22"/>
      <c r="F391" s="22"/>
      <c r="G391" s="20"/>
    </row>
    <row r="392" customFormat="false" ht="15" hidden="false" customHeight="false" outlineLevel="0" collapsed="false">
      <c r="A392" s="21"/>
      <c r="B392" s="33" t="n">
        <f aca="false">IF($A392="",0,INT(($A392-Macrociclo!$C$11)/7)+1)</f>
        <v>0</v>
      </c>
      <c r="C392" s="20"/>
      <c r="D392" s="20"/>
      <c r="E392" s="22"/>
      <c r="F392" s="22"/>
      <c r="G392" s="20"/>
    </row>
    <row r="393" customFormat="false" ht="15" hidden="false" customHeight="false" outlineLevel="0" collapsed="false">
      <c r="A393" s="21"/>
      <c r="B393" s="33" t="n">
        <f aca="false">IF($A393="",0,INT(($A393-Macrociclo!$C$11)/7)+1)</f>
        <v>0</v>
      </c>
      <c r="C393" s="20"/>
      <c r="D393" s="20"/>
      <c r="E393" s="22"/>
      <c r="F393" s="22"/>
      <c r="G393" s="20"/>
    </row>
    <row r="394" customFormat="false" ht="15" hidden="false" customHeight="false" outlineLevel="0" collapsed="false">
      <c r="A394" s="21"/>
      <c r="B394" s="33" t="n">
        <f aca="false">IF($A394="",0,INT(($A394-Macrociclo!$C$11)/7)+1)</f>
        <v>0</v>
      </c>
      <c r="C394" s="20"/>
      <c r="D394" s="20"/>
      <c r="E394" s="22"/>
      <c r="F394" s="22"/>
      <c r="G394" s="20"/>
    </row>
    <row r="395" customFormat="false" ht="15" hidden="false" customHeight="false" outlineLevel="0" collapsed="false">
      <c r="A395" s="21"/>
      <c r="B395" s="33" t="n">
        <f aca="false">IF($A395="",0,INT(($A395-Macrociclo!$C$11)/7)+1)</f>
        <v>0</v>
      </c>
      <c r="C395" s="20"/>
      <c r="D395" s="20"/>
      <c r="E395" s="22"/>
      <c r="F395" s="22"/>
      <c r="G395" s="20"/>
    </row>
    <row r="396" customFormat="false" ht="15" hidden="false" customHeight="false" outlineLevel="0" collapsed="false">
      <c r="A396" s="21"/>
      <c r="B396" s="33" t="n">
        <f aca="false">IF($A396="",0,INT(($A396-Macrociclo!$C$11)/7)+1)</f>
        <v>0</v>
      </c>
      <c r="C396" s="20"/>
      <c r="D396" s="20"/>
      <c r="E396" s="22"/>
      <c r="F396" s="22"/>
      <c r="G396" s="20"/>
    </row>
    <row r="397" customFormat="false" ht="15" hidden="false" customHeight="false" outlineLevel="0" collapsed="false">
      <c r="A397" s="21"/>
      <c r="B397" s="33" t="n">
        <f aca="false">IF($A397="",0,INT(($A397-Macrociclo!$C$11)/7)+1)</f>
        <v>0</v>
      </c>
      <c r="C397" s="20"/>
      <c r="D397" s="20"/>
      <c r="E397" s="22"/>
      <c r="F397" s="22"/>
      <c r="G397" s="20"/>
    </row>
    <row r="398" customFormat="false" ht="15" hidden="false" customHeight="false" outlineLevel="0" collapsed="false">
      <c r="A398" s="21"/>
      <c r="B398" s="33" t="n">
        <f aca="false">IF($A398="",0,INT(($A398-Macrociclo!$C$11)/7)+1)</f>
        <v>0</v>
      </c>
      <c r="C398" s="20"/>
      <c r="D398" s="20"/>
      <c r="E398" s="22"/>
      <c r="F398" s="22"/>
      <c r="G398" s="20"/>
    </row>
    <row r="399" customFormat="false" ht="15" hidden="false" customHeight="false" outlineLevel="0" collapsed="false">
      <c r="A399" s="21"/>
      <c r="B399" s="33" t="n">
        <f aca="false">IF($A399="",0,INT(($A399-Macrociclo!$C$11)/7)+1)</f>
        <v>0</v>
      </c>
      <c r="C399" s="20"/>
      <c r="D399" s="20"/>
      <c r="E399" s="22"/>
      <c r="F399" s="22"/>
      <c r="G399" s="20"/>
    </row>
    <row r="400" customFormat="false" ht="15" hidden="false" customHeight="false" outlineLevel="0" collapsed="false">
      <c r="A400" s="21"/>
      <c r="B400" s="33" t="n">
        <f aca="false">IF($A400="",0,INT(($A400-Macrociclo!$C$11)/7)+1)</f>
        <v>0</v>
      </c>
      <c r="C400" s="20"/>
      <c r="D400" s="20"/>
      <c r="E400" s="22"/>
      <c r="F400" s="22"/>
      <c r="G400" s="20"/>
    </row>
    <row r="401" customFormat="false" ht="15" hidden="false" customHeight="false" outlineLevel="0" collapsed="false">
      <c r="A401" s="21"/>
      <c r="B401" s="33" t="n">
        <f aca="false">IF($A401="",0,INT(($A401-Macrociclo!$C$11)/7)+1)</f>
        <v>0</v>
      </c>
      <c r="C401" s="20"/>
      <c r="D401" s="20"/>
      <c r="E401" s="22"/>
      <c r="F401" s="22"/>
      <c r="G401" s="20"/>
    </row>
    <row r="402" customFormat="false" ht="15" hidden="false" customHeight="false" outlineLevel="0" collapsed="false">
      <c r="A402" s="21"/>
      <c r="B402" s="33" t="n">
        <f aca="false">IF($A402="",0,INT(($A402-Macrociclo!$C$11)/7)+1)</f>
        <v>0</v>
      </c>
      <c r="C402" s="20"/>
      <c r="D402" s="20"/>
      <c r="E402" s="22"/>
      <c r="F402" s="22"/>
      <c r="G402" s="20"/>
    </row>
    <row r="403" customFormat="false" ht="15" hidden="false" customHeight="false" outlineLevel="0" collapsed="false">
      <c r="A403" s="21"/>
      <c r="B403" s="33" t="n">
        <f aca="false">IF($A403="",0,INT(($A403-Macrociclo!$C$11)/7)+1)</f>
        <v>0</v>
      </c>
      <c r="C403" s="20"/>
      <c r="D403" s="20"/>
      <c r="E403" s="22"/>
      <c r="F403" s="22"/>
      <c r="G403" s="20"/>
    </row>
    <row r="404" customFormat="false" ht="15" hidden="false" customHeight="false" outlineLevel="0" collapsed="false">
      <c r="A404" s="21"/>
      <c r="B404" s="33" t="n">
        <f aca="false">IF($A404="",0,INT(($A404-Macrociclo!$C$11)/7)+1)</f>
        <v>0</v>
      </c>
      <c r="C404" s="20"/>
      <c r="D404" s="20"/>
      <c r="E404" s="22"/>
      <c r="F404" s="22"/>
      <c r="G404" s="20"/>
    </row>
    <row r="405" customFormat="false" ht="15" hidden="false" customHeight="false" outlineLevel="0" collapsed="false">
      <c r="A405" s="21"/>
      <c r="B405" s="33" t="n">
        <f aca="false">IF($A405="",0,INT(($A405-Macrociclo!$C$11)/7)+1)</f>
        <v>0</v>
      </c>
      <c r="C405" s="20"/>
      <c r="D405" s="20"/>
      <c r="E405" s="22"/>
      <c r="F405" s="22"/>
      <c r="G405" s="20"/>
    </row>
    <row r="406" customFormat="false" ht="15" hidden="false" customHeight="false" outlineLevel="0" collapsed="false">
      <c r="A406" s="21"/>
      <c r="B406" s="33" t="n">
        <f aca="false">IF($A406="",0,INT(($A406-Macrociclo!$C$11)/7)+1)</f>
        <v>0</v>
      </c>
      <c r="C406" s="20"/>
      <c r="D406" s="20"/>
      <c r="E406" s="22"/>
      <c r="F406" s="22"/>
      <c r="G406" s="20"/>
    </row>
    <row r="407" customFormat="false" ht="15" hidden="false" customHeight="false" outlineLevel="0" collapsed="false">
      <c r="A407" s="21"/>
      <c r="B407" s="33" t="n">
        <f aca="false">IF($A407="",0,INT(($A407-Macrociclo!$C$11)/7)+1)</f>
        <v>0</v>
      </c>
      <c r="C407" s="20"/>
      <c r="D407" s="20"/>
      <c r="E407" s="22"/>
      <c r="F407" s="22"/>
      <c r="G407" s="20"/>
    </row>
    <row r="408" customFormat="false" ht="15" hidden="false" customHeight="false" outlineLevel="0" collapsed="false">
      <c r="A408" s="21"/>
      <c r="B408" s="33" t="n">
        <f aca="false">IF($A408="",0,INT(($A408-Macrociclo!$C$11)/7)+1)</f>
        <v>0</v>
      </c>
      <c r="C408" s="20"/>
      <c r="D408" s="20"/>
      <c r="E408" s="22"/>
      <c r="F408" s="22"/>
      <c r="G408" s="20"/>
    </row>
    <row r="409" customFormat="false" ht="15" hidden="false" customHeight="false" outlineLevel="0" collapsed="false">
      <c r="A409" s="21"/>
      <c r="B409" s="33" t="n">
        <f aca="false">IF($A409="",0,INT(($A409-Macrociclo!$C$11)/7)+1)</f>
        <v>0</v>
      </c>
      <c r="C409" s="20"/>
      <c r="D409" s="20"/>
      <c r="E409" s="22"/>
      <c r="F409" s="22"/>
      <c r="G409" s="20"/>
    </row>
    <row r="410" customFormat="false" ht="15" hidden="false" customHeight="false" outlineLevel="0" collapsed="false">
      <c r="A410" s="21"/>
      <c r="B410" s="33" t="n">
        <f aca="false">IF($A410="",0,INT(($A410-Macrociclo!$C$11)/7)+1)</f>
        <v>0</v>
      </c>
      <c r="C410" s="20"/>
      <c r="D410" s="20"/>
      <c r="E410" s="22"/>
      <c r="F410" s="22"/>
      <c r="G410" s="20"/>
    </row>
    <row r="411" customFormat="false" ht="15" hidden="false" customHeight="false" outlineLevel="0" collapsed="false">
      <c r="A411" s="21"/>
      <c r="B411" s="33" t="n">
        <f aca="false">IF($A411="",0,INT(($A411-Macrociclo!$C$11)/7)+1)</f>
        <v>0</v>
      </c>
      <c r="C411" s="20"/>
      <c r="D411" s="20"/>
      <c r="E411" s="22"/>
      <c r="F411" s="22"/>
      <c r="G411" s="20"/>
    </row>
    <row r="412" customFormat="false" ht="15" hidden="false" customHeight="false" outlineLevel="0" collapsed="false">
      <c r="A412" s="21"/>
      <c r="B412" s="33" t="n">
        <f aca="false">IF($A412="",0,INT(($A412-Macrociclo!$C$11)/7)+1)</f>
        <v>0</v>
      </c>
      <c r="C412" s="20"/>
      <c r="D412" s="20"/>
      <c r="E412" s="22"/>
      <c r="F412" s="22"/>
      <c r="G412" s="20"/>
    </row>
    <row r="413" customFormat="false" ht="15" hidden="false" customHeight="false" outlineLevel="0" collapsed="false">
      <c r="A413" s="21"/>
      <c r="B413" s="33" t="n">
        <f aca="false">IF($A413="",0,INT(($A413-Macrociclo!$C$11)/7)+1)</f>
        <v>0</v>
      </c>
      <c r="C413" s="20"/>
      <c r="D413" s="20"/>
      <c r="E413" s="22"/>
      <c r="F413" s="22"/>
      <c r="G413" s="20"/>
    </row>
    <row r="414" customFormat="false" ht="15" hidden="false" customHeight="false" outlineLevel="0" collapsed="false">
      <c r="A414" s="21"/>
      <c r="B414" s="33" t="n">
        <f aca="false">IF($A414="",0,INT(($A414-Macrociclo!$C$11)/7)+1)</f>
        <v>0</v>
      </c>
      <c r="C414" s="20"/>
      <c r="D414" s="20"/>
      <c r="E414" s="22"/>
      <c r="F414" s="22"/>
      <c r="G414" s="20"/>
    </row>
    <row r="415" customFormat="false" ht="15" hidden="false" customHeight="false" outlineLevel="0" collapsed="false">
      <c r="A415" s="21"/>
      <c r="B415" s="33" t="n">
        <f aca="false">IF($A415="",0,INT(($A415-Macrociclo!$C$11)/7)+1)</f>
        <v>0</v>
      </c>
      <c r="C415" s="20"/>
      <c r="D415" s="20"/>
      <c r="E415" s="22"/>
      <c r="F415" s="22"/>
      <c r="G415" s="20"/>
    </row>
    <row r="416" customFormat="false" ht="15" hidden="false" customHeight="false" outlineLevel="0" collapsed="false">
      <c r="A416" s="21"/>
      <c r="B416" s="33" t="n">
        <f aca="false">IF($A416="",0,INT(($A416-Macrociclo!$C$11)/7)+1)</f>
        <v>0</v>
      </c>
      <c r="C416" s="20"/>
      <c r="D416" s="20"/>
      <c r="E416" s="22"/>
      <c r="F416" s="22"/>
      <c r="G416" s="20"/>
    </row>
    <row r="417" customFormat="false" ht="15" hidden="false" customHeight="false" outlineLevel="0" collapsed="false">
      <c r="A417" s="21"/>
      <c r="B417" s="33" t="n">
        <f aca="false">IF($A417="",0,INT(($A417-Macrociclo!$C$11)/7)+1)</f>
        <v>0</v>
      </c>
      <c r="C417" s="20"/>
      <c r="D417" s="20"/>
      <c r="E417" s="22"/>
      <c r="F417" s="22"/>
      <c r="G417" s="20"/>
    </row>
    <row r="418" customFormat="false" ht="15" hidden="false" customHeight="false" outlineLevel="0" collapsed="false">
      <c r="A418" s="21"/>
      <c r="B418" s="33" t="n">
        <f aca="false">IF($A418="",0,INT(($A418-Macrociclo!$C$11)/7)+1)</f>
        <v>0</v>
      </c>
      <c r="C418" s="20"/>
      <c r="D418" s="20"/>
      <c r="E418" s="22"/>
      <c r="F418" s="22"/>
      <c r="G418" s="20"/>
    </row>
    <row r="419" customFormat="false" ht="15" hidden="false" customHeight="false" outlineLevel="0" collapsed="false">
      <c r="A419" s="21"/>
      <c r="B419" s="33" t="n">
        <f aca="false">IF($A419="",0,INT(($A419-Macrociclo!$C$11)/7)+1)</f>
        <v>0</v>
      </c>
      <c r="C419" s="20"/>
      <c r="D419" s="20"/>
      <c r="E419" s="22"/>
      <c r="F419" s="22"/>
      <c r="G419" s="20"/>
    </row>
    <row r="420" customFormat="false" ht="15" hidden="false" customHeight="false" outlineLevel="0" collapsed="false">
      <c r="A420" s="21"/>
      <c r="B420" s="33" t="n">
        <f aca="false">IF($A420="",0,INT(($A420-Macrociclo!$C$11)/7)+1)</f>
        <v>0</v>
      </c>
      <c r="C420" s="20"/>
      <c r="D420" s="20"/>
      <c r="E420" s="22"/>
      <c r="F420" s="22"/>
      <c r="G420" s="20"/>
    </row>
    <row r="421" customFormat="false" ht="15" hidden="false" customHeight="false" outlineLevel="0" collapsed="false">
      <c r="A421" s="21"/>
      <c r="B421" s="33" t="n">
        <f aca="false">IF($A421="",0,INT(($A421-Macrociclo!$C$11)/7)+1)</f>
        <v>0</v>
      </c>
      <c r="C421" s="20"/>
      <c r="D421" s="20"/>
      <c r="E421" s="22"/>
      <c r="F421" s="22"/>
      <c r="G421" s="20"/>
    </row>
    <row r="422" customFormat="false" ht="15" hidden="false" customHeight="false" outlineLevel="0" collapsed="false">
      <c r="A422" s="21"/>
      <c r="B422" s="33" t="n">
        <f aca="false">IF($A422="",0,INT(($A422-Macrociclo!$C$11)/7)+1)</f>
        <v>0</v>
      </c>
      <c r="C422" s="20"/>
      <c r="D422" s="20"/>
      <c r="E422" s="22"/>
      <c r="F422" s="22"/>
      <c r="G422" s="20"/>
    </row>
    <row r="423" customFormat="false" ht="15" hidden="false" customHeight="false" outlineLevel="0" collapsed="false">
      <c r="A423" s="21"/>
      <c r="B423" s="33" t="n">
        <f aca="false">IF($A423="",0,INT(($A423-Macrociclo!$C$11)/7)+1)</f>
        <v>0</v>
      </c>
      <c r="C423" s="20"/>
      <c r="D423" s="20"/>
      <c r="E423" s="22"/>
      <c r="F423" s="22"/>
      <c r="G423" s="20"/>
    </row>
    <row r="424" customFormat="false" ht="15" hidden="false" customHeight="false" outlineLevel="0" collapsed="false">
      <c r="A424" s="21"/>
      <c r="B424" s="33" t="n">
        <f aca="false">IF($A424="",0,INT(($A424-Macrociclo!$C$11)/7)+1)</f>
        <v>0</v>
      </c>
      <c r="C424" s="20"/>
      <c r="D424" s="20"/>
      <c r="E424" s="22"/>
      <c r="F424" s="22"/>
      <c r="G424" s="20"/>
    </row>
    <row r="425" customFormat="false" ht="15" hidden="false" customHeight="false" outlineLevel="0" collapsed="false">
      <c r="A425" s="21"/>
      <c r="B425" s="33" t="n">
        <f aca="false">IF($A425="",0,INT(($A425-Macrociclo!$C$11)/7)+1)</f>
        <v>0</v>
      </c>
      <c r="C425" s="20"/>
      <c r="D425" s="20"/>
      <c r="E425" s="22"/>
      <c r="F425" s="22"/>
      <c r="G425" s="20"/>
    </row>
    <row r="426" customFormat="false" ht="15" hidden="false" customHeight="false" outlineLevel="0" collapsed="false">
      <c r="A426" s="21"/>
      <c r="B426" s="33" t="n">
        <f aca="false">IF($A426="",0,INT(($A426-Macrociclo!$C$11)/7)+1)</f>
        <v>0</v>
      </c>
      <c r="C426" s="20"/>
      <c r="D426" s="20"/>
      <c r="E426" s="22"/>
      <c r="F426" s="22"/>
      <c r="G426" s="20"/>
    </row>
    <row r="427" customFormat="false" ht="15" hidden="false" customHeight="false" outlineLevel="0" collapsed="false">
      <c r="A427" s="21"/>
      <c r="B427" s="33" t="n">
        <f aca="false">IF($A427="",0,INT(($A427-Macrociclo!$C$11)/7)+1)</f>
        <v>0</v>
      </c>
      <c r="C427" s="20"/>
      <c r="D427" s="20"/>
      <c r="E427" s="22"/>
      <c r="F427" s="22"/>
      <c r="G427" s="20"/>
    </row>
    <row r="428" customFormat="false" ht="15" hidden="false" customHeight="false" outlineLevel="0" collapsed="false">
      <c r="A428" s="21"/>
      <c r="B428" s="33" t="n">
        <f aca="false">IF($A428="",0,INT(($A428-Macrociclo!$C$11)/7)+1)</f>
        <v>0</v>
      </c>
      <c r="C428" s="20"/>
      <c r="D428" s="20"/>
      <c r="E428" s="22"/>
      <c r="F428" s="22"/>
      <c r="G428" s="20"/>
    </row>
    <row r="429" customFormat="false" ht="15" hidden="false" customHeight="false" outlineLevel="0" collapsed="false">
      <c r="A429" s="21"/>
      <c r="B429" s="33" t="n">
        <f aca="false">IF($A429="",0,INT(($A429-Macrociclo!$C$11)/7)+1)</f>
        <v>0</v>
      </c>
      <c r="C429" s="20"/>
      <c r="D429" s="20"/>
      <c r="E429" s="22"/>
      <c r="F429" s="22"/>
      <c r="G429" s="20"/>
    </row>
    <row r="430" customFormat="false" ht="15" hidden="false" customHeight="false" outlineLevel="0" collapsed="false">
      <c r="A430" s="21"/>
      <c r="B430" s="33" t="n">
        <f aca="false">IF($A430="",0,INT(($A430-Macrociclo!$C$11)/7)+1)</f>
        <v>0</v>
      </c>
      <c r="C430" s="20"/>
      <c r="D430" s="20"/>
      <c r="E430" s="22"/>
      <c r="F430" s="22"/>
      <c r="G430" s="20"/>
    </row>
    <row r="431" customFormat="false" ht="15" hidden="false" customHeight="false" outlineLevel="0" collapsed="false">
      <c r="A431" s="21"/>
      <c r="B431" s="33" t="n">
        <f aca="false">IF($A431="",0,INT(($A431-Macrociclo!$C$11)/7)+1)</f>
        <v>0</v>
      </c>
      <c r="C431" s="20"/>
      <c r="D431" s="20"/>
      <c r="E431" s="22"/>
      <c r="F431" s="22"/>
      <c r="G431" s="20"/>
    </row>
    <row r="432" customFormat="false" ht="15" hidden="false" customHeight="false" outlineLevel="0" collapsed="false">
      <c r="A432" s="21"/>
      <c r="B432" s="33" t="n">
        <f aca="false">IF($A432="",0,INT(($A432-Macrociclo!$C$11)/7)+1)</f>
        <v>0</v>
      </c>
      <c r="C432" s="20"/>
      <c r="D432" s="20"/>
      <c r="E432" s="22"/>
      <c r="F432" s="22"/>
      <c r="G432" s="20"/>
    </row>
    <row r="433" customFormat="false" ht="15" hidden="false" customHeight="false" outlineLevel="0" collapsed="false">
      <c r="A433" s="21"/>
      <c r="B433" s="33" t="n">
        <f aca="false">IF($A433="",0,INT(($A433-Macrociclo!$C$11)/7)+1)</f>
        <v>0</v>
      </c>
      <c r="C433" s="20"/>
      <c r="D433" s="20"/>
      <c r="E433" s="22"/>
      <c r="F433" s="22"/>
      <c r="G433" s="20"/>
    </row>
    <row r="434" customFormat="false" ht="15" hidden="false" customHeight="false" outlineLevel="0" collapsed="false">
      <c r="A434" s="21"/>
      <c r="B434" s="33" t="n">
        <f aca="false">IF($A434="",0,INT(($A434-Macrociclo!$C$11)/7)+1)</f>
        <v>0</v>
      </c>
      <c r="C434" s="20"/>
      <c r="D434" s="20"/>
      <c r="E434" s="22"/>
      <c r="F434" s="22"/>
      <c r="G434" s="20"/>
    </row>
    <row r="435" customFormat="false" ht="15" hidden="false" customHeight="false" outlineLevel="0" collapsed="false">
      <c r="A435" s="21"/>
      <c r="B435" s="33" t="n">
        <f aca="false">IF($A435="",0,INT(($A435-Macrociclo!$C$11)/7)+1)</f>
        <v>0</v>
      </c>
      <c r="C435" s="20"/>
      <c r="D435" s="20"/>
      <c r="E435" s="22"/>
      <c r="F435" s="22"/>
      <c r="G435" s="20"/>
    </row>
    <row r="436" customFormat="false" ht="15" hidden="false" customHeight="false" outlineLevel="0" collapsed="false">
      <c r="A436" s="21"/>
      <c r="B436" s="33" t="n">
        <f aca="false">IF($A436="",0,INT(($A436-Macrociclo!$C$11)/7)+1)</f>
        <v>0</v>
      </c>
      <c r="C436" s="20"/>
      <c r="D436" s="20"/>
      <c r="E436" s="22"/>
      <c r="F436" s="22"/>
      <c r="G436" s="20"/>
    </row>
    <row r="437" customFormat="false" ht="15" hidden="false" customHeight="false" outlineLevel="0" collapsed="false">
      <c r="A437" s="21"/>
      <c r="B437" s="33" t="n">
        <f aca="false">IF($A437="",0,INT(($A437-Macrociclo!$C$11)/7)+1)</f>
        <v>0</v>
      </c>
      <c r="C437" s="20"/>
      <c r="D437" s="20"/>
      <c r="E437" s="22"/>
      <c r="F437" s="22"/>
      <c r="G437" s="20"/>
    </row>
    <row r="438" customFormat="false" ht="15" hidden="false" customHeight="false" outlineLevel="0" collapsed="false">
      <c r="A438" s="21"/>
      <c r="B438" s="33" t="n">
        <f aca="false">IF($A438="",0,INT(($A438-Macrociclo!$C$11)/7)+1)</f>
        <v>0</v>
      </c>
      <c r="C438" s="20"/>
      <c r="D438" s="20"/>
      <c r="E438" s="22"/>
      <c r="F438" s="22"/>
      <c r="G438" s="20"/>
    </row>
    <row r="439" customFormat="false" ht="15" hidden="false" customHeight="false" outlineLevel="0" collapsed="false">
      <c r="A439" s="21"/>
      <c r="B439" s="33" t="n">
        <f aca="false">IF($A439="",0,INT(($A439-Macrociclo!$C$11)/7)+1)</f>
        <v>0</v>
      </c>
      <c r="C439" s="20"/>
      <c r="D439" s="20"/>
      <c r="E439" s="22"/>
      <c r="F439" s="22"/>
      <c r="G439" s="20"/>
    </row>
    <row r="440" customFormat="false" ht="15" hidden="false" customHeight="false" outlineLevel="0" collapsed="false">
      <c r="A440" s="21"/>
      <c r="B440" s="33" t="n">
        <f aca="false">IF($A440="",0,INT(($A440-Macrociclo!$C$11)/7)+1)</f>
        <v>0</v>
      </c>
      <c r="C440" s="20"/>
      <c r="D440" s="20"/>
      <c r="E440" s="22"/>
      <c r="F440" s="22"/>
      <c r="G440" s="20"/>
    </row>
    <row r="441" customFormat="false" ht="15" hidden="false" customHeight="false" outlineLevel="0" collapsed="false">
      <c r="A441" s="21"/>
      <c r="B441" s="33" t="n">
        <f aca="false">IF($A441="",0,INT(($A441-Macrociclo!$C$11)/7)+1)</f>
        <v>0</v>
      </c>
      <c r="C441" s="20"/>
      <c r="D441" s="20"/>
      <c r="E441" s="22"/>
      <c r="F441" s="22"/>
      <c r="G441" s="20"/>
    </row>
    <row r="442" customFormat="false" ht="15" hidden="false" customHeight="false" outlineLevel="0" collapsed="false">
      <c r="A442" s="21"/>
      <c r="B442" s="33" t="n">
        <f aca="false">IF($A442="",0,INT(($A442-Macrociclo!$C$11)/7)+1)</f>
        <v>0</v>
      </c>
      <c r="C442" s="20"/>
      <c r="D442" s="20"/>
      <c r="E442" s="22"/>
      <c r="F442" s="22"/>
      <c r="G442" s="20"/>
    </row>
    <row r="443" customFormat="false" ht="15" hidden="false" customHeight="false" outlineLevel="0" collapsed="false">
      <c r="A443" s="21"/>
      <c r="B443" s="33" t="n">
        <f aca="false">IF($A443="",0,INT(($A443-Macrociclo!$C$11)/7)+1)</f>
        <v>0</v>
      </c>
      <c r="C443" s="20"/>
      <c r="D443" s="20"/>
      <c r="E443" s="22"/>
      <c r="F443" s="22"/>
      <c r="G443" s="20"/>
    </row>
    <row r="444" customFormat="false" ht="15" hidden="false" customHeight="false" outlineLevel="0" collapsed="false">
      <c r="A444" s="21"/>
      <c r="B444" s="33" t="n">
        <f aca="false">IF($A444="",0,INT(($A444-Macrociclo!$C$11)/7)+1)</f>
        <v>0</v>
      </c>
      <c r="C444" s="20"/>
      <c r="D444" s="20"/>
      <c r="E444" s="22"/>
      <c r="F444" s="22"/>
      <c r="G444" s="20"/>
    </row>
    <row r="445" customFormat="false" ht="15" hidden="false" customHeight="false" outlineLevel="0" collapsed="false">
      <c r="A445" s="21"/>
      <c r="B445" s="33" t="n">
        <f aca="false">IF($A445="",0,INT(($A445-Macrociclo!$C$11)/7)+1)</f>
        <v>0</v>
      </c>
      <c r="C445" s="20"/>
      <c r="D445" s="20"/>
      <c r="E445" s="22"/>
      <c r="F445" s="22"/>
      <c r="G445" s="20"/>
    </row>
    <row r="446" customFormat="false" ht="15" hidden="false" customHeight="false" outlineLevel="0" collapsed="false">
      <c r="A446" s="21"/>
      <c r="B446" s="33" t="n">
        <f aca="false">IF($A446="",0,INT(($A446-Macrociclo!$C$11)/7)+1)</f>
        <v>0</v>
      </c>
      <c r="C446" s="20"/>
      <c r="D446" s="20"/>
      <c r="E446" s="22"/>
      <c r="F446" s="22"/>
      <c r="G446" s="20"/>
    </row>
    <row r="447" customFormat="false" ht="15" hidden="false" customHeight="false" outlineLevel="0" collapsed="false">
      <c r="A447" s="21"/>
      <c r="B447" s="33" t="n">
        <f aca="false">IF($A447="",0,INT(($A447-Macrociclo!$C$11)/7)+1)</f>
        <v>0</v>
      </c>
      <c r="C447" s="20"/>
      <c r="D447" s="20"/>
      <c r="E447" s="22"/>
      <c r="F447" s="22"/>
      <c r="G447" s="20"/>
    </row>
    <row r="448" customFormat="false" ht="15" hidden="false" customHeight="false" outlineLevel="0" collapsed="false">
      <c r="A448" s="21"/>
      <c r="B448" s="33" t="n">
        <f aca="false">IF($A448="",0,INT(($A448-Macrociclo!$C$11)/7)+1)</f>
        <v>0</v>
      </c>
      <c r="C448" s="20"/>
      <c r="D448" s="20"/>
      <c r="E448" s="22"/>
      <c r="F448" s="22"/>
      <c r="G448" s="20"/>
    </row>
    <row r="449" customFormat="false" ht="15" hidden="false" customHeight="false" outlineLevel="0" collapsed="false">
      <c r="A449" s="21"/>
      <c r="B449" s="33" t="n">
        <f aca="false">IF($A449="",0,INT(($A449-Macrociclo!$C$11)/7)+1)</f>
        <v>0</v>
      </c>
      <c r="C449" s="20"/>
      <c r="D449" s="20"/>
      <c r="E449" s="22"/>
      <c r="F449" s="22"/>
      <c r="G449" s="20"/>
    </row>
    <row r="450" customFormat="false" ht="15" hidden="false" customHeight="false" outlineLevel="0" collapsed="false">
      <c r="A450" s="21"/>
      <c r="B450" s="33" t="n">
        <f aca="false">IF($A450="",0,INT(($A450-Macrociclo!$C$11)/7)+1)</f>
        <v>0</v>
      </c>
      <c r="C450" s="20"/>
      <c r="D450" s="20"/>
      <c r="E450" s="22"/>
      <c r="F450" s="22"/>
      <c r="G450" s="20"/>
    </row>
    <row r="451" customFormat="false" ht="15" hidden="false" customHeight="false" outlineLevel="0" collapsed="false">
      <c r="A451" s="21"/>
      <c r="B451" s="33" t="n">
        <f aca="false">IF($A451="",0,INT(($A451-Macrociclo!$C$11)/7)+1)</f>
        <v>0</v>
      </c>
      <c r="C451" s="20"/>
      <c r="D451" s="20"/>
      <c r="E451" s="22"/>
      <c r="F451" s="22"/>
      <c r="G451" s="20"/>
    </row>
    <row r="452" customFormat="false" ht="15" hidden="false" customHeight="false" outlineLevel="0" collapsed="false">
      <c r="A452" s="21"/>
      <c r="B452" s="33" t="n">
        <f aca="false">IF($A452="",0,INT(($A452-Macrociclo!$C$11)/7)+1)</f>
        <v>0</v>
      </c>
      <c r="C452" s="20"/>
      <c r="D452" s="20"/>
      <c r="E452" s="22"/>
      <c r="F452" s="22"/>
      <c r="G452" s="20"/>
    </row>
    <row r="453" customFormat="false" ht="15" hidden="false" customHeight="false" outlineLevel="0" collapsed="false">
      <c r="A453" s="21"/>
      <c r="B453" s="33" t="n">
        <f aca="false">IF($A453="",0,INT(($A453-Macrociclo!$C$11)/7)+1)</f>
        <v>0</v>
      </c>
      <c r="C453" s="20"/>
      <c r="D453" s="20"/>
      <c r="E453" s="22"/>
      <c r="F453" s="22"/>
      <c r="G453" s="20"/>
    </row>
    <row r="454" customFormat="false" ht="15" hidden="false" customHeight="false" outlineLevel="0" collapsed="false">
      <c r="A454" s="21"/>
      <c r="B454" s="33" t="n">
        <f aca="false">IF($A454="",0,INT(($A454-Macrociclo!$C$11)/7)+1)</f>
        <v>0</v>
      </c>
      <c r="C454" s="20"/>
      <c r="D454" s="20"/>
      <c r="E454" s="22"/>
      <c r="F454" s="22"/>
      <c r="G454" s="20"/>
    </row>
    <row r="455" customFormat="false" ht="15" hidden="false" customHeight="false" outlineLevel="0" collapsed="false">
      <c r="A455" s="21"/>
      <c r="B455" s="33" t="n">
        <f aca="false">IF($A455="",0,INT(($A455-Macrociclo!$C$11)/7)+1)</f>
        <v>0</v>
      </c>
      <c r="C455" s="20"/>
      <c r="D455" s="20"/>
      <c r="E455" s="22"/>
      <c r="F455" s="22"/>
      <c r="G455" s="20"/>
    </row>
    <row r="456" customFormat="false" ht="15" hidden="false" customHeight="false" outlineLevel="0" collapsed="false">
      <c r="A456" s="21"/>
      <c r="B456" s="33" t="n">
        <f aca="false">IF($A456="",0,INT(($A456-Macrociclo!$C$11)/7)+1)</f>
        <v>0</v>
      </c>
      <c r="C456" s="20"/>
      <c r="D456" s="20"/>
      <c r="E456" s="22"/>
      <c r="F456" s="22"/>
      <c r="G456" s="20"/>
    </row>
    <row r="457" customFormat="false" ht="15" hidden="false" customHeight="false" outlineLevel="0" collapsed="false">
      <c r="A457" s="21"/>
      <c r="B457" s="33" t="n">
        <f aca="false">IF($A457="",0,INT(($A457-Macrociclo!$C$11)/7)+1)</f>
        <v>0</v>
      </c>
      <c r="C457" s="20"/>
      <c r="D457" s="20"/>
      <c r="E457" s="22"/>
      <c r="F457" s="22"/>
      <c r="G457" s="20"/>
    </row>
    <row r="458" customFormat="false" ht="15" hidden="false" customHeight="false" outlineLevel="0" collapsed="false">
      <c r="A458" s="21"/>
      <c r="B458" s="33" t="n">
        <f aca="false">IF($A458="",0,INT(($A458-Macrociclo!$C$11)/7)+1)</f>
        <v>0</v>
      </c>
      <c r="C458" s="20"/>
      <c r="D458" s="20"/>
      <c r="E458" s="22"/>
      <c r="F458" s="22"/>
      <c r="G458" s="20"/>
    </row>
    <row r="459" customFormat="false" ht="15" hidden="false" customHeight="false" outlineLevel="0" collapsed="false">
      <c r="A459" s="21"/>
      <c r="B459" s="33" t="n">
        <f aca="false">IF($A459="",0,INT(($A459-Macrociclo!$C$11)/7)+1)</f>
        <v>0</v>
      </c>
      <c r="C459" s="20"/>
      <c r="D459" s="20"/>
      <c r="E459" s="22"/>
      <c r="F459" s="22"/>
      <c r="G459" s="20"/>
    </row>
    <row r="460" customFormat="false" ht="15" hidden="false" customHeight="false" outlineLevel="0" collapsed="false">
      <c r="A460" s="21"/>
      <c r="B460" s="33" t="n">
        <f aca="false">IF($A460="",0,INT(($A460-Macrociclo!$C$11)/7)+1)</f>
        <v>0</v>
      </c>
      <c r="C460" s="20"/>
      <c r="D460" s="20"/>
      <c r="E460" s="22"/>
      <c r="F460" s="22"/>
      <c r="G460" s="20"/>
    </row>
    <row r="461" customFormat="false" ht="15" hidden="false" customHeight="false" outlineLevel="0" collapsed="false">
      <c r="A461" s="21"/>
      <c r="B461" s="33" t="n">
        <f aca="false">IF($A461="",0,INT(($A461-Macrociclo!$C$11)/7)+1)</f>
        <v>0</v>
      </c>
      <c r="C461" s="20"/>
      <c r="D461" s="20"/>
      <c r="E461" s="22"/>
      <c r="F461" s="22"/>
      <c r="G461" s="20"/>
    </row>
    <row r="462" customFormat="false" ht="15" hidden="false" customHeight="false" outlineLevel="0" collapsed="false">
      <c r="A462" s="21"/>
      <c r="B462" s="33" t="n">
        <f aca="false">IF($A462="",0,INT(($A462-Macrociclo!$C$11)/7)+1)</f>
        <v>0</v>
      </c>
      <c r="C462" s="20"/>
      <c r="D462" s="20"/>
      <c r="E462" s="22"/>
      <c r="F462" s="22"/>
      <c r="G462" s="20"/>
    </row>
    <row r="463" customFormat="false" ht="15" hidden="false" customHeight="false" outlineLevel="0" collapsed="false">
      <c r="A463" s="21"/>
      <c r="B463" s="33" t="n">
        <f aca="false">IF($A463="",0,INT(($A463-Macrociclo!$C$11)/7)+1)</f>
        <v>0</v>
      </c>
      <c r="C463" s="20"/>
      <c r="D463" s="20"/>
      <c r="E463" s="22"/>
      <c r="F463" s="22"/>
      <c r="G463" s="20"/>
    </row>
    <row r="464" customFormat="false" ht="15" hidden="false" customHeight="false" outlineLevel="0" collapsed="false">
      <c r="A464" s="21"/>
      <c r="B464" s="33" t="n">
        <f aca="false">IF($A464="",0,INT(($A464-Macrociclo!$C$11)/7)+1)</f>
        <v>0</v>
      </c>
      <c r="C464" s="20"/>
      <c r="D464" s="20"/>
      <c r="E464" s="22"/>
      <c r="F464" s="22"/>
      <c r="G464" s="20"/>
    </row>
    <row r="465" customFormat="false" ht="15" hidden="false" customHeight="false" outlineLevel="0" collapsed="false">
      <c r="A465" s="21"/>
      <c r="B465" s="33" t="n">
        <f aca="false">IF($A465="",0,INT(($A465-Macrociclo!$C$11)/7)+1)</f>
        <v>0</v>
      </c>
      <c r="C465" s="20"/>
      <c r="D465" s="20"/>
      <c r="E465" s="22"/>
      <c r="F465" s="22"/>
      <c r="G465" s="20"/>
    </row>
    <row r="466" customFormat="false" ht="15" hidden="false" customHeight="false" outlineLevel="0" collapsed="false">
      <c r="A466" s="21"/>
      <c r="B466" s="33" t="n">
        <f aca="false">IF($A466="",0,INT(($A466-Macrociclo!$C$11)/7)+1)</f>
        <v>0</v>
      </c>
      <c r="C466" s="20"/>
      <c r="D466" s="20"/>
      <c r="E466" s="22"/>
      <c r="F466" s="22"/>
      <c r="G466" s="20"/>
    </row>
    <row r="467" customFormat="false" ht="15" hidden="false" customHeight="false" outlineLevel="0" collapsed="false">
      <c r="A467" s="21"/>
      <c r="B467" s="33" t="n">
        <f aca="false">IF($A467="",0,INT(($A467-Macrociclo!$C$11)/7)+1)</f>
        <v>0</v>
      </c>
      <c r="C467" s="20"/>
      <c r="D467" s="20"/>
      <c r="E467" s="22"/>
      <c r="F467" s="22"/>
      <c r="G467" s="20"/>
    </row>
    <row r="468" customFormat="false" ht="15" hidden="false" customHeight="false" outlineLevel="0" collapsed="false">
      <c r="A468" s="21"/>
      <c r="B468" s="33" t="n">
        <f aca="false">IF($A468="",0,INT(($A468-Macrociclo!$C$11)/7)+1)</f>
        <v>0</v>
      </c>
      <c r="C468" s="20"/>
      <c r="D468" s="20"/>
      <c r="E468" s="22"/>
      <c r="F468" s="22"/>
      <c r="G468" s="20"/>
    </row>
    <row r="469" customFormat="false" ht="15" hidden="false" customHeight="false" outlineLevel="0" collapsed="false">
      <c r="A469" s="21"/>
      <c r="B469" s="33" t="n">
        <f aca="false">IF($A469="",0,INT(($A469-Macrociclo!$C$11)/7)+1)</f>
        <v>0</v>
      </c>
      <c r="C469" s="20"/>
      <c r="D469" s="20"/>
      <c r="E469" s="22"/>
      <c r="F469" s="22"/>
      <c r="G469" s="20"/>
    </row>
    <row r="470" customFormat="false" ht="15" hidden="false" customHeight="false" outlineLevel="0" collapsed="false">
      <c r="A470" s="21"/>
      <c r="B470" s="33" t="n">
        <f aca="false">IF($A470="",0,INT(($A470-Macrociclo!$C$11)/7)+1)</f>
        <v>0</v>
      </c>
      <c r="C470" s="20"/>
      <c r="D470" s="20"/>
      <c r="E470" s="22"/>
      <c r="F470" s="22"/>
      <c r="G470" s="20"/>
    </row>
    <row r="471" customFormat="false" ht="15" hidden="false" customHeight="false" outlineLevel="0" collapsed="false">
      <c r="A471" s="21"/>
      <c r="B471" s="33" t="n">
        <f aca="false">IF($A471="",0,INT(($A471-Macrociclo!$C$11)/7)+1)</f>
        <v>0</v>
      </c>
      <c r="C471" s="20"/>
      <c r="D471" s="20"/>
      <c r="E471" s="22"/>
      <c r="F471" s="22"/>
      <c r="G471" s="20"/>
    </row>
    <row r="472" customFormat="false" ht="15" hidden="false" customHeight="false" outlineLevel="0" collapsed="false">
      <c r="A472" s="21"/>
      <c r="B472" s="33" t="n">
        <f aca="false">IF($A472="",0,INT(($A472-Macrociclo!$C$11)/7)+1)</f>
        <v>0</v>
      </c>
      <c r="C472" s="20"/>
      <c r="D472" s="20"/>
      <c r="E472" s="22"/>
      <c r="F472" s="22"/>
      <c r="G472" s="20"/>
    </row>
    <row r="473" customFormat="false" ht="15" hidden="false" customHeight="false" outlineLevel="0" collapsed="false">
      <c r="A473" s="21"/>
      <c r="B473" s="33" t="n">
        <f aca="false">IF($A473="",0,INT(($A473-Macrociclo!$C$11)/7)+1)</f>
        <v>0</v>
      </c>
      <c r="C473" s="20"/>
      <c r="D473" s="20"/>
      <c r="E473" s="22"/>
      <c r="F473" s="22"/>
      <c r="G473" s="20"/>
    </row>
    <row r="474" customFormat="false" ht="15" hidden="false" customHeight="false" outlineLevel="0" collapsed="false">
      <c r="A474" s="21"/>
      <c r="B474" s="33" t="n">
        <f aca="false">IF($A474="",0,INT(($A474-Macrociclo!$C$11)/7)+1)</f>
        <v>0</v>
      </c>
      <c r="C474" s="20"/>
      <c r="D474" s="20"/>
      <c r="E474" s="22"/>
      <c r="F474" s="22"/>
      <c r="G474" s="20"/>
    </row>
    <row r="475" customFormat="false" ht="15" hidden="false" customHeight="false" outlineLevel="0" collapsed="false">
      <c r="A475" s="21"/>
      <c r="B475" s="33" t="n">
        <f aca="false">IF($A475="",0,INT(($A475-Macrociclo!$C$11)/7)+1)</f>
        <v>0</v>
      </c>
      <c r="C475" s="20"/>
      <c r="D475" s="20"/>
      <c r="E475" s="22"/>
      <c r="F475" s="22"/>
      <c r="G475" s="20"/>
    </row>
    <row r="476" customFormat="false" ht="15" hidden="false" customHeight="false" outlineLevel="0" collapsed="false">
      <c r="A476" s="21"/>
      <c r="B476" s="33" t="n">
        <f aca="false">IF($A476="",0,INT(($A476-Macrociclo!$C$11)/7)+1)</f>
        <v>0</v>
      </c>
      <c r="C476" s="20"/>
      <c r="D476" s="20"/>
      <c r="E476" s="22"/>
      <c r="F476" s="22"/>
      <c r="G476" s="20"/>
    </row>
    <row r="477" customFormat="false" ht="15" hidden="false" customHeight="false" outlineLevel="0" collapsed="false">
      <c r="A477" s="21"/>
      <c r="B477" s="33" t="n">
        <f aca="false">IF($A477="",0,INT(($A477-Macrociclo!$C$11)/7)+1)</f>
        <v>0</v>
      </c>
      <c r="C477" s="20"/>
      <c r="D477" s="20"/>
      <c r="E477" s="22"/>
      <c r="F477" s="22"/>
      <c r="G477" s="20"/>
    </row>
    <row r="478" customFormat="false" ht="15" hidden="false" customHeight="false" outlineLevel="0" collapsed="false">
      <c r="A478" s="21"/>
      <c r="B478" s="33" t="n">
        <f aca="false">IF($A478="",0,INT(($A478-Macrociclo!$C$11)/7)+1)</f>
        <v>0</v>
      </c>
      <c r="C478" s="20"/>
      <c r="D478" s="20"/>
      <c r="E478" s="22"/>
      <c r="F478" s="22"/>
      <c r="G478" s="20"/>
    </row>
    <row r="479" customFormat="false" ht="15" hidden="false" customHeight="false" outlineLevel="0" collapsed="false">
      <c r="A479" s="21"/>
      <c r="B479" s="33" t="n">
        <f aca="false">IF($A479="",0,INT(($A479-Macrociclo!$C$11)/7)+1)</f>
        <v>0</v>
      </c>
      <c r="C479" s="20"/>
      <c r="D479" s="20"/>
      <c r="E479" s="22"/>
      <c r="F479" s="22"/>
      <c r="G479" s="20"/>
    </row>
    <row r="480" customFormat="false" ht="15" hidden="false" customHeight="false" outlineLevel="0" collapsed="false">
      <c r="A480" s="21"/>
      <c r="B480" s="33" t="n">
        <f aca="false">IF($A480="",0,INT(($A480-Macrociclo!$C$11)/7)+1)</f>
        <v>0</v>
      </c>
      <c r="C480" s="20"/>
      <c r="D480" s="20"/>
      <c r="E480" s="22"/>
      <c r="F480" s="22"/>
      <c r="G480" s="20"/>
    </row>
    <row r="481" customFormat="false" ht="15" hidden="false" customHeight="false" outlineLevel="0" collapsed="false">
      <c r="A481" s="21"/>
      <c r="B481" s="33" t="n">
        <f aca="false">IF($A481="",0,INT(($A481-Macrociclo!$C$11)/7)+1)</f>
        <v>0</v>
      </c>
      <c r="C481" s="20"/>
      <c r="D481" s="20"/>
      <c r="E481" s="22"/>
      <c r="F481" s="22"/>
      <c r="G481" s="20"/>
    </row>
    <row r="482" customFormat="false" ht="15" hidden="false" customHeight="false" outlineLevel="0" collapsed="false">
      <c r="A482" s="21"/>
      <c r="B482" s="33" t="n">
        <f aca="false">IF($A482="",0,INT(($A482-Macrociclo!$C$11)/7)+1)</f>
        <v>0</v>
      </c>
      <c r="C482" s="20"/>
      <c r="D482" s="20"/>
      <c r="E482" s="22"/>
      <c r="F482" s="22"/>
      <c r="G482" s="20"/>
    </row>
    <row r="483" customFormat="false" ht="15" hidden="false" customHeight="false" outlineLevel="0" collapsed="false">
      <c r="A483" s="21"/>
      <c r="B483" s="33" t="n">
        <f aca="false">IF($A483="",0,INT(($A483-Macrociclo!$C$11)/7)+1)</f>
        <v>0</v>
      </c>
      <c r="C483" s="20"/>
      <c r="D483" s="20"/>
      <c r="E483" s="22"/>
      <c r="F483" s="22"/>
      <c r="G483" s="20"/>
    </row>
    <row r="484" customFormat="false" ht="15" hidden="false" customHeight="false" outlineLevel="0" collapsed="false">
      <c r="A484" s="21"/>
      <c r="B484" s="33" t="n">
        <f aca="false">IF($A484="",0,INT(($A484-Macrociclo!$C$11)/7)+1)</f>
        <v>0</v>
      </c>
      <c r="C484" s="20"/>
      <c r="D484" s="20"/>
      <c r="E484" s="22"/>
      <c r="F484" s="22"/>
      <c r="G484" s="20"/>
    </row>
    <row r="485" customFormat="false" ht="15" hidden="false" customHeight="false" outlineLevel="0" collapsed="false">
      <c r="A485" s="21"/>
      <c r="B485" s="33" t="n">
        <f aca="false">IF($A485="",0,INT(($A485-Macrociclo!$C$11)/7)+1)</f>
        <v>0</v>
      </c>
      <c r="C485" s="20"/>
      <c r="D485" s="20"/>
      <c r="E485" s="22"/>
      <c r="F485" s="22"/>
      <c r="G485" s="20"/>
    </row>
    <row r="486" customFormat="false" ht="15" hidden="false" customHeight="false" outlineLevel="0" collapsed="false">
      <c r="A486" s="21"/>
      <c r="B486" s="33" t="n">
        <f aca="false">IF($A486="",0,INT(($A486-Macrociclo!$C$11)/7)+1)</f>
        <v>0</v>
      </c>
      <c r="C486" s="20"/>
      <c r="D486" s="20"/>
      <c r="E486" s="22"/>
      <c r="F486" s="22"/>
      <c r="G486" s="20"/>
    </row>
    <row r="487" customFormat="false" ht="15" hidden="false" customHeight="false" outlineLevel="0" collapsed="false">
      <c r="A487" s="21"/>
      <c r="B487" s="33" t="n">
        <f aca="false">IF($A487="",0,INT(($A487-Macrociclo!$C$11)/7)+1)</f>
        <v>0</v>
      </c>
      <c r="C487" s="20"/>
      <c r="D487" s="20"/>
      <c r="E487" s="22"/>
      <c r="F487" s="22"/>
      <c r="G487" s="20"/>
    </row>
    <row r="488" customFormat="false" ht="15" hidden="false" customHeight="false" outlineLevel="0" collapsed="false">
      <c r="A488" s="21"/>
      <c r="B488" s="33" t="n">
        <f aca="false">IF($A488="",0,INT(($A488-Macrociclo!$C$11)/7)+1)</f>
        <v>0</v>
      </c>
      <c r="C488" s="20"/>
      <c r="D488" s="20"/>
      <c r="E488" s="22"/>
      <c r="F488" s="22"/>
      <c r="G488" s="20"/>
    </row>
    <row r="489" customFormat="false" ht="15" hidden="false" customHeight="false" outlineLevel="0" collapsed="false">
      <c r="A489" s="21"/>
      <c r="B489" s="33" t="n">
        <f aca="false">IF($A489="",0,INT(($A489-Macrociclo!$C$11)/7)+1)</f>
        <v>0</v>
      </c>
      <c r="C489" s="20"/>
      <c r="D489" s="20"/>
      <c r="E489" s="22"/>
      <c r="F489" s="22"/>
      <c r="G489" s="20"/>
    </row>
    <row r="490" customFormat="false" ht="15" hidden="false" customHeight="false" outlineLevel="0" collapsed="false">
      <c r="A490" s="21"/>
      <c r="B490" s="33" t="n">
        <f aca="false">IF($A490="",0,INT(($A490-Macrociclo!$C$11)/7)+1)</f>
        <v>0</v>
      </c>
      <c r="C490" s="20"/>
      <c r="D490" s="20"/>
      <c r="E490" s="22"/>
      <c r="F490" s="22"/>
      <c r="G490" s="20"/>
    </row>
    <row r="491" customFormat="false" ht="15" hidden="false" customHeight="false" outlineLevel="0" collapsed="false">
      <c r="A491" s="21"/>
      <c r="B491" s="33" t="n">
        <f aca="false">IF($A491="",0,INT(($A491-Macrociclo!$C$11)/7)+1)</f>
        <v>0</v>
      </c>
      <c r="C491" s="20"/>
      <c r="D491" s="20"/>
      <c r="E491" s="22"/>
      <c r="F491" s="22"/>
      <c r="G491" s="20"/>
    </row>
    <row r="492" customFormat="false" ht="15" hidden="false" customHeight="false" outlineLevel="0" collapsed="false">
      <c r="A492" s="21"/>
      <c r="B492" s="33" t="n">
        <f aca="false">IF($A492="",0,INT(($A492-Macrociclo!$C$11)/7)+1)</f>
        <v>0</v>
      </c>
      <c r="C492" s="20"/>
      <c r="D492" s="20"/>
      <c r="E492" s="22"/>
      <c r="F492" s="22"/>
      <c r="G492" s="20"/>
    </row>
    <row r="493" customFormat="false" ht="15" hidden="false" customHeight="false" outlineLevel="0" collapsed="false">
      <c r="A493" s="21"/>
      <c r="B493" s="33" t="n">
        <f aca="false">IF($A493="",0,INT(($A493-Macrociclo!$C$11)/7)+1)</f>
        <v>0</v>
      </c>
      <c r="C493" s="20"/>
      <c r="D493" s="20"/>
      <c r="E493" s="22"/>
      <c r="F493" s="22"/>
      <c r="G493" s="20"/>
    </row>
    <row r="494" customFormat="false" ht="15" hidden="false" customHeight="false" outlineLevel="0" collapsed="false">
      <c r="A494" s="21"/>
      <c r="B494" s="33" t="n">
        <f aca="false">IF($A494="",0,INT(($A494-Macrociclo!$C$11)/7)+1)</f>
        <v>0</v>
      </c>
      <c r="C494" s="20"/>
      <c r="D494" s="20"/>
      <c r="E494" s="22"/>
      <c r="F494" s="22"/>
      <c r="G494" s="20"/>
    </row>
    <row r="495" customFormat="false" ht="15" hidden="false" customHeight="false" outlineLevel="0" collapsed="false">
      <c r="A495" s="21"/>
      <c r="B495" s="33" t="n">
        <f aca="false">IF($A495="",0,INT(($A495-Macrociclo!$C$11)/7)+1)</f>
        <v>0</v>
      </c>
      <c r="C495" s="20"/>
      <c r="D495" s="20"/>
      <c r="E495" s="22"/>
      <c r="F495" s="22"/>
      <c r="G495" s="20"/>
    </row>
    <row r="496" customFormat="false" ht="15" hidden="false" customHeight="false" outlineLevel="0" collapsed="false">
      <c r="A496" s="21"/>
      <c r="B496" s="33" t="n">
        <f aca="false">IF($A496="",0,INT(($A496-Macrociclo!$C$11)/7)+1)</f>
        <v>0</v>
      </c>
      <c r="C496" s="20"/>
      <c r="D496" s="20"/>
      <c r="E496" s="22"/>
      <c r="F496" s="22"/>
      <c r="G496" s="20"/>
    </row>
    <row r="497" customFormat="false" ht="15" hidden="false" customHeight="false" outlineLevel="0" collapsed="false">
      <c r="A497" s="21"/>
      <c r="B497" s="33" t="n">
        <f aca="false">IF($A497="",0,INT(($A497-Macrociclo!$C$11)/7)+1)</f>
        <v>0</v>
      </c>
      <c r="C497" s="20"/>
      <c r="D497" s="20"/>
      <c r="E497" s="22"/>
      <c r="F497" s="22"/>
      <c r="G497" s="20"/>
    </row>
    <row r="498" customFormat="false" ht="15" hidden="false" customHeight="false" outlineLevel="0" collapsed="false">
      <c r="A498" s="21"/>
      <c r="B498" s="33" t="n">
        <f aca="false">IF($A498="",0,INT(($A498-Macrociclo!$C$11)/7)+1)</f>
        <v>0</v>
      </c>
      <c r="C498" s="20"/>
      <c r="D498" s="20"/>
      <c r="E498" s="22"/>
      <c r="F498" s="22"/>
      <c r="G498" s="20"/>
    </row>
    <row r="499" customFormat="false" ht="15" hidden="false" customHeight="false" outlineLevel="0" collapsed="false">
      <c r="A499" s="21"/>
      <c r="B499" s="33" t="n">
        <f aca="false">IF($A499="",0,INT(($A499-Macrociclo!$C$11)/7)+1)</f>
        <v>0</v>
      </c>
      <c r="C499" s="20"/>
      <c r="D499" s="20"/>
      <c r="E499" s="22"/>
      <c r="F499" s="22"/>
      <c r="G499" s="20"/>
    </row>
    <row r="500" customFormat="false" ht="15" hidden="false" customHeight="false" outlineLevel="0" collapsed="false">
      <c r="A500" s="21"/>
      <c r="B500" s="33" t="n">
        <f aca="false">IF($A500="",0,INT(($A500-Macrociclo!$C$11)/7)+1)</f>
        <v>0</v>
      </c>
      <c r="C500" s="20"/>
      <c r="D500" s="20"/>
      <c r="E500" s="22"/>
      <c r="F500" s="22"/>
      <c r="G500" s="20"/>
    </row>
    <row r="501" customFormat="false" ht="15" hidden="false" customHeight="false" outlineLevel="0" collapsed="false">
      <c r="A501" s="21"/>
      <c r="B501" s="33" t="n">
        <f aca="false">IF($A501="",0,INT(($A501-Macrociclo!$C$11)/7)+1)</f>
        <v>0</v>
      </c>
      <c r="C501" s="20"/>
      <c r="D501" s="20"/>
      <c r="E501" s="22"/>
      <c r="F501" s="22"/>
      <c r="G501" s="20"/>
    </row>
    <row r="502" customFormat="false" ht="15" hidden="false" customHeight="false" outlineLevel="0" collapsed="false">
      <c r="A502" s="21"/>
      <c r="B502" s="33" t="n">
        <f aca="false">IF($A502="",0,INT(($A502-Macrociclo!$C$11)/7)+1)</f>
        <v>0</v>
      </c>
      <c r="C502" s="20"/>
      <c r="D502" s="20"/>
      <c r="E502" s="22"/>
      <c r="F502" s="22"/>
      <c r="G502" s="20"/>
    </row>
    <row r="503" customFormat="false" ht="15" hidden="false" customHeight="false" outlineLevel="0" collapsed="false">
      <c r="A503" s="21"/>
      <c r="B503" s="33" t="n">
        <f aca="false">IF($A503="",0,INT(($A503-Macrociclo!$C$11)/7)+1)</f>
        <v>0</v>
      </c>
      <c r="C503" s="20"/>
      <c r="D503" s="20"/>
      <c r="E503" s="22"/>
      <c r="F503" s="22"/>
      <c r="G503" s="20"/>
    </row>
    <row r="504" customFormat="false" ht="15" hidden="false" customHeight="false" outlineLevel="0" collapsed="false">
      <c r="A504" s="21"/>
      <c r="B504" s="33" t="n">
        <f aca="false">IF($A504="",0,INT(($A504-Macrociclo!$C$11)/7)+1)</f>
        <v>0</v>
      </c>
      <c r="C504" s="20"/>
      <c r="D504" s="20"/>
      <c r="E504" s="22"/>
      <c r="F504" s="22"/>
      <c r="G504" s="20"/>
    </row>
    <row r="505" customFormat="false" ht="15" hidden="false" customHeight="false" outlineLevel="0" collapsed="false">
      <c r="A505" s="21"/>
      <c r="B505" s="33" t="n">
        <f aca="false">IF($A505="",0,INT(($A505-Macrociclo!$C$11)/7)+1)</f>
        <v>0</v>
      </c>
      <c r="C505" s="20"/>
      <c r="D505" s="20"/>
      <c r="E505" s="22"/>
      <c r="F505" s="22"/>
      <c r="G505" s="20"/>
    </row>
    <row r="506" customFormat="false" ht="15" hidden="false" customHeight="false" outlineLevel="0" collapsed="false">
      <c r="A506" s="21"/>
      <c r="B506" s="33" t="n">
        <f aca="false">IF($A506="",0,INT(($A506-Macrociclo!$C$11)/7)+1)</f>
        <v>0</v>
      </c>
      <c r="C506" s="20"/>
      <c r="D506" s="20"/>
      <c r="E506" s="22"/>
      <c r="F506" s="22"/>
      <c r="G506" s="20"/>
    </row>
    <row r="507" customFormat="false" ht="15" hidden="false" customHeight="false" outlineLevel="0" collapsed="false">
      <c r="A507" s="21"/>
      <c r="B507" s="33" t="n">
        <f aca="false">IF($A507="",0,INT(($A507-Macrociclo!$C$11)/7)+1)</f>
        <v>0</v>
      </c>
      <c r="C507" s="20"/>
      <c r="D507" s="20"/>
      <c r="E507" s="22"/>
      <c r="F507" s="22"/>
      <c r="G507" s="20"/>
    </row>
    <row r="508" customFormat="false" ht="15" hidden="false" customHeight="false" outlineLevel="0" collapsed="false">
      <c r="A508" s="21"/>
      <c r="B508" s="33" t="n">
        <f aca="false">IF($A508="",0,INT(($A508-Macrociclo!$C$11)/7)+1)</f>
        <v>0</v>
      </c>
      <c r="C508" s="20"/>
      <c r="D508" s="20"/>
      <c r="E508" s="22"/>
      <c r="F508" s="22"/>
      <c r="G508" s="20"/>
    </row>
    <row r="509" customFormat="false" ht="15" hidden="false" customHeight="false" outlineLevel="0" collapsed="false">
      <c r="A509" s="21"/>
      <c r="B509" s="33" t="n">
        <f aca="false">IF($A509="",0,INT(($A509-Macrociclo!$C$11)/7)+1)</f>
        <v>0</v>
      </c>
      <c r="C509" s="20"/>
      <c r="D509" s="20"/>
      <c r="E509" s="22"/>
      <c r="F509" s="22"/>
      <c r="G509" s="20"/>
    </row>
    <row r="510" customFormat="false" ht="15" hidden="false" customHeight="false" outlineLevel="0" collapsed="false">
      <c r="A510" s="21"/>
      <c r="B510" s="33" t="n">
        <f aca="false">IF($A510="",0,INT(($A510-Macrociclo!$C$11)/7)+1)</f>
        <v>0</v>
      </c>
      <c r="C510" s="20"/>
      <c r="D510" s="20"/>
      <c r="E510" s="22"/>
      <c r="F510" s="22"/>
      <c r="G510" s="20"/>
    </row>
    <row r="511" customFormat="false" ht="15" hidden="false" customHeight="false" outlineLevel="0" collapsed="false">
      <c r="A511" s="21"/>
      <c r="B511" s="33" t="n">
        <f aca="false">IF($A511="",0,INT(($A511-Macrociclo!$C$11)/7)+1)</f>
        <v>0</v>
      </c>
      <c r="C511" s="20"/>
      <c r="D511" s="20"/>
      <c r="E511" s="22"/>
      <c r="F511" s="22"/>
      <c r="G511" s="20"/>
    </row>
    <row r="512" customFormat="false" ht="15" hidden="false" customHeight="false" outlineLevel="0" collapsed="false">
      <c r="A512" s="21"/>
      <c r="B512" s="33" t="n">
        <f aca="false">IF($A512="",0,INT(($A512-Macrociclo!$C$11)/7)+1)</f>
        <v>0</v>
      </c>
      <c r="C512" s="20"/>
      <c r="D512" s="20"/>
      <c r="E512" s="22"/>
      <c r="F512" s="22"/>
      <c r="G512" s="20"/>
    </row>
    <row r="513" customFormat="false" ht="15" hidden="false" customHeight="false" outlineLevel="0" collapsed="false">
      <c r="A513" s="21"/>
      <c r="B513" s="33" t="n">
        <f aca="false">IF($A513="",0,INT(($A513-Macrociclo!$C$11)/7)+1)</f>
        <v>0</v>
      </c>
      <c r="C513" s="20"/>
      <c r="D513" s="20"/>
      <c r="E513" s="22"/>
      <c r="F513" s="22"/>
      <c r="G513" s="20"/>
    </row>
    <row r="514" customFormat="false" ht="15" hidden="false" customHeight="false" outlineLevel="0" collapsed="false">
      <c r="A514" s="21"/>
      <c r="B514" s="33" t="n">
        <f aca="false">IF($A514="",0,INT(($A514-Macrociclo!$C$11)/7)+1)</f>
        <v>0</v>
      </c>
      <c r="C514" s="20"/>
      <c r="D514" s="20"/>
      <c r="E514" s="22"/>
      <c r="F514" s="22"/>
      <c r="G514" s="20"/>
    </row>
    <row r="515" customFormat="false" ht="15" hidden="false" customHeight="false" outlineLevel="0" collapsed="false">
      <c r="A515" s="21"/>
      <c r="B515" s="33" t="n">
        <f aca="false">IF($A515="",0,INT(($A515-Macrociclo!$C$11)/7)+1)</f>
        <v>0</v>
      </c>
      <c r="C515" s="20"/>
      <c r="D515" s="20"/>
      <c r="E515" s="22"/>
      <c r="F515" s="22"/>
      <c r="G515" s="20"/>
    </row>
    <row r="516" customFormat="false" ht="15" hidden="false" customHeight="false" outlineLevel="0" collapsed="false">
      <c r="A516" s="21"/>
      <c r="B516" s="33" t="n">
        <f aca="false">IF($A516="",0,INT(($A516-Macrociclo!$C$11)/7)+1)</f>
        <v>0</v>
      </c>
      <c r="C516" s="20"/>
      <c r="D516" s="20"/>
      <c r="E516" s="22"/>
      <c r="F516" s="22"/>
      <c r="G516" s="20"/>
    </row>
    <row r="517" customFormat="false" ht="15" hidden="false" customHeight="false" outlineLevel="0" collapsed="false">
      <c r="A517" s="21"/>
      <c r="B517" s="33" t="n">
        <f aca="false">IF($A517="",0,INT(($A517-Macrociclo!$C$11)/7)+1)</f>
        <v>0</v>
      </c>
      <c r="C517" s="20"/>
      <c r="D517" s="20"/>
      <c r="E517" s="22"/>
      <c r="F517" s="22"/>
      <c r="G517" s="20"/>
    </row>
    <row r="518" customFormat="false" ht="15" hidden="false" customHeight="false" outlineLevel="0" collapsed="false">
      <c r="A518" s="21"/>
      <c r="B518" s="33" t="n">
        <f aca="false">IF($A518="",0,INT(($A518-Macrociclo!$C$11)/7)+1)</f>
        <v>0</v>
      </c>
      <c r="C518" s="20"/>
      <c r="D518" s="20"/>
      <c r="E518" s="22"/>
      <c r="F518" s="22"/>
      <c r="G518" s="20"/>
    </row>
    <row r="519" customFormat="false" ht="15" hidden="false" customHeight="false" outlineLevel="0" collapsed="false">
      <c r="A519" s="21"/>
      <c r="B519" s="33" t="n">
        <f aca="false">IF($A519="",0,INT(($A519-Macrociclo!$C$11)/7)+1)</f>
        <v>0</v>
      </c>
      <c r="C519" s="20"/>
      <c r="D519" s="20"/>
      <c r="E519" s="22"/>
      <c r="F519" s="22"/>
      <c r="G519" s="20"/>
    </row>
    <row r="520" customFormat="false" ht="15" hidden="false" customHeight="false" outlineLevel="0" collapsed="false">
      <c r="A520" s="21"/>
      <c r="B520" s="33" t="n">
        <f aca="false">IF($A520="",0,INT(($A520-Macrociclo!$C$11)/7)+1)</f>
        <v>0</v>
      </c>
      <c r="C520" s="20"/>
      <c r="D520" s="20"/>
      <c r="E520" s="22"/>
      <c r="F520" s="22"/>
      <c r="G520" s="20"/>
    </row>
    <row r="521" customFormat="false" ht="15" hidden="false" customHeight="false" outlineLevel="0" collapsed="false">
      <c r="A521" s="21"/>
      <c r="B521" s="33" t="n">
        <f aca="false">IF($A521="",0,INT(($A521-Macrociclo!$C$11)/7)+1)</f>
        <v>0</v>
      </c>
      <c r="C521" s="20"/>
      <c r="D521" s="20"/>
      <c r="E521" s="22"/>
      <c r="F521" s="22"/>
      <c r="G521" s="20"/>
    </row>
    <row r="522" customFormat="false" ht="15" hidden="false" customHeight="false" outlineLevel="0" collapsed="false">
      <c r="A522" s="21"/>
      <c r="B522" s="33" t="n">
        <f aca="false">IF($A522="",0,INT(($A522-Macrociclo!$C$11)/7)+1)</f>
        <v>0</v>
      </c>
      <c r="C522" s="20"/>
      <c r="D522" s="20"/>
      <c r="E522" s="22"/>
      <c r="F522" s="22"/>
      <c r="G522" s="20"/>
    </row>
    <row r="523" customFormat="false" ht="15" hidden="false" customHeight="false" outlineLevel="0" collapsed="false">
      <c r="A523" s="21"/>
      <c r="B523" s="33" t="n">
        <f aca="false">IF($A523="",0,INT(($A523-Macrociclo!$C$11)/7)+1)</f>
        <v>0</v>
      </c>
      <c r="C523" s="20"/>
      <c r="D523" s="20"/>
      <c r="E523" s="22"/>
      <c r="F523" s="22"/>
      <c r="G523" s="20"/>
    </row>
    <row r="524" customFormat="false" ht="15" hidden="false" customHeight="false" outlineLevel="0" collapsed="false">
      <c r="A524" s="21"/>
      <c r="B524" s="33" t="n">
        <f aca="false">IF($A524="",0,INT(($A524-Macrociclo!$C$11)/7)+1)</f>
        <v>0</v>
      </c>
      <c r="C524" s="20"/>
      <c r="D524" s="20"/>
      <c r="E524" s="22"/>
      <c r="F524" s="22"/>
      <c r="G524" s="20"/>
    </row>
    <row r="525" customFormat="false" ht="15" hidden="false" customHeight="false" outlineLevel="0" collapsed="false">
      <c r="A525" s="21"/>
      <c r="B525" s="33" t="n">
        <f aca="false">IF($A525="",0,INT(($A525-Macrociclo!$C$11)/7)+1)</f>
        <v>0</v>
      </c>
      <c r="C525" s="20"/>
      <c r="D525" s="20"/>
      <c r="E525" s="22"/>
      <c r="F525" s="22"/>
      <c r="G525" s="20"/>
    </row>
    <row r="526" customFormat="false" ht="15" hidden="false" customHeight="false" outlineLevel="0" collapsed="false">
      <c r="A526" s="21"/>
      <c r="B526" s="33" t="n">
        <f aca="false">IF($A526="",0,INT(($A526-Macrociclo!$C$11)/7)+1)</f>
        <v>0</v>
      </c>
      <c r="C526" s="20"/>
      <c r="D526" s="20"/>
      <c r="E526" s="22"/>
      <c r="F526" s="22"/>
      <c r="G526" s="20"/>
    </row>
    <row r="527" customFormat="false" ht="15" hidden="false" customHeight="false" outlineLevel="0" collapsed="false">
      <c r="A527" s="21"/>
      <c r="B527" s="33" t="n">
        <f aca="false">IF($A527="",0,INT(($A527-Macrociclo!$C$11)/7)+1)</f>
        <v>0</v>
      </c>
      <c r="C527" s="20"/>
      <c r="D527" s="20"/>
      <c r="E527" s="22"/>
      <c r="F527" s="22"/>
      <c r="G527" s="20"/>
    </row>
    <row r="528" customFormat="false" ht="15" hidden="false" customHeight="false" outlineLevel="0" collapsed="false">
      <c r="A528" s="21"/>
      <c r="B528" s="33" t="n">
        <f aca="false">IF($A528="",0,INT(($A528-Macrociclo!$C$11)/7)+1)</f>
        <v>0</v>
      </c>
      <c r="C528" s="20"/>
      <c r="D528" s="20"/>
      <c r="E528" s="22"/>
      <c r="F528" s="22"/>
      <c r="G528" s="20"/>
    </row>
    <row r="529" customFormat="false" ht="15" hidden="false" customHeight="false" outlineLevel="0" collapsed="false">
      <c r="A529" s="21"/>
      <c r="B529" s="33" t="n">
        <f aca="false">IF($A529="",0,INT(($A529-Macrociclo!$C$11)/7)+1)</f>
        <v>0</v>
      </c>
      <c r="C529" s="20"/>
      <c r="D529" s="20"/>
      <c r="E529" s="22"/>
      <c r="F529" s="22"/>
      <c r="G529" s="20"/>
    </row>
    <row r="530" customFormat="false" ht="15" hidden="false" customHeight="false" outlineLevel="0" collapsed="false">
      <c r="A530" s="21"/>
      <c r="B530" s="33" t="n">
        <f aca="false">IF($A530="",0,INT(($A530-Macrociclo!$C$11)/7)+1)</f>
        <v>0</v>
      </c>
      <c r="C530" s="20"/>
      <c r="D530" s="20"/>
      <c r="E530" s="22"/>
      <c r="F530" s="22"/>
      <c r="G530" s="20"/>
    </row>
    <row r="531" customFormat="false" ht="15" hidden="false" customHeight="false" outlineLevel="0" collapsed="false">
      <c r="A531" s="21"/>
      <c r="B531" s="33" t="n">
        <f aca="false">IF($A531="",0,INT(($A531-Macrociclo!$C$11)/7)+1)</f>
        <v>0</v>
      </c>
      <c r="C531" s="20"/>
      <c r="D531" s="20"/>
      <c r="E531" s="22"/>
      <c r="F531" s="22"/>
      <c r="G531" s="20"/>
    </row>
    <row r="532" customFormat="false" ht="15" hidden="false" customHeight="false" outlineLevel="0" collapsed="false">
      <c r="A532" s="21"/>
      <c r="B532" s="33" t="n">
        <f aca="false">IF($A532="",0,INT(($A532-Macrociclo!$C$11)/7)+1)</f>
        <v>0</v>
      </c>
      <c r="C532" s="20"/>
      <c r="D532" s="20"/>
      <c r="E532" s="22"/>
      <c r="F532" s="22"/>
      <c r="G532" s="20"/>
    </row>
    <row r="533" customFormat="false" ht="15" hidden="false" customHeight="false" outlineLevel="0" collapsed="false">
      <c r="A533" s="21"/>
      <c r="B533" s="33" t="n">
        <f aca="false">IF($A533="",0,INT(($A533-Macrociclo!$C$11)/7)+1)</f>
        <v>0</v>
      </c>
      <c r="C533" s="20"/>
      <c r="D533" s="20"/>
      <c r="E533" s="22"/>
      <c r="F533" s="22"/>
      <c r="G533" s="20"/>
    </row>
    <row r="534" customFormat="false" ht="15" hidden="false" customHeight="false" outlineLevel="0" collapsed="false">
      <c r="A534" s="21"/>
      <c r="B534" s="33" t="n">
        <f aca="false">IF($A534="",0,INT(($A534-Macrociclo!$C$11)/7)+1)</f>
        <v>0</v>
      </c>
      <c r="C534" s="20"/>
      <c r="D534" s="20"/>
      <c r="E534" s="22"/>
      <c r="F534" s="22"/>
      <c r="G534" s="20"/>
    </row>
    <row r="535" customFormat="false" ht="15" hidden="false" customHeight="false" outlineLevel="0" collapsed="false">
      <c r="A535" s="21"/>
      <c r="B535" s="33" t="n">
        <f aca="false">IF($A535="",0,INT(($A535-Macrociclo!$C$11)/7)+1)</f>
        <v>0</v>
      </c>
      <c r="C535" s="20"/>
      <c r="D535" s="20"/>
      <c r="E535" s="22"/>
      <c r="F535" s="22"/>
      <c r="G535" s="20"/>
    </row>
    <row r="536" customFormat="false" ht="15" hidden="false" customHeight="false" outlineLevel="0" collapsed="false">
      <c r="A536" s="21"/>
      <c r="B536" s="33" t="n">
        <f aca="false">IF($A536="",0,INT(($A536-Macrociclo!$C$11)/7)+1)</f>
        <v>0</v>
      </c>
      <c r="C536" s="20"/>
      <c r="D536" s="20"/>
      <c r="E536" s="22"/>
      <c r="F536" s="22"/>
      <c r="G536" s="20"/>
    </row>
    <row r="537" customFormat="false" ht="15" hidden="false" customHeight="false" outlineLevel="0" collapsed="false">
      <c r="A537" s="21"/>
      <c r="B537" s="33" t="n">
        <f aca="false">IF($A537="",0,INT(($A537-Macrociclo!$C$11)/7)+1)</f>
        <v>0</v>
      </c>
      <c r="C537" s="20"/>
      <c r="D537" s="20"/>
      <c r="E537" s="22"/>
      <c r="F537" s="22"/>
      <c r="G537" s="20"/>
    </row>
    <row r="538" customFormat="false" ht="15" hidden="false" customHeight="false" outlineLevel="0" collapsed="false">
      <c r="A538" s="21"/>
      <c r="B538" s="33" t="n">
        <f aca="false">IF($A538="",0,INT(($A538-Macrociclo!$C$11)/7)+1)</f>
        <v>0</v>
      </c>
      <c r="C538" s="20"/>
      <c r="D538" s="20"/>
      <c r="E538" s="22"/>
      <c r="F538" s="22"/>
      <c r="G538" s="20"/>
    </row>
    <row r="539" customFormat="false" ht="15" hidden="false" customHeight="false" outlineLevel="0" collapsed="false">
      <c r="A539" s="21"/>
      <c r="B539" s="33" t="n">
        <f aca="false">IF($A539="",0,INT(($A539-Macrociclo!$C$11)/7)+1)</f>
        <v>0</v>
      </c>
      <c r="C539" s="20"/>
      <c r="D539" s="20"/>
      <c r="E539" s="22"/>
      <c r="F539" s="22"/>
      <c r="G539" s="20"/>
    </row>
    <row r="540" customFormat="false" ht="15" hidden="false" customHeight="false" outlineLevel="0" collapsed="false">
      <c r="A540" s="21"/>
      <c r="B540" s="33" t="n">
        <f aca="false">IF($A540="",0,INT(($A540-Macrociclo!$C$11)/7)+1)</f>
        <v>0</v>
      </c>
      <c r="C540" s="20"/>
      <c r="D540" s="20"/>
      <c r="E540" s="22"/>
      <c r="F540" s="22"/>
      <c r="G540" s="20"/>
    </row>
    <row r="541" customFormat="false" ht="15" hidden="false" customHeight="false" outlineLevel="0" collapsed="false">
      <c r="A541" s="21"/>
      <c r="B541" s="33" t="n">
        <f aca="false">IF($A541="",0,INT(($A541-Macrociclo!$C$11)/7)+1)</f>
        <v>0</v>
      </c>
      <c r="C541" s="20"/>
      <c r="D541" s="20"/>
      <c r="E541" s="22"/>
      <c r="F541" s="22"/>
      <c r="G541" s="20"/>
    </row>
    <row r="542" customFormat="false" ht="15" hidden="false" customHeight="false" outlineLevel="0" collapsed="false">
      <c r="A542" s="21"/>
      <c r="B542" s="33" t="n">
        <f aca="false">IF($A542="",0,INT(($A542-Macrociclo!$C$11)/7)+1)</f>
        <v>0</v>
      </c>
      <c r="C542" s="20"/>
      <c r="D542" s="20"/>
      <c r="E542" s="22"/>
      <c r="F542" s="22"/>
      <c r="G542" s="20"/>
    </row>
    <row r="543" customFormat="false" ht="15" hidden="false" customHeight="false" outlineLevel="0" collapsed="false">
      <c r="A543" s="21"/>
      <c r="B543" s="33" t="n">
        <f aca="false">IF($A543="",0,INT(($A543-Macrociclo!$C$11)/7)+1)</f>
        <v>0</v>
      </c>
      <c r="C543" s="20"/>
      <c r="D543" s="20"/>
      <c r="E543" s="22"/>
      <c r="F543" s="22"/>
      <c r="G543" s="20"/>
    </row>
    <row r="544" customFormat="false" ht="15" hidden="false" customHeight="false" outlineLevel="0" collapsed="false">
      <c r="A544" s="21"/>
      <c r="B544" s="33" t="n">
        <f aca="false">IF($A544="",0,INT(($A544-Macrociclo!$C$11)/7)+1)</f>
        <v>0</v>
      </c>
      <c r="C544" s="20"/>
      <c r="D544" s="20"/>
      <c r="E544" s="22"/>
      <c r="F544" s="22"/>
      <c r="G544" s="20"/>
    </row>
    <row r="545" customFormat="false" ht="15" hidden="false" customHeight="false" outlineLevel="0" collapsed="false">
      <c r="A545" s="21"/>
      <c r="B545" s="33" t="n">
        <f aca="false">IF($A545="",0,INT(($A545-Macrociclo!$C$11)/7)+1)</f>
        <v>0</v>
      </c>
      <c r="C545" s="20"/>
      <c r="D545" s="20"/>
      <c r="E545" s="22"/>
      <c r="F545" s="22"/>
      <c r="G545" s="20"/>
    </row>
    <row r="546" customFormat="false" ht="15" hidden="false" customHeight="false" outlineLevel="0" collapsed="false">
      <c r="A546" s="21"/>
      <c r="B546" s="33" t="n">
        <f aca="false">IF($A546="",0,INT(($A546-Macrociclo!$C$11)/7)+1)</f>
        <v>0</v>
      </c>
      <c r="C546" s="20"/>
      <c r="D546" s="20"/>
      <c r="E546" s="22"/>
      <c r="F546" s="22"/>
      <c r="G546" s="20"/>
    </row>
    <row r="547" customFormat="false" ht="15" hidden="false" customHeight="false" outlineLevel="0" collapsed="false">
      <c r="A547" s="21"/>
      <c r="B547" s="33" t="n">
        <f aca="false">IF($A547="",0,INT(($A547-Macrociclo!$C$11)/7)+1)</f>
        <v>0</v>
      </c>
      <c r="C547" s="20"/>
      <c r="D547" s="20"/>
      <c r="E547" s="22"/>
      <c r="F547" s="22"/>
      <c r="G547" s="20"/>
    </row>
    <row r="548" customFormat="false" ht="15" hidden="false" customHeight="false" outlineLevel="0" collapsed="false">
      <c r="A548" s="21"/>
      <c r="B548" s="33" t="n">
        <f aca="false">IF($A548="",0,INT(($A548-Macrociclo!$C$11)/7)+1)</f>
        <v>0</v>
      </c>
      <c r="C548" s="20"/>
      <c r="D548" s="20"/>
      <c r="E548" s="22"/>
      <c r="F548" s="22"/>
      <c r="G548" s="20"/>
    </row>
    <row r="549" customFormat="false" ht="15" hidden="false" customHeight="false" outlineLevel="0" collapsed="false">
      <c r="A549" s="21"/>
      <c r="B549" s="33" t="n">
        <f aca="false">IF($A549="",0,INT(($A549-Macrociclo!$C$11)/7)+1)</f>
        <v>0</v>
      </c>
      <c r="C549" s="20"/>
      <c r="D549" s="20"/>
      <c r="E549" s="22"/>
      <c r="F549" s="22"/>
      <c r="G549" s="20"/>
    </row>
    <row r="550" customFormat="false" ht="15" hidden="false" customHeight="false" outlineLevel="0" collapsed="false">
      <c r="A550" s="21"/>
      <c r="B550" s="33" t="n">
        <f aca="false">IF($A550="",0,INT(($A550-Macrociclo!$C$11)/7)+1)</f>
        <v>0</v>
      </c>
      <c r="C550" s="20"/>
      <c r="D550" s="20"/>
      <c r="E550" s="22"/>
      <c r="F550" s="22"/>
      <c r="G550" s="20"/>
    </row>
    <row r="551" customFormat="false" ht="15" hidden="false" customHeight="false" outlineLevel="0" collapsed="false">
      <c r="A551" s="21"/>
      <c r="B551" s="33" t="n">
        <f aca="false">IF($A551="",0,INT(($A551-Macrociclo!$C$11)/7)+1)</f>
        <v>0</v>
      </c>
      <c r="C551" s="20"/>
      <c r="D551" s="20"/>
      <c r="E551" s="22"/>
      <c r="F551" s="22"/>
      <c r="G551" s="20"/>
    </row>
    <row r="552" customFormat="false" ht="15" hidden="false" customHeight="false" outlineLevel="0" collapsed="false">
      <c r="A552" s="21"/>
      <c r="B552" s="33" t="n">
        <f aca="false">IF($A552="",0,INT(($A552-Macrociclo!$C$11)/7)+1)</f>
        <v>0</v>
      </c>
      <c r="C552" s="20"/>
      <c r="D552" s="20"/>
      <c r="E552" s="22"/>
      <c r="F552" s="22"/>
      <c r="G552" s="20"/>
    </row>
    <row r="553" customFormat="false" ht="15" hidden="false" customHeight="false" outlineLevel="0" collapsed="false">
      <c r="A553" s="21"/>
      <c r="B553" s="33" t="n">
        <f aca="false">IF($A553="",0,INT(($A553-Macrociclo!$C$11)/7)+1)</f>
        <v>0</v>
      </c>
      <c r="C553" s="20"/>
      <c r="D553" s="20"/>
      <c r="E553" s="22"/>
      <c r="F553" s="22"/>
      <c r="G553" s="20"/>
    </row>
    <row r="554" customFormat="false" ht="15" hidden="false" customHeight="false" outlineLevel="0" collapsed="false">
      <c r="A554" s="21"/>
      <c r="B554" s="33" t="n">
        <f aca="false">IF($A554="",0,INT(($A554-Macrociclo!$C$11)/7)+1)</f>
        <v>0</v>
      </c>
      <c r="C554" s="20"/>
      <c r="D554" s="20"/>
      <c r="E554" s="22"/>
      <c r="F554" s="22"/>
      <c r="G554" s="20"/>
    </row>
    <row r="555" customFormat="false" ht="15" hidden="false" customHeight="false" outlineLevel="0" collapsed="false">
      <c r="A555" s="21"/>
      <c r="B555" s="33" t="n">
        <f aca="false">IF($A555="",0,INT(($A555-Macrociclo!$C$11)/7)+1)</f>
        <v>0</v>
      </c>
      <c r="C555" s="20"/>
      <c r="D555" s="20"/>
      <c r="E555" s="22"/>
      <c r="F555" s="22"/>
      <c r="G555" s="20"/>
    </row>
    <row r="556" customFormat="false" ht="15" hidden="false" customHeight="false" outlineLevel="0" collapsed="false">
      <c r="A556" s="21"/>
      <c r="B556" s="33" t="n">
        <f aca="false">IF($A556="",0,INT(($A556-Macrociclo!$C$11)/7)+1)</f>
        <v>0</v>
      </c>
      <c r="C556" s="20"/>
      <c r="D556" s="20"/>
      <c r="E556" s="22"/>
      <c r="F556" s="22"/>
      <c r="G556" s="20"/>
    </row>
    <row r="557" customFormat="false" ht="15" hidden="false" customHeight="false" outlineLevel="0" collapsed="false">
      <c r="A557" s="21"/>
      <c r="B557" s="33" t="n">
        <f aca="false">IF($A557="",0,INT(($A557-Macrociclo!$C$11)/7)+1)</f>
        <v>0</v>
      </c>
      <c r="C557" s="20"/>
      <c r="D557" s="20"/>
      <c r="E557" s="22"/>
      <c r="F557" s="22"/>
      <c r="G557" s="20"/>
    </row>
    <row r="558" customFormat="false" ht="15" hidden="false" customHeight="false" outlineLevel="0" collapsed="false">
      <c r="A558" s="21"/>
      <c r="B558" s="33" t="n">
        <f aca="false">IF($A558="",0,INT(($A558-Macrociclo!$C$11)/7)+1)</f>
        <v>0</v>
      </c>
      <c r="C558" s="20"/>
      <c r="D558" s="20"/>
      <c r="E558" s="22"/>
      <c r="F558" s="22"/>
      <c r="G558" s="20"/>
    </row>
    <row r="559" customFormat="false" ht="15" hidden="false" customHeight="false" outlineLevel="0" collapsed="false">
      <c r="A559" s="21"/>
      <c r="B559" s="33" t="n">
        <f aca="false">IF($A559="",0,INT(($A559-Macrociclo!$C$11)/7)+1)</f>
        <v>0</v>
      </c>
      <c r="C559" s="20"/>
      <c r="D559" s="20"/>
      <c r="E559" s="22"/>
      <c r="F559" s="22"/>
      <c r="G559" s="20"/>
    </row>
    <row r="560" customFormat="false" ht="15" hidden="false" customHeight="false" outlineLevel="0" collapsed="false">
      <c r="A560" s="21"/>
      <c r="B560" s="33" t="n">
        <f aca="false">IF($A560="",0,INT(($A560-Macrociclo!$C$11)/7)+1)</f>
        <v>0</v>
      </c>
      <c r="C560" s="20"/>
      <c r="D560" s="20"/>
      <c r="E560" s="22"/>
      <c r="F560" s="22"/>
      <c r="G560" s="20"/>
    </row>
    <row r="561" customFormat="false" ht="15" hidden="false" customHeight="false" outlineLevel="0" collapsed="false">
      <c r="A561" s="21"/>
      <c r="B561" s="33" t="n">
        <f aca="false">IF($A561="",0,INT(($A561-Macrociclo!$C$11)/7)+1)</f>
        <v>0</v>
      </c>
      <c r="C561" s="20"/>
      <c r="D561" s="20"/>
      <c r="E561" s="22"/>
      <c r="F561" s="22"/>
      <c r="G561" s="20"/>
    </row>
    <row r="562" customFormat="false" ht="15" hidden="false" customHeight="false" outlineLevel="0" collapsed="false">
      <c r="A562" s="21"/>
      <c r="B562" s="33" t="n">
        <f aca="false">IF($A562="",0,INT(($A562-Macrociclo!$C$11)/7)+1)</f>
        <v>0</v>
      </c>
      <c r="C562" s="20"/>
      <c r="D562" s="20"/>
      <c r="E562" s="22"/>
      <c r="F562" s="22"/>
      <c r="G562" s="20"/>
    </row>
    <row r="563" customFormat="false" ht="15" hidden="false" customHeight="false" outlineLevel="0" collapsed="false">
      <c r="A563" s="21"/>
      <c r="B563" s="33" t="n">
        <f aca="false">IF($A563="",0,INT(($A563-Macrociclo!$C$11)/7)+1)</f>
        <v>0</v>
      </c>
      <c r="C563" s="20"/>
      <c r="D563" s="20"/>
      <c r="E563" s="22"/>
      <c r="F563" s="22"/>
      <c r="G563" s="20"/>
    </row>
    <row r="564" customFormat="false" ht="15" hidden="false" customHeight="false" outlineLevel="0" collapsed="false">
      <c r="A564" s="21"/>
      <c r="B564" s="33" t="n">
        <f aca="false">IF($A564="",0,INT(($A564-Macrociclo!$C$11)/7)+1)</f>
        <v>0</v>
      </c>
      <c r="C564" s="20"/>
      <c r="D564" s="20"/>
      <c r="E564" s="22"/>
      <c r="F564" s="22"/>
      <c r="G564" s="20"/>
    </row>
    <row r="565" customFormat="false" ht="15" hidden="false" customHeight="false" outlineLevel="0" collapsed="false">
      <c r="A565" s="21"/>
      <c r="B565" s="33" t="n">
        <f aca="false">IF($A565="",0,INT(($A565-Macrociclo!$C$11)/7)+1)</f>
        <v>0</v>
      </c>
      <c r="C565" s="20"/>
      <c r="D565" s="20"/>
      <c r="E565" s="22"/>
      <c r="F565" s="22"/>
      <c r="G565" s="20"/>
    </row>
    <row r="566" customFormat="false" ht="15" hidden="false" customHeight="false" outlineLevel="0" collapsed="false">
      <c r="A566" s="21"/>
      <c r="B566" s="33" t="n">
        <f aca="false">IF($A566="",0,INT(($A566-Macrociclo!$C$11)/7)+1)</f>
        <v>0</v>
      </c>
      <c r="C566" s="20"/>
      <c r="D566" s="20"/>
      <c r="E566" s="22"/>
      <c r="F566" s="22"/>
      <c r="G566" s="20"/>
    </row>
    <row r="567" customFormat="false" ht="15" hidden="false" customHeight="false" outlineLevel="0" collapsed="false">
      <c r="A567" s="21"/>
      <c r="B567" s="33" t="n">
        <f aca="false">IF($A567="",0,INT(($A567-Macrociclo!$C$11)/7)+1)</f>
        <v>0</v>
      </c>
      <c r="C567" s="20"/>
      <c r="D567" s="20"/>
      <c r="E567" s="22"/>
      <c r="F567" s="22"/>
      <c r="G567" s="20"/>
    </row>
    <row r="568" customFormat="false" ht="15" hidden="false" customHeight="false" outlineLevel="0" collapsed="false">
      <c r="A568" s="21"/>
      <c r="B568" s="33" t="n">
        <f aca="false">IF($A568="",0,INT(($A568-Macrociclo!$C$11)/7)+1)</f>
        <v>0</v>
      </c>
      <c r="C568" s="20"/>
      <c r="D568" s="20"/>
      <c r="E568" s="22"/>
      <c r="F568" s="22"/>
      <c r="G568" s="20"/>
    </row>
    <row r="569" customFormat="false" ht="15" hidden="false" customHeight="false" outlineLevel="0" collapsed="false">
      <c r="A569" s="21"/>
      <c r="B569" s="33" t="n">
        <f aca="false">IF($A569="",0,INT(($A569-Macrociclo!$C$11)/7)+1)</f>
        <v>0</v>
      </c>
      <c r="C569" s="20"/>
      <c r="D569" s="20"/>
      <c r="E569" s="22"/>
      <c r="F569" s="22"/>
      <c r="G569" s="20"/>
    </row>
    <row r="570" customFormat="false" ht="15" hidden="false" customHeight="false" outlineLevel="0" collapsed="false">
      <c r="A570" s="21"/>
      <c r="B570" s="33" t="n">
        <f aca="false">IF($A570="",0,INT(($A570-Macrociclo!$C$11)/7)+1)</f>
        <v>0</v>
      </c>
      <c r="C570" s="20"/>
      <c r="D570" s="20"/>
      <c r="E570" s="22"/>
      <c r="F570" s="22"/>
      <c r="G570" s="20"/>
    </row>
    <row r="571" customFormat="false" ht="15" hidden="false" customHeight="false" outlineLevel="0" collapsed="false">
      <c r="A571" s="21"/>
      <c r="B571" s="33" t="n">
        <f aca="false">IF($A571="",0,INT(($A571-Macrociclo!$C$11)/7)+1)</f>
        <v>0</v>
      </c>
      <c r="C571" s="20"/>
      <c r="D571" s="20"/>
      <c r="E571" s="22"/>
      <c r="F571" s="22"/>
      <c r="G571" s="20"/>
    </row>
    <row r="572" customFormat="false" ht="15" hidden="false" customHeight="false" outlineLevel="0" collapsed="false">
      <c r="A572" s="21"/>
      <c r="B572" s="33" t="n">
        <f aca="false">IF($A572="",0,INT(($A572-Macrociclo!$C$11)/7)+1)</f>
        <v>0</v>
      </c>
      <c r="C572" s="20"/>
      <c r="D572" s="20"/>
      <c r="E572" s="22"/>
      <c r="F572" s="22"/>
      <c r="G572" s="20"/>
    </row>
    <row r="573" customFormat="false" ht="15" hidden="false" customHeight="false" outlineLevel="0" collapsed="false">
      <c r="A573" s="21"/>
      <c r="B573" s="33" t="n">
        <f aca="false">IF($A573="",0,INT(($A573-Macrociclo!$C$11)/7)+1)</f>
        <v>0</v>
      </c>
      <c r="C573" s="20"/>
      <c r="D573" s="20"/>
      <c r="E573" s="22"/>
      <c r="F573" s="22"/>
      <c r="G573" s="20"/>
    </row>
    <row r="574" customFormat="false" ht="15" hidden="false" customHeight="false" outlineLevel="0" collapsed="false">
      <c r="A574" s="21"/>
      <c r="B574" s="33" t="n">
        <f aca="false">IF($A574="",0,INT(($A574-Macrociclo!$C$11)/7)+1)</f>
        <v>0</v>
      </c>
      <c r="C574" s="20"/>
      <c r="D574" s="20"/>
      <c r="E574" s="22"/>
      <c r="F574" s="22"/>
      <c r="G574" s="20"/>
    </row>
    <row r="575" customFormat="false" ht="15" hidden="false" customHeight="false" outlineLevel="0" collapsed="false">
      <c r="A575" s="21"/>
      <c r="B575" s="33" t="n">
        <f aca="false">IF($A575="",0,INT(($A575-Macrociclo!$C$11)/7)+1)</f>
        <v>0</v>
      </c>
      <c r="C575" s="20"/>
      <c r="D575" s="20"/>
      <c r="E575" s="22"/>
      <c r="F575" s="22"/>
      <c r="G575" s="20"/>
    </row>
    <row r="576" customFormat="false" ht="15" hidden="false" customHeight="false" outlineLevel="0" collapsed="false">
      <c r="A576" s="21"/>
      <c r="B576" s="33" t="n">
        <f aca="false">IF($A576="",0,INT(($A576-Macrociclo!$C$11)/7)+1)</f>
        <v>0</v>
      </c>
      <c r="C576" s="20"/>
      <c r="D576" s="20"/>
      <c r="E576" s="22"/>
      <c r="F576" s="22"/>
      <c r="G576" s="20"/>
    </row>
    <row r="577" customFormat="false" ht="15" hidden="false" customHeight="false" outlineLevel="0" collapsed="false">
      <c r="A577" s="21"/>
      <c r="B577" s="33" t="n">
        <f aca="false">IF($A577="",0,INT(($A577-Macrociclo!$C$11)/7)+1)</f>
        <v>0</v>
      </c>
      <c r="C577" s="20"/>
      <c r="D577" s="20"/>
      <c r="E577" s="22"/>
      <c r="F577" s="22"/>
      <c r="G577" s="20"/>
    </row>
    <row r="578" customFormat="false" ht="15" hidden="false" customHeight="false" outlineLevel="0" collapsed="false">
      <c r="A578" s="21"/>
      <c r="B578" s="33" t="n">
        <f aca="false">IF($A578="",0,INT(($A578-Macrociclo!$C$11)/7)+1)</f>
        <v>0</v>
      </c>
      <c r="C578" s="20"/>
      <c r="D578" s="20"/>
      <c r="E578" s="22"/>
      <c r="F578" s="22"/>
      <c r="G578" s="20"/>
    </row>
    <row r="579" customFormat="false" ht="15" hidden="false" customHeight="false" outlineLevel="0" collapsed="false">
      <c r="A579" s="21"/>
      <c r="B579" s="33" t="n">
        <f aca="false">IF($A579="",0,INT(($A579-Macrociclo!$C$11)/7)+1)</f>
        <v>0</v>
      </c>
      <c r="C579" s="20"/>
      <c r="D579" s="20"/>
      <c r="E579" s="22"/>
      <c r="F579" s="22"/>
      <c r="G579" s="20"/>
    </row>
    <row r="580" customFormat="false" ht="15" hidden="false" customHeight="false" outlineLevel="0" collapsed="false">
      <c r="A580" s="21"/>
      <c r="B580" s="33" t="n">
        <f aca="false">IF($A580="",0,INT(($A580-Macrociclo!$C$11)/7)+1)</f>
        <v>0</v>
      </c>
      <c r="C580" s="20"/>
      <c r="D580" s="20"/>
      <c r="E580" s="22"/>
      <c r="F580" s="22"/>
      <c r="G580" s="20"/>
    </row>
    <row r="581" customFormat="false" ht="15" hidden="false" customHeight="false" outlineLevel="0" collapsed="false">
      <c r="A581" s="21"/>
      <c r="B581" s="33" t="n">
        <f aca="false">IF($A581="",0,INT(($A581-Macrociclo!$C$11)/7)+1)</f>
        <v>0</v>
      </c>
      <c r="C581" s="20"/>
      <c r="D581" s="20"/>
      <c r="E581" s="22"/>
      <c r="F581" s="22"/>
      <c r="G581" s="20"/>
    </row>
    <row r="582" customFormat="false" ht="15" hidden="false" customHeight="false" outlineLevel="0" collapsed="false">
      <c r="A582" s="21"/>
      <c r="B582" s="33" t="n">
        <f aca="false">IF($A582="",0,INT(($A582-Macrociclo!$C$11)/7)+1)</f>
        <v>0</v>
      </c>
      <c r="C582" s="20"/>
      <c r="D582" s="20"/>
      <c r="E582" s="22"/>
      <c r="F582" s="22"/>
      <c r="G582" s="20"/>
    </row>
    <row r="583" customFormat="false" ht="15" hidden="false" customHeight="false" outlineLevel="0" collapsed="false">
      <c r="A583" s="21"/>
      <c r="B583" s="33" t="n">
        <f aca="false">IF($A583="",0,INT(($A583-Macrociclo!$C$11)/7)+1)</f>
        <v>0</v>
      </c>
      <c r="C583" s="20"/>
      <c r="D583" s="20"/>
      <c r="E583" s="22"/>
      <c r="F583" s="22"/>
      <c r="G583" s="20"/>
    </row>
    <row r="584" customFormat="false" ht="15" hidden="false" customHeight="false" outlineLevel="0" collapsed="false">
      <c r="A584" s="21"/>
      <c r="B584" s="33" t="n">
        <f aca="false">IF($A584="",0,INT(($A584-Macrociclo!$C$11)/7)+1)</f>
        <v>0</v>
      </c>
      <c r="C584" s="20"/>
      <c r="D584" s="20"/>
      <c r="E584" s="22"/>
      <c r="F584" s="22"/>
      <c r="G584" s="20"/>
    </row>
    <row r="585" customFormat="false" ht="15" hidden="false" customHeight="false" outlineLevel="0" collapsed="false">
      <c r="A585" s="21"/>
      <c r="B585" s="33" t="n">
        <f aca="false">IF($A585="",0,INT(($A585-Macrociclo!$C$11)/7)+1)</f>
        <v>0</v>
      </c>
      <c r="C585" s="20"/>
      <c r="D585" s="20"/>
      <c r="E585" s="22"/>
      <c r="F585" s="22"/>
      <c r="G585" s="20"/>
    </row>
    <row r="586" customFormat="false" ht="15" hidden="false" customHeight="false" outlineLevel="0" collapsed="false">
      <c r="A586" s="21"/>
      <c r="B586" s="33" t="n">
        <f aca="false">IF($A586="",0,INT(($A586-Macrociclo!$C$11)/7)+1)</f>
        <v>0</v>
      </c>
      <c r="C586" s="20"/>
      <c r="D586" s="20"/>
      <c r="E586" s="22"/>
      <c r="F586" s="22"/>
      <c r="G586" s="20"/>
    </row>
    <row r="587" customFormat="false" ht="15" hidden="false" customHeight="false" outlineLevel="0" collapsed="false">
      <c r="A587" s="21"/>
      <c r="B587" s="33" t="n">
        <f aca="false">IF($A587="",0,INT(($A587-Macrociclo!$C$11)/7)+1)</f>
        <v>0</v>
      </c>
      <c r="C587" s="20"/>
      <c r="D587" s="20"/>
      <c r="E587" s="22"/>
      <c r="F587" s="22"/>
      <c r="G587" s="20"/>
    </row>
    <row r="588" customFormat="false" ht="15" hidden="false" customHeight="false" outlineLevel="0" collapsed="false">
      <c r="A588" s="21"/>
      <c r="B588" s="33" t="n">
        <f aca="false">IF($A588="",0,INT(($A588-Macrociclo!$C$11)/7)+1)</f>
        <v>0</v>
      </c>
      <c r="C588" s="20"/>
      <c r="D588" s="20"/>
      <c r="E588" s="22"/>
      <c r="F588" s="22"/>
      <c r="G588" s="20"/>
    </row>
    <row r="589" customFormat="false" ht="15" hidden="false" customHeight="false" outlineLevel="0" collapsed="false">
      <c r="A589" s="21"/>
      <c r="B589" s="33" t="n">
        <f aca="false">IF($A589="",0,INT(($A589-Macrociclo!$C$11)/7)+1)</f>
        <v>0</v>
      </c>
      <c r="C589" s="20"/>
      <c r="D589" s="20"/>
      <c r="E589" s="22"/>
      <c r="F589" s="22"/>
      <c r="G589" s="20"/>
    </row>
    <row r="590" customFormat="false" ht="15" hidden="false" customHeight="false" outlineLevel="0" collapsed="false">
      <c r="A590" s="21"/>
      <c r="B590" s="33" t="n">
        <f aca="false">IF($A590="",0,INT(($A590-Macrociclo!$C$11)/7)+1)</f>
        <v>0</v>
      </c>
      <c r="C590" s="20"/>
      <c r="D590" s="20"/>
      <c r="E590" s="22"/>
      <c r="F590" s="22"/>
      <c r="G590" s="20"/>
    </row>
    <row r="591" customFormat="false" ht="15" hidden="false" customHeight="false" outlineLevel="0" collapsed="false">
      <c r="A591" s="21"/>
      <c r="B591" s="33" t="n">
        <f aca="false">IF($A591="",0,INT(($A591-Macrociclo!$C$11)/7)+1)</f>
        <v>0</v>
      </c>
      <c r="C591" s="20"/>
      <c r="D591" s="20"/>
      <c r="E591" s="22"/>
      <c r="F591" s="22"/>
      <c r="G591" s="20"/>
    </row>
    <row r="592" customFormat="false" ht="15" hidden="false" customHeight="false" outlineLevel="0" collapsed="false">
      <c r="A592" s="21"/>
      <c r="B592" s="33" t="n">
        <f aca="false">IF($A592="",0,INT(($A592-Macrociclo!$C$11)/7)+1)</f>
        <v>0</v>
      </c>
      <c r="C592" s="20"/>
      <c r="D592" s="20"/>
      <c r="E592" s="22"/>
      <c r="F592" s="22"/>
      <c r="G592" s="20"/>
    </row>
    <row r="593" customFormat="false" ht="15" hidden="false" customHeight="false" outlineLevel="0" collapsed="false">
      <c r="A593" s="21"/>
      <c r="B593" s="33" t="n">
        <f aca="false">IF($A593="",0,INT(($A593-Macrociclo!$C$11)/7)+1)</f>
        <v>0</v>
      </c>
      <c r="C593" s="20"/>
      <c r="D593" s="20"/>
      <c r="E593" s="22"/>
      <c r="F593" s="22"/>
      <c r="G593" s="20"/>
    </row>
    <row r="594" customFormat="false" ht="15" hidden="false" customHeight="false" outlineLevel="0" collapsed="false">
      <c r="A594" s="21"/>
      <c r="B594" s="33" t="n">
        <f aca="false">IF($A594="",0,INT(($A594-Macrociclo!$C$11)/7)+1)</f>
        <v>0</v>
      </c>
      <c r="C594" s="20"/>
      <c r="D594" s="20"/>
      <c r="E594" s="22"/>
      <c r="F594" s="22"/>
      <c r="G594" s="20"/>
    </row>
    <row r="595" customFormat="false" ht="15" hidden="false" customHeight="false" outlineLevel="0" collapsed="false">
      <c r="A595" s="21"/>
      <c r="B595" s="33" t="n">
        <f aca="false">IF($A595="",0,INT(($A595-Macrociclo!$C$11)/7)+1)</f>
        <v>0</v>
      </c>
      <c r="C595" s="20"/>
      <c r="D595" s="20"/>
      <c r="E595" s="22"/>
      <c r="F595" s="22"/>
      <c r="G595" s="20"/>
    </row>
    <row r="596" customFormat="false" ht="15" hidden="false" customHeight="false" outlineLevel="0" collapsed="false">
      <c r="A596" s="21"/>
      <c r="B596" s="33" t="n">
        <f aca="false">IF($A596="",0,INT(($A596-Macrociclo!$C$11)/7)+1)</f>
        <v>0</v>
      </c>
      <c r="C596" s="20"/>
      <c r="D596" s="20"/>
      <c r="E596" s="22"/>
      <c r="F596" s="22"/>
      <c r="G596" s="20"/>
    </row>
    <row r="597" customFormat="false" ht="15" hidden="false" customHeight="false" outlineLevel="0" collapsed="false">
      <c r="A597" s="21"/>
      <c r="B597" s="33" t="n">
        <f aca="false">IF($A597="",0,INT(($A597-Macrociclo!$C$11)/7)+1)</f>
        <v>0</v>
      </c>
      <c r="C597" s="20"/>
      <c r="D597" s="20"/>
      <c r="E597" s="22"/>
      <c r="F597" s="22"/>
      <c r="G597" s="20"/>
    </row>
    <row r="598" customFormat="false" ht="15" hidden="false" customHeight="false" outlineLevel="0" collapsed="false">
      <c r="A598" s="21"/>
      <c r="B598" s="33" t="n">
        <f aca="false">IF($A598="",0,INT(($A598-Macrociclo!$C$11)/7)+1)</f>
        <v>0</v>
      </c>
      <c r="C598" s="20"/>
      <c r="D598" s="20"/>
      <c r="E598" s="22"/>
      <c r="F598" s="22"/>
      <c r="G598" s="20"/>
    </row>
    <row r="599" customFormat="false" ht="15" hidden="false" customHeight="false" outlineLevel="0" collapsed="false">
      <c r="A599" s="21"/>
      <c r="B599" s="33" t="n">
        <f aca="false">IF($A599="",0,INT(($A599-Macrociclo!$C$11)/7)+1)</f>
        <v>0</v>
      </c>
      <c r="C599" s="20"/>
      <c r="D599" s="20"/>
      <c r="E599" s="22"/>
      <c r="F599" s="22"/>
      <c r="G599" s="20"/>
    </row>
    <row r="600" customFormat="false" ht="15" hidden="false" customHeight="false" outlineLevel="0" collapsed="false">
      <c r="A600" s="21"/>
      <c r="B600" s="33" t="n">
        <f aca="false">IF($A600="",0,INT(($A600-Macrociclo!$C$11)/7)+1)</f>
        <v>0</v>
      </c>
      <c r="C600" s="20"/>
      <c r="D600" s="20"/>
      <c r="E600" s="22"/>
      <c r="F600" s="22"/>
      <c r="G600" s="20"/>
    </row>
    <row r="601" customFormat="false" ht="15" hidden="false" customHeight="false" outlineLevel="0" collapsed="false">
      <c r="A601" s="21"/>
      <c r="B601" s="33" t="n">
        <f aca="false">IF($A601="",0,INT(($A601-Macrociclo!$C$11)/7)+1)</f>
        <v>0</v>
      </c>
      <c r="C601" s="20"/>
      <c r="D601" s="20"/>
      <c r="E601" s="22"/>
      <c r="F601" s="22"/>
      <c r="G601" s="20"/>
    </row>
    <row r="602" customFormat="false" ht="15" hidden="false" customHeight="false" outlineLevel="0" collapsed="false">
      <c r="A602" s="21"/>
      <c r="B602" s="33" t="n">
        <f aca="false">IF($A602="",0,INT(($A602-Macrociclo!$C$11)/7)+1)</f>
        <v>0</v>
      </c>
      <c r="C602" s="20"/>
      <c r="D602" s="20"/>
      <c r="E602" s="22"/>
      <c r="F602" s="22"/>
      <c r="G602" s="20"/>
    </row>
    <row r="603" customFormat="false" ht="15" hidden="false" customHeight="false" outlineLevel="0" collapsed="false">
      <c r="A603" s="21"/>
      <c r="B603" s="33" t="n">
        <f aca="false">IF($A603="",0,INT(($A603-Macrociclo!$C$11)/7)+1)</f>
        <v>0</v>
      </c>
      <c r="C603" s="20"/>
      <c r="D603" s="20"/>
      <c r="E603" s="22"/>
      <c r="F603" s="22"/>
      <c r="G603" s="20"/>
    </row>
    <row r="604" customFormat="false" ht="15" hidden="false" customHeight="false" outlineLevel="0" collapsed="false">
      <c r="A604" s="21"/>
      <c r="B604" s="33" t="n">
        <f aca="false">IF($A604="",0,INT(($A604-Macrociclo!$C$11)/7)+1)</f>
        <v>0</v>
      </c>
      <c r="C604" s="20"/>
      <c r="D604" s="20"/>
      <c r="E604" s="22"/>
      <c r="F604" s="22"/>
      <c r="G604" s="20"/>
    </row>
    <row r="605" customFormat="false" ht="15" hidden="false" customHeight="false" outlineLevel="0" collapsed="false">
      <c r="A605" s="21"/>
      <c r="B605" s="33" t="n">
        <f aca="false">IF($A605="",0,INT(($A605-Macrociclo!$C$11)/7)+1)</f>
        <v>0</v>
      </c>
      <c r="C605" s="20"/>
      <c r="D605" s="20"/>
      <c r="E605" s="22"/>
      <c r="F605" s="22"/>
      <c r="G605" s="20"/>
    </row>
    <row r="606" customFormat="false" ht="15" hidden="false" customHeight="false" outlineLevel="0" collapsed="false">
      <c r="A606" s="21"/>
      <c r="B606" s="33" t="n">
        <f aca="false">IF($A606="",0,INT(($A606-Macrociclo!$C$11)/7)+1)</f>
        <v>0</v>
      </c>
      <c r="C606" s="20"/>
      <c r="D606" s="20"/>
      <c r="E606" s="22"/>
      <c r="F606" s="22"/>
      <c r="G606" s="20"/>
    </row>
    <row r="607" customFormat="false" ht="15" hidden="false" customHeight="false" outlineLevel="0" collapsed="false">
      <c r="A607" s="21"/>
      <c r="B607" s="33" t="n">
        <f aca="false">IF($A607="",0,INT(($A607-Macrociclo!$C$11)/7)+1)</f>
        <v>0</v>
      </c>
      <c r="C607" s="20"/>
      <c r="D607" s="20"/>
      <c r="E607" s="22"/>
      <c r="F607" s="22"/>
      <c r="G607" s="20"/>
    </row>
    <row r="608" customFormat="false" ht="15" hidden="false" customHeight="false" outlineLevel="0" collapsed="false">
      <c r="A608" s="21"/>
      <c r="B608" s="33" t="n">
        <f aca="false">IF($A608="",0,INT(($A608-Macrociclo!$C$11)/7)+1)</f>
        <v>0</v>
      </c>
      <c r="C608" s="20"/>
      <c r="D608" s="20"/>
      <c r="E608" s="22"/>
      <c r="F608" s="22"/>
      <c r="G608" s="20"/>
    </row>
    <row r="609" customFormat="false" ht="15" hidden="false" customHeight="false" outlineLevel="0" collapsed="false">
      <c r="A609" s="21"/>
      <c r="B609" s="33" t="n">
        <f aca="false">IF($A609="",0,INT(($A609-Macrociclo!$C$11)/7)+1)</f>
        <v>0</v>
      </c>
      <c r="C609" s="20"/>
      <c r="D609" s="20"/>
      <c r="E609" s="22"/>
      <c r="F609" s="22"/>
      <c r="G609" s="20"/>
    </row>
    <row r="610" customFormat="false" ht="15" hidden="false" customHeight="false" outlineLevel="0" collapsed="false">
      <c r="A610" s="21"/>
      <c r="B610" s="33" t="n">
        <f aca="false">IF($A610="",0,INT(($A610-Macrociclo!$C$11)/7)+1)</f>
        <v>0</v>
      </c>
      <c r="C610" s="20"/>
      <c r="D610" s="20"/>
      <c r="E610" s="22"/>
      <c r="F610" s="22"/>
      <c r="G610" s="20"/>
    </row>
    <row r="611" customFormat="false" ht="15" hidden="false" customHeight="false" outlineLevel="0" collapsed="false">
      <c r="A611" s="21"/>
      <c r="B611" s="33" t="n">
        <f aca="false">IF($A611="",0,INT(($A611-Macrociclo!$C$11)/7)+1)</f>
        <v>0</v>
      </c>
      <c r="C611" s="20"/>
      <c r="D611" s="20"/>
      <c r="E611" s="22"/>
      <c r="F611" s="22"/>
      <c r="G611" s="20"/>
    </row>
    <row r="612" customFormat="false" ht="15" hidden="false" customHeight="false" outlineLevel="0" collapsed="false">
      <c r="A612" s="21"/>
      <c r="B612" s="33" t="n">
        <f aca="false">IF($A612="",0,INT(($A612-Macrociclo!$C$11)/7)+1)</f>
        <v>0</v>
      </c>
      <c r="C612" s="20"/>
      <c r="D612" s="20"/>
      <c r="E612" s="22"/>
      <c r="F612" s="22"/>
      <c r="G612" s="20"/>
    </row>
    <row r="613" customFormat="false" ht="15" hidden="false" customHeight="false" outlineLevel="0" collapsed="false">
      <c r="A613" s="21"/>
      <c r="B613" s="33" t="n">
        <f aca="false">IF($A613="",0,INT(($A613-Macrociclo!$C$11)/7)+1)</f>
        <v>0</v>
      </c>
      <c r="C613" s="20"/>
      <c r="D613" s="20"/>
      <c r="E613" s="22"/>
      <c r="F613" s="22"/>
      <c r="G613" s="20"/>
    </row>
    <row r="614" customFormat="false" ht="15" hidden="false" customHeight="false" outlineLevel="0" collapsed="false">
      <c r="A614" s="21"/>
      <c r="B614" s="33" t="n">
        <f aca="false">IF($A614="",0,INT(($A614-Macrociclo!$C$11)/7)+1)</f>
        <v>0</v>
      </c>
      <c r="C614" s="20"/>
      <c r="D614" s="20"/>
      <c r="E614" s="22"/>
      <c r="F614" s="22"/>
      <c r="G614" s="20"/>
    </row>
    <row r="615" customFormat="false" ht="15" hidden="false" customHeight="false" outlineLevel="0" collapsed="false">
      <c r="A615" s="21"/>
      <c r="B615" s="33" t="n">
        <f aca="false">IF($A615="",0,INT(($A615-Macrociclo!$C$11)/7)+1)</f>
        <v>0</v>
      </c>
      <c r="C615" s="20"/>
      <c r="D615" s="20"/>
      <c r="E615" s="22"/>
      <c r="F615" s="22"/>
      <c r="G615" s="20"/>
    </row>
    <row r="616" customFormat="false" ht="15" hidden="false" customHeight="false" outlineLevel="0" collapsed="false">
      <c r="A616" s="21"/>
      <c r="B616" s="33" t="n">
        <f aca="false">IF($A616="",0,INT(($A616-Macrociclo!$C$11)/7)+1)</f>
        <v>0</v>
      </c>
      <c r="C616" s="20"/>
      <c r="D616" s="20"/>
      <c r="E616" s="22"/>
      <c r="F616" s="22"/>
      <c r="G616" s="20"/>
    </row>
    <row r="617" customFormat="false" ht="15" hidden="false" customHeight="false" outlineLevel="0" collapsed="false">
      <c r="A617" s="21"/>
      <c r="B617" s="33" t="n">
        <f aca="false">IF($A617="",0,INT(($A617-Macrociclo!$C$11)/7)+1)</f>
        <v>0</v>
      </c>
      <c r="C617" s="20"/>
      <c r="D617" s="20"/>
      <c r="E617" s="22"/>
      <c r="F617" s="22"/>
      <c r="G617" s="20"/>
    </row>
    <row r="618" customFormat="false" ht="15" hidden="false" customHeight="false" outlineLevel="0" collapsed="false">
      <c r="A618" s="21"/>
      <c r="B618" s="33" t="n">
        <f aca="false">IF($A618="",0,INT(($A618-Macrociclo!$C$11)/7)+1)</f>
        <v>0</v>
      </c>
      <c r="C618" s="20"/>
      <c r="D618" s="20"/>
      <c r="E618" s="22"/>
      <c r="F618" s="22"/>
      <c r="G618" s="20"/>
    </row>
    <row r="619" customFormat="false" ht="15" hidden="false" customHeight="false" outlineLevel="0" collapsed="false">
      <c r="A619" s="21"/>
      <c r="B619" s="33" t="n">
        <f aca="false">IF($A619="",0,INT(($A619-Macrociclo!$C$11)/7)+1)</f>
        <v>0</v>
      </c>
      <c r="C619" s="20"/>
      <c r="D619" s="20"/>
      <c r="E619" s="22"/>
      <c r="F619" s="22"/>
      <c r="G619" s="20"/>
    </row>
    <row r="620" customFormat="false" ht="15" hidden="false" customHeight="false" outlineLevel="0" collapsed="false">
      <c r="A620" s="21"/>
      <c r="B620" s="33" t="n">
        <f aca="false">IF($A620="",0,INT(($A620-Macrociclo!$C$11)/7)+1)</f>
        <v>0</v>
      </c>
      <c r="C620" s="20"/>
      <c r="D620" s="20"/>
      <c r="E620" s="22"/>
      <c r="F620" s="22"/>
      <c r="G620" s="20"/>
    </row>
    <row r="621" customFormat="false" ht="15" hidden="false" customHeight="false" outlineLevel="0" collapsed="false">
      <c r="A621" s="21"/>
      <c r="B621" s="33" t="n">
        <f aca="false">IF($A621="",0,INT(($A621-Macrociclo!$C$11)/7)+1)</f>
        <v>0</v>
      </c>
      <c r="C621" s="20"/>
      <c r="D621" s="20"/>
      <c r="E621" s="22"/>
      <c r="F621" s="22"/>
      <c r="G621" s="20"/>
    </row>
    <row r="622" customFormat="false" ht="15" hidden="false" customHeight="false" outlineLevel="0" collapsed="false">
      <c r="A622" s="21"/>
      <c r="B622" s="33" t="n">
        <f aca="false">IF($A622="",0,INT(($A622-Macrociclo!$C$11)/7)+1)</f>
        <v>0</v>
      </c>
      <c r="C622" s="20"/>
      <c r="D622" s="20"/>
      <c r="E622" s="22"/>
      <c r="F622" s="22"/>
      <c r="G622" s="20"/>
    </row>
    <row r="623" customFormat="false" ht="15" hidden="false" customHeight="false" outlineLevel="0" collapsed="false">
      <c r="A623" s="21"/>
      <c r="B623" s="33" t="n">
        <f aca="false">IF($A623="",0,INT(($A623-Macrociclo!$C$11)/7)+1)</f>
        <v>0</v>
      </c>
      <c r="C623" s="20"/>
      <c r="D623" s="20"/>
      <c r="E623" s="22"/>
      <c r="F623" s="22"/>
      <c r="G623" s="20"/>
    </row>
    <row r="624" customFormat="false" ht="15" hidden="false" customHeight="false" outlineLevel="0" collapsed="false">
      <c r="A624" s="21"/>
      <c r="B624" s="33" t="n">
        <f aca="false">IF($A624="",0,INT(($A624-Macrociclo!$C$11)/7)+1)</f>
        <v>0</v>
      </c>
      <c r="C624" s="20"/>
      <c r="D624" s="20"/>
      <c r="E624" s="22"/>
      <c r="F624" s="22"/>
      <c r="G624" s="20"/>
    </row>
    <row r="625" customFormat="false" ht="15" hidden="false" customHeight="false" outlineLevel="0" collapsed="false">
      <c r="A625" s="21"/>
      <c r="B625" s="33" t="n">
        <f aca="false">IF($A625="",0,INT(($A625-Macrociclo!$C$11)/7)+1)</f>
        <v>0</v>
      </c>
      <c r="C625" s="20"/>
      <c r="D625" s="20"/>
      <c r="E625" s="22"/>
      <c r="F625" s="22"/>
      <c r="G625" s="20"/>
    </row>
    <row r="626" customFormat="false" ht="15" hidden="false" customHeight="false" outlineLevel="0" collapsed="false">
      <c r="A626" s="21"/>
      <c r="B626" s="33" t="n">
        <f aca="false">IF($A626="",0,INT(($A626-Macrociclo!$C$11)/7)+1)</f>
        <v>0</v>
      </c>
      <c r="C626" s="20"/>
      <c r="D626" s="20"/>
      <c r="E626" s="22"/>
      <c r="F626" s="22"/>
      <c r="G626" s="20"/>
    </row>
    <row r="627" customFormat="false" ht="15" hidden="false" customHeight="false" outlineLevel="0" collapsed="false">
      <c r="A627" s="21"/>
      <c r="B627" s="33" t="n">
        <f aca="false">IF($A627="",0,INT(($A627-Macrociclo!$C$11)/7)+1)</f>
        <v>0</v>
      </c>
      <c r="C627" s="20"/>
      <c r="D627" s="20"/>
      <c r="E627" s="22"/>
      <c r="F627" s="22"/>
      <c r="G627" s="20"/>
    </row>
    <row r="628" customFormat="false" ht="15" hidden="false" customHeight="false" outlineLevel="0" collapsed="false">
      <c r="A628" s="21"/>
      <c r="B628" s="33" t="n">
        <f aca="false">IF($A628="",0,INT(($A628-Macrociclo!$C$11)/7)+1)</f>
        <v>0</v>
      </c>
      <c r="C628" s="20"/>
      <c r="D628" s="20"/>
      <c r="E628" s="22"/>
      <c r="F628" s="22"/>
      <c r="G628" s="20"/>
    </row>
    <row r="629" customFormat="false" ht="15" hidden="false" customHeight="false" outlineLevel="0" collapsed="false">
      <c r="A629" s="21"/>
      <c r="B629" s="33" t="n">
        <f aca="false">IF($A629="",0,INT(($A629-Macrociclo!$C$11)/7)+1)</f>
        <v>0</v>
      </c>
      <c r="C629" s="20"/>
      <c r="D629" s="20"/>
      <c r="E629" s="22"/>
      <c r="F629" s="22"/>
      <c r="G629" s="20"/>
    </row>
    <row r="630" customFormat="false" ht="15" hidden="false" customHeight="false" outlineLevel="0" collapsed="false">
      <c r="A630" s="21"/>
      <c r="B630" s="33" t="n">
        <f aca="false">IF($A630="",0,INT(($A630-Macrociclo!$C$11)/7)+1)</f>
        <v>0</v>
      </c>
      <c r="C630" s="20"/>
      <c r="D630" s="20"/>
      <c r="E630" s="22"/>
      <c r="F630" s="22"/>
      <c r="G630" s="20"/>
    </row>
    <row r="631" customFormat="false" ht="15" hidden="false" customHeight="false" outlineLevel="0" collapsed="false">
      <c r="A631" s="21"/>
      <c r="B631" s="33" t="n">
        <f aca="false">IF($A631="",0,INT(($A631-Macrociclo!$C$11)/7)+1)</f>
        <v>0</v>
      </c>
      <c r="C631" s="20"/>
      <c r="D631" s="20"/>
      <c r="E631" s="22"/>
      <c r="F631" s="22"/>
      <c r="G631" s="20"/>
    </row>
    <row r="632" customFormat="false" ht="15" hidden="false" customHeight="false" outlineLevel="0" collapsed="false">
      <c r="A632" s="21"/>
      <c r="B632" s="33" t="n">
        <f aca="false">IF($A632="",0,INT(($A632-Macrociclo!$C$11)/7)+1)</f>
        <v>0</v>
      </c>
      <c r="C632" s="20"/>
      <c r="D632" s="20"/>
      <c r="E632" s="22"/>
      <c r="F632" s="22"/>
      <c r="G632" s="20"/>
    </row>
    <row r="633" customFormat="false" ht="15" hidden="false" customHeight="false" outlineLevel="0" collapsed="false">
      <c r="A633" s="21"/>
      <c r="B633" s="33" t="n">
        <f aca="false">IF($A633="",0,INT(($A633-Macrociclo!$C$11)/7)+1)</f>
        <v>0</v>
      </c>
      <c r="C633" s="20"/>
      <c r="D633" s="20"/>
      <c r="E633" s="22"/>
      <c r="F633" s="22"/>
      <c r="G633" s="20"/>
    </row>
    <row r="634" customFormat="false" ht="15" hidden="false" customHeight="false" outlineLevel="0" collapsed="false">
      <c r="A634" s="21"/>
      <c r="B634" s="33" t="n">
        <f aca="false">IF($A634="",0,INT(($A634-Macrociclo!$C$11)/7)+1)</f>
        <v>0</v>
      </c>
      <c r="C634" s="20"/>
      <c r="D634" s="20"/>
      <c r="E634" s="22"/>
      <c r="F634" s="22"/>
      <c r="G634" s="20"/>
    </row>
    <row r="635" customFormat="false" ht="15" hidden="false" customHeight="false" outlineLevel="0" collapsed="false">
      <c r="A635" s="21"/>
      <c r="B635" s="33" t="n">
        <f aca="false">IF($A635="",0,INT(($A635-Macrociclo!$C$11)/7)+1)</f>
        <v>0</v>
      </c>
      <c r="C635" s="20"/>
      <c r="D635" s="20"/>
      <c r="E635" s="22"/>
      <c r="F635" s="22"/>
      <c r="G635" s="20"/>
    </row>
    <row r="636" customFormat="false" ht="15" hidden="false" customHeight="false" outlineLevel="0" collapsed="false">
      <c r="A636" s="21"/>
      <c r="B636" s="33" t="n">
        <f aca="false">IF($A636="",0,INT(($A636-Macrociclo!$C$11)/7)+1)</f>
        <v>0</v>
      </c>
      <c r="C636" s="20"/>
      <c r="D636" s="20"/>
      <c r="E636" s="22"/>
      <c r="F636" s="22"/>
      <c r="G636" s="20"/>
    </row>
    <row r="637" customFormat="false" ht="15" hidden="false" customHeight="false" outlineLevel="0" collapsed="false">
      <c r="A637" s="21"/>
      <c r="B637" s="33" t="n">
        <f aca="false">IF($A637="",0,INT(($A637-Macrociclo!$C$11)/7)+1)</f>
        <v>0</v>
      </c>
      <c r="C637" s="20"/>
      <c r="D637" s="20"/>
      <c r="E637" s="22"/>
      <c r="F637" s="22"/>
      <c r="G637" s="20"/>
    </row>
    <row r="638" customFormat="false" ht="15" hidden="false" customHeight="false" outlineLevel="0" collapsed="false">
      <c r="A638" s="21"/>
      <c r="B638" s="33" t="n">
        <f aca="false">IF($A638="",0,INT(($A638-Macrociclo!$C$11)/7)+1)</f>
        <v>0</v>
      </c>
      <c r="C638" s="20"/>
      <c r="D638" s="20"/>
      <c r="E638" s="22"/>
      <c r="F638" s="22"/>
      <c r="G638" s="20"/>
    </row>
    <row r="639" customFormat="false" ht="15" hidden="false" customHeight="false" outlineLevel="0" collapsed="false">
      <c r="A639" s="21"/>
      <c r="B639" s="33" t="n">
        <f aca="false">IF($A639="",0,INT(($A639-Macrociclo!$C$11)/7)+1)</f>
        <v>0</v>
      </c>
      <c r="C639" s="20"/>
      <c r="D639" s="20"/>
      <c r="E639" s="22"/>
      <c r="F639" s="22"/>
      <c r="G639" s="20"/>
    </row>
    <row r="640" customFormat="false" ht="15" hidden="false" customHeight="false" outlineLevel="0" collapsed="false">
      <c r="A640" s="21"/>
      <c r="B640" s="33" t="n">
        <f aca="false">IF($A640="",0,INT(($A640-Macrociclo!$C$11)/7)+1)</f>
        <v>0</v>
      </c>
      <c r="C640" s="20"/>
      <c r="D640" s="20"/>
      <c r="E640" s="22"/>
      <c r="F640" s="22"/>
      <c r="G640" s="20"/>
    </row>
    <row r="641" customFormat="false" ht="15" hidden="false" customHeight="false" outlineLevel="0" collapsed="false">
      <c r="A641" s="21"/>
      <c r="B641" s="33" t="n">
        <f aca="false">IF($A641="",0,INT(($A641-Macrociclo!$C$11)/7)+1)</f>
        <v>0</v>
      </c>
      <c r="C641" s="20"/>
      <c r="D641" s="20"/>
      <c r="E641" s="22"/>
      <c r="F641" s="22"/>
      <c r="G641" s="20"/>
    </row>
    <row r="642" customFormat="false" ht="15" hidden="false" customHeight="false" outlineLevel="0" collapsed="false">
      <c r="A642" s="21"/>
      <c r="B642" s="33" t="n">
        <f aca="false">IF($A642="",0,INT(($A642-Macrociclo!$C$11)/7)+1)</f>
        <v>0</v>
      </c>
      <c r="C642" s="20"/>
      <c r="D642" s="20"/>
      <c r="E642" s="22"/>
      <c r="F642" s="22"/>
      <c r="G642" s="20"/>
    </row>
    <row r="643" customFormat="false" ht="15" hidden="false" customHeight="false" outlineLevel="0" collapsed="false">
      <c r="A643" s="21"/>
      <c r="B643" s="33" t="n">
        <f aca="false">IF($A643="",0,INT(($A643-Macrociclo!$C$11)/7)+1)</f>
        <v>0</v>
      </c>
      <c r="C643" s="20"/>
      <c r="D643" s="20"/>
      <c r="E643" s="22"/>
      <c r="F643" s="22"/>
      <c r="G643" s="20"/>
    </row>
    <row r="644" customFormat="false" ht="15" hidden="false" customHeight="false" outlineLevel="0" collapsed="false">
      <c r="A644" s="21"/>
      <c r="B644" s="33" t="n">
        <f aca="false">IF($A644="",0,INT(($A644-Macrociclo!$C$11)/7)+1)</f>
        <v>0</v>
      </c>
      <c r="C644" s="20"/>
      <c r="D644" s="20"/>
      <c r="E644" s="22"/>
      <c r="F644" s="22"/>
      <c r="G644" s="20"/>
    </row>
    <row r="645" customFormat="false" ht="15" hidden="false" customHeight="false" outlineLevel="0" collapsed="false">
      <c r="A645" s="21"/>
      <c r="B645" s="33" t="n">
        <f aca="false">IF($A645="",0,INT(($A645-Macrociclo!$C$11)/7)+1)</f>
        <v>0</v>
      </c>
      <c r="C645" s="20"/>
      <c r="D645" s="20"/>
      <c r="E645" s="22"/>
      <c r="F645" s="22"/>
      <c r="G645" s="20"/>
    </row>
    <row r="646" customFormat="false" ht="15" hidden="false" customHeight="false" outlineLevel="0" collapsed="false">
      <c r="A646" s="21"/>
      <c r="B646" s="33" t="n">
        <f aca="false">IF($A646="",0,INT(($A646-Macrociclo!$C$11)/7)+1)</f>
        <v>0</v>
      </c>
      <c r="C646" s="20"/>
      <c r="D646" s="20"/>
      <c r="E646" s="22"/>
      <c r="F646" s="22"/>
      <c r="G646" s="20"/>
    </row>
    <row r="647" customFormat="false" ht="15" hidden="false" customHeight="false" outlineLevel="0" collapsed="false">
      <c r="A647" s="21"/>
      <c r="B647" s="33" t="n">
        <f aca="false">IF($A647="",0,INT(($A647-Macrociclo!$C$11)/7)+1)</f>
        <v>0</v>
      </c>
      <c r="C647" s="20"/>
      <c r="D647" s="20"/>
      <c r="E647" s="22"/>
      <c r="F647" s="22"/>
      <c r="G647" s="20"/>
    </row>
    <row r="648" customFormat="false" ht="15" hidden="false" customHeight="false" outlineLevel="0" collapsed="false">
      <c r="A648" s="21"/>
      <c r="B648" s="33" t="n">
        <f aca="false">IF($A648="",0,INT(($A648-Macrociclo!$C$11)/7)+1)</f>
        <v>0</v>
      </c>
      <c r="C648" s="20"/>
      <c r="D648" s="20"/>
      <c r="E648" s="22"/>
      <c r="F648" s="22"/>
      <c r="G648" s="20"/>
    </row>
    <row r="649" customFormat="false" ht="15" hidden="false" customHeight="false" outlineLevel="0" collapsed="false">
      <c r="A649" s="21"/>
      <c r="B649" s="33" t="n">
        <f aca="false">IF($A649="",0,INT(($A649-Macrociclo!$C$11)/7)+1)</f>
        <v>0</v>
      </c>
      <c r="C649" s="20"/>
      <c r="D649" s="20"/>
      <c r="E649" s="22"/>
      <c r="F649" s="22"/>
      <c r="G649" s="20"/>
    </row>
    <row r="650" customFormat="false" ht="15" hidden="false" customHeight="false" outlineLevel="0" collapsed="false">
      <c r="A650" s="21"/>
      <c r="B650" s="33" t="n">
        <f aca="false">IF($A650="",0,INT(($A650-Macrociclo!$C$11)/7)+1)</f>
        <v>0</v>
      </c>
      <c r="C650" s="20"/>
      <c r="D650" s="20"/>
      <c r="E650" s="22"/>
      <c r="F650" s="22"/>
      <c r="G650" s="20"/>
    </row>
    <row r="651" customFormat="false" ht="15" hidden="false" customHeight="false" outlineLevel="0" collapsed="false">
      <c r="A651" s="21"/>
      <c r="B651" s="33" t="n">
        <f aca="false">IF($A651="",0,INT(($A651-Macrociclo!$C$11)/7)+1)</f>
        <v>0</v>
      </c>
      <c r="C651" s="20"/>
      <c r="D651" s="20"/>
      <c r="E651" s="22"/>
      <c r="F651" s="22"/>
      <c r="G651" s="20"/>
    </row>
    <row r="652" customFormat="false" ht="15" hidden="false" customHeight="false" outlineLevel="0" collapsed="false">
      <c r="A652" s="21"/>
      <c r="B652" s="33" t="n">
        <f aca="false">IF($A652="",0,INT(($A652-Macrociclo!$C$11)/7)+1)</f>
        <v>0</v>
      </c>
      <c r="C652" s="20"/>
      <c r="D652" s="20"/>
      <c r="E652" s="22"/>
      <c r="F652" s="22"/>
      <c r="G652" s="20"/>
    </row>
    <row r="653" customFormat="false" ht="15" hidden="false" customHeight="false" outlineLevel="0" collapsed="false">
      <c r="A653" s="21"/>
      <c r="B653" s="33" t="n">
        <f aca="false">IF($A653="",0,INT(($A653-Macrociclo!$C$11)/7)+1)</f>
        <v>0</v>
      </c>
      <c r="C653" s="20"/>
      <c r="D653" s="20"/>
      <c r="E653" s="22"/>
      <c r="F653" s="22"/>
      <c r="G653" s="20"/>
    </row>
    <row r="654" customFormat="false" ht="15" hidden="false" customHeight="false" outlineLevel="0" collapsed="false">
      <c r="A654" s="21"/>
      <c r="B654" s="33" t="n">
        <f aca="false">IF($A654="",0,INT(($A654-Macrociclo!$C$11)/7)+1)</f>
        <v>0</v>
      </c>
      <c r="C654" s="20"/>
      <c r="D654" s="20"/>
      <c r="E654" s="22"/>
      <c r="F654" s="22"/>
      <c r="G654" s="20"/>
    </row>
    <row r="655" customFormat="false" ht="15" hidden="false" customHeight="false" outlineLevel="0" collapsed="false">
      <c r="A655" s="21"/>
      <c r="B655" s="33" t="n">
        <f aca="false">IF($A655="",0,INT(($A655-Macrociclo!$C$11)/7)+1)</f>
        <v>0</v>
      </c>
      <c r="C655" s="20"/>
      <c r="D655" s="20"/>
      <c r="E655" s="22"/>
      <c r="F655" s="22"/>
      <c r="G655" s="20"/>
    </row>
    <row r="656" customFormat="false" ht="15" hidden="false" customHeight="false" outlineLevel="0" collapsed="false">
      <c r="A656" s="21"/>
      <c r="B656" s="33" t="n">
        <f aca="false">IF($A656="",0,INT(($A656-Macrociclo!$C$11)/7)+1)</f>
        <v>0</v>
      </c>
      <c r="C656" s="20"/>
      <c r="D656" s="20"/>
      <c r="E656" s="22"/>
      <c r="F656" s="22"/>
      <c r="G656" s="20"/>
    </row>
    <row r="657" customFormat="false" ht="15" hidden="false" customHeight="false" outlineLevel="0" collapsed="false">
      <c r="A657" s="21"/>
      <c r="B657" s="33" t="n">
        <f aca="false">IF($A657="",0,INT(($A657-Macrociclo!$C$11)/7)+1)</f>
        <v>0</v>
      </c>
      <c r="C657" s="20"/>
      <c r="D657" s="20"/>
      <c r="E657" s="22"/>
      <c r="F657" s="22"/>
      <c r="G657" s="20"/>
    </row>
    <row r="658" customFormat="false" ht="15" hidden="false" customHeight="false" outlineLevel="0" collapsed="false">
      <c r="A658" s="21"/>
      <c r="B658" s="33" t="n">
        <f aca="false">IF($A658="",0,INT(($A658-Macrociclo!$C$11)/7)+1)</f>
        <v>0</v>
      </c>
      <c r="C658" s="20"/>
      <c r="D658" s="20"/>
      <c r="E658" s="22"/>
      <c r="F658" s="22"/>
      <c r="G658" s="20"/>
    </row>
    <row r="659" customFormat="false" ht="15" hidden="false" customHeight="false" outlineLevel="0" collapsed="false">
      <c r="A659" s="21"/>
      <c r="B659" s="33" t="n">
        <f aca="false">IF($A659="",0,INT(($A659-Macrociclo!$C$11)/7)+1)</f>
        <v>0</v>
      </c>
      <c r="C659" s="20"/>
      <c r="D659" s="20"/>
      <c r="E659" s="22"/>
      <c r="F659" s="22"/>
      <c r="G659" s="20"/>
    </row>
    <row r="660" customFormat="false" ht="15" hidden="false" customHeight="false" outlineLevel="0" collapsed="false">
      <c r="A660" s="21"/>
      <c r="B660" s="33" t="n">
        <f aca="false">IF($A660="",0,INT(($A660-Macrociclo!$C$11)/7)+1)</f>
        <v>0</v>
      </c>
      <c r="C660" s="20"/>
      <c r="D660" s="20"/>
      <c r="E660" s="22"/>
      <c r="F660" s="22"/>
      <c r="G660" s="20"/>
    </row>
    <row r="661" customFormat="false" ht="15" hidden="false" customHeight="false" outlineLevel="0" collapsed="false">
      <c r="A661" s="21"/>
      <c r="B661" s="33" t="n">
        <f aca="false">IF($A661="",0,INT(($A661-Macrociclo!$C$11)/7)+1)</f>
        <v>0</v>
      </c>
      <c r="C661" s="20"/>
      <c r="D661" s="20"/>
      <c r="E661" s="22"/>
      <c r="F661" s="22"/>
      <c r="G661" s="20"/>
    </row>
    <row r="662" customFormat="false" ht="15" hidden="false" customHeight="false" outlineLevel="0" collapsed="false">
      <c r="A662" s="21"/>
      <c r="B662" s="33" t="n">
        <f aca="false">IF($A662="",0,INT(($A662-Macrociclo!$C$11)/7)+1)</f>
        <v>0</v>
      </c>
      <c r="C662" s="20"/>
      <c r="D662" s="20"/>
      <c r="E662" s="22"/>
      <c r="F662" s="22"/>
      <c r="G662" s="20"/>
    </row>
    <row r="663" customFormat="false" ht="15" hidden="false" customHeight="false" outlineLevel="0" collapsed="false">
      <c r="A663" s="21"/>
      <c r="B663" s="33" t="n">
        <f aca="false">IF($A663="",0,INT(($A663-Macrociclo!$C$11)/7)+1)</f>
        <v>0</v>
      </c>
      <c r="C663" s="20"/>
      <c r="D663" s="20"/>
      <c r="E663" s="22"/>
      <c r="F663" s="22"/>
      <c r="G663" s="20"/>
    </row>
    <row r="664" customFormat="false" ht="15" hidden="false" customHeight="false" outlineLevel="0" collapsed="false">
      <c r="A664" s="21"/>
      <c r="B664" s="33" t="n">
        <f aca="false">IF($A664="",0,INT(($A664-Macrociclo!$C$11)/7)+1)</f>
        <v>0</v>
      </c>
      <c r="C664" s="20"/>
      <c r="D664" s="20"/>
      <c r="E664" s="22"/>
      <c r="F664" s="22"/>
      <c r="G664" s="20"/>
    </row>
    <row r="665" customFormat="false" ht="15" hidden="false" customHeight="false" outlineLevel="0" collapsed="false">
      <c r="A665" s="21"/>
      <c r="B665" s="33" t="n">
        <f aca="false">IF($A665="",0,INT(($A665-Macrociclo!$C$11)/7)+1)</f>
        <v>0</v>
      </c>
      <c r="C665" s="20"/>
      <c r="D665" s="20"/>
      <c r="E665" s="22"/>
      <c r="F665" s="22"/>
      <c r="G665" s="20"/>
    </row>
    <row r="666" customFormat="false" ht="15" hidden="false" customHeight="false" outlineLevel="0" collapsed="false">
      <c r="A666" s="21"/>
      <c r="B666" s="33" t="n">
        <f aca="false">IF($A666="",0,INT(($A666-Macrociclo!$C$11)/7)+1)</f>
        <v>0</v>
      </c>
      <c r="C666" s="20"/>
      <c r="D666" s="20"/>
      <c r="E666" s="22"/>
      <c r="F666" s="22"/>
      <c r="G666" s="20"/>
    </row>
    <row r="667" customFormat="false" ht="15" hidden="false" customHeight="false" outlineLevel="0" collapsed="false">
      <c r="A667" s="21"/>
      <c r="B667" s="33" t="n">
        <f aca="false">IF($A667="",0,INT(($A667-Macrociclo!$C$11)/7)+1)</f>
        <v>0</v>
      </c>
      <c r="C667" s="20"/>
      <c r="D667" s="20"/>
      <c r="E667" s="22"/>
      <c r="F667" s="22"/>
      <c r="G667" s="20"/>
    </row>
    <row r="668" customFormat="false" ht="15" hidden="false" customHeight="false" outlineLevel="0" collapsed="false">
      <c r="A668" s="21"/>
      <c r="B668" s="33" t="n">
        <f aca="false">IF($A668="",0,INT(($A668-Macrociclo!$C$11)/7)+1)</f>
        <v>0</v>
      </c>
      <c r="C668" s="20"/>
      <c r="D668" s="20"/>
      <c r="E668" s="22"/>
      <c r="F668" s="22"/>
      <c r="G668" s="20"/>
    </row>
    <row r="669" customFormat="false" ht="15" hidden="false" customHeight="false" outlineLevel="0" collapsed="false">
      <c r="A669" s="21"/>
      <c r="B669" s="33" t="n">
        <f aca="false">IF($A669="",0,INT(($A669-Macrociclo!$C$11)/7)+1)</f>
        <v>0</v>
      </c>
      <c r="C669" s="20"/>
      <c r="D669" s="20"/>
      <c r="E669" s="22"/>
      <c r="F669" s="22"/>
      <c r="G669" s="20"/>
    </row>
    <row r="670" customFormat="false" ht="15" hidden="false" customHeight="false" outlineLevel="0" collapsed="false">
      <c r="A670" s="21"/>
      <c r="B670" s="33" t="n">
        <f aca="false">IF($A670="",0,INT(($A670-Macrociclo!$C$11)/7)+1)</f>
        <v>0</v>
      </c>
      <c r="C670" s="20"/>
      <c r="D670" s="20"/>
      <c r="E670" s="22"/>
      <c r="F670" s="22"/>
      <c r="G670" s="20"/>
    </row>
    <row r="671" customFormat="false" ht="15" hidden="false" customHeight="false" outlineLevel="0" collapsed="false">
      <c r="A671" s="21"/>
      <c r="B671" s="33" t="n">
        <f aca="false">IF($A671="",0,INT(($A671-Macrociclo!$C$11)/7)+1)</f>
        <v>0</v>
      </c>
      <c r="C671" s="20"/>
      <c r="D671" s="20"/>
      <c r="E671" s="22"/>
      <c r="F671" s="22"/>
      <c r="G671" s="20"/>
    </row>
    <row r="672" customFormat="false" ht="15" hidden="false" customHeight="false" outlineLevel="0" collapsed="false">
      <c r="A672" s="21"/>
      <c r="B672" s="33" t="n">
        <f aca="false">IF($A672="",0,INT(($A672-Macrociclo!$C$11)/7)+1)</f>
        <v>0</v>
      </c>
      <c r="C672" s="20"/>
      <c r="D672" s="20"/>
      <c r="E672" s="22"/>
      <c r="F672" s="22"/>
      <c r="G672" s="20"/>
    </row>
    <row r="673" customFormat="false" ht="15" hidden="false" customHeight="false" outlineLevel="0" collapsed="false">
      <c r="A673" s="21"/>
      <c r="B673" s="33" t="n">
        <f aca="false">IF($A673="",0,INT(($A673-Macrociclo!$C$11)/7)+1)</f>
        <v>0</v>
      </c>
      <c r="C673" s="20"/>
      <c r="D673" s="20"/>
      <c r="E673" s="22"/>
      <c r="F673" s="22"/>
      <c r="G673" s="20"/>
    </row>
    <row r="674" customFormat="false" ht="15" hidden="false" customHeight="false" outlineLevel="0" collapsed="false">
      <c r="A674" s="21"/>
      <c r="B674" s="33" t="n">
        <f aca="false">IF($A674="",0,INT(($A674-Macrociclo!$C$11)/7)+1)</f>
        <v>0</v>
      </c>
      <c r="C674" s="20"/>
      <c r="D674" s="20"/>
      <c r="E674" s="22"/>
      <c r="F674" s="22"/>
      <c r="G674" s="20"/>
    </row>
    <row r="675" customFormat="false" ht="15" hidden="false" customHeight="false" outlineLevel="0" collapsed="false">
      <c r="A675" s="21"/>
      <c r="B675" s="33" t="n">
        <f aca="false">IF($A675="",0,INT(($A675-Macrociclo!$C$11)/7)+1)</f>
        <v>0</v>
      </c>
      <c r="C675" s="20"/>
      <c r="D675" s="20"/>
      <c r="E675" s="22"/>
      <c r="F675" s="22"/>
      <c r="G675" s="20"/>
    </row>
    <row r="676" customFormat="false" ht="15" hidden="false" customHeight="false" outlineLevel="0" collapsed="false">
      <c r="A676" s="21"/>
      <c r="B676" s="33" t="n">
        <f aca="false">IF($A676="",0,INT(($A676-Macrociclo!$C$11)/7)+1)</f>
        <v>0</v>
      </c>
      <c r="C676" s="20"/>
      <c r="D676" s="20"/>
      <c r="E676" s="22"/>
      <c r="F676" s="22"/>
      <c r="G676" s="20"/>
    </row>
    <row r="677" customFormat="false" ht="15" hidden="false" customHeight="false" outlineLevel="0" collapsed="false">
      <c r="A677" s="21"/>
      <c r="B677" s="33" t="n">
        <f aca="false">IF($A677="",0,INT(($A677-Macrociclo!$C$11)/7)+1)</f>
        <v>0</v>
      </c>
      <c r="C677" s="20"/>
      <c r="D677" s="20"/>
      <c r="E677" s="22"/>
      <c r="F677" s="22"/>
      <c r="G677" s="20"/>
    </row>
    <row r="678" customFormat="false" ht="15" hidden="false" customHeight="false" outlineLevel="0" collapsed="false">
      <c r="A678" s="21"/>
      <c r="B678" s="33" t="n">
        <f aca="false">IF($A678="",0,INT(($A678-Macrociclo!$C$11)/7)+1)</f>
        <v>0</v>
      </c>
      <c r="C678" s="20"/>
      <c r="D678" s="20"/>
      <c r="E678" s="22"/>
      <c r="F678" s="22"/>
      <c r="G678" s="20"/>
    </row>
    <row r="679" customFormat="false" ht="15" hidden="false" customHeight="false" outlineLevel="0" collapsed="false">
      <c r="A679" s="21"/>
      <c r="B679" s="33" t="n">
        <f aca="false">IF($A679="",0,INT(($A679-Macrociclo!$C$11)/7)+1)</f>
        <v>0</v>
      </c>
      <c r="C679" s="20"/>
      <c r="D679" s="20"/>
      <c r="E679" s="22"/>
      <c r="F679" s="22"/>
      <c r="G679" s="20"/>
    </row>
    <row r="680" customFormat="false" ht="15" hidden="false" customHeight="false" outlineLevel="0" collapsed="false">
      <c r="A680" s="21"/>
      <c r="B680" s="33" t="n">
        <f aca="false">IF($A680="",0,INT(($A680-Macrociclo!$C$11)/7)+1)</f>
        <v>0</v>
      </c>
      <c r="C680" s="20"/>
      <c r="D680" s="20"/>
      <c r="E680" s="22"/>
      <c r="F680" s="22"/>
      <c r="G680" s="20"/>
    </row>
    <row r="681" customFormat="false" ht="15" hidden="false" customHeight="false" outlineLevel="0" collapsed="false">
      <c r="A681" s="21"/>
      <c r="B681" s="33" t="n">
        <f aca="false">IF($A681="",0,INT(($A681-Macrociclo!$C$11)/7)+1)</f>
        <v>0</v>
      </c>
      <c r="C681" s="20"/>
      <c r="D681" s="20"/>
      <c r="E681" s="22"/>
      <c r="F681" s="22"/>
      <c r="G681" s="20"/>
    </row>
    <row r="682" customFormat="false" ht="15" hidden="false" customHeight="false" outlineLevel="0" collapsed="false">
      <c r="A682" s="21"/>
      <c r="B682" s="33" t="n">
        <f aca="false">IF($A682="",0,INT(($A682-Macrociclo!$C$11)/7)+1)</f>
        <v>0</v>
      </c>
      <c r="C682" s="20"/>
      <c r="D682" s="20"/>
      <c r="E682" s="22"/>
      <c r="F682" s="22"/>
      <c r="G682" s="20"/>
    </row>
    <row r="683" customFormat="false" ht="15" hidden="false" customHeight="false" outlineLevel="0" collapsed="false">
      <c r="A683" s="21"/>
      <c r="B683" s="33" t="n">
        <f aca="false">IF($A683="",0,INT(($A683-Macrociclo!$C$11)/7)+1)</f>
        <v>0</v>
      </c>
      <c r="C683" s="20"/>
      <c r="D683" s="20"/>
      <c r="E683" s="22"/>
      <c r="F683" s="22"/>
      <c r="G683" s="20"/>
    </row>
    <row r="684" customFormat="false" ht="15" hidden="false" customHeight="false" outlineLevel="0" collapsed="false">
      <c r="A684" s="21"/>
      <c r="B684" s="33" t="n">
        <f aca="false">IF($A684="",0,INT(($A684-Macrociclo!$C$11)/7)+1)</f>
        <v>0</v>
      </c>
      <c r="C684" s="20"/>
      <c r="D684" s="20"/>
      <c r="E684" s="22"/>
      <c r="F684" s="22"/>
      <c r="G684" s="20"/>
    </row>
    <row r="685" customFormat="false" ht="15" hidden="false" customHeight="false" outlineLevel="0" collapsed="false">
      <c r="A685" s="21"/>
      <c r="B685" s="33" t="n">
        <f aca="false">IF($A685="",0,INT(($A685-Macrociclo!$C$11)/7)+1)</f>
        <v>0</v>
      </c>
      <c r="C685" s="20"/>
      <c r="D685" s="20"/>
      <c r="E685" s="22"/>
      <c r="F685" s="22"/>
      <c r="G685" s="20"/>
    </row>
    <row r="686" customFormat="false" ht="15" hidden="false" customHeight="false" outlineLevel="0" collapsed="false">
      <c r="A686" s="21"/>
      <c r="B686" s="33" t="n">
        <f aca="false">IF($A686="",0,INT(($A686-Macrociclo!$C$11)/7)+1)</f>
        <v>0</v>
      </c>
      <c r="C686" s="20"/>
      <c r="D686" s="20"/>
      <c r="E686" s="22"/>
      <c r="F686" s="22"/>
      <c r="G686" s="20"/>
    </row>
    <row r="687" customFormat="false" ht="15" hidden="false" customHeight="false" outlineLevel="0" collapsed="false">
      <c r="A687" s="21"/>
      <c r="B687" s="33" t="n">
        <f aca="false">IF($A687="",0,INT(($A687-Macrociclo!$C$11)/7)+1)</f>
        <v>0</v>
      </c>
      <c r="C687" s="20"/>
      <c r="D687" s="20"/>
      <c r="E687" s="22"/>
      <c r="F687" s="22"/>
      <c r="G687" s="20"/>
    </row>
    <row r="688" customFormat="false" ht="15" hidden="false" customHeight="false" outlineLevel="0" collapsed="false">
      <c r="A688" s="21"/>
      <c r="B688" s="33" t="n">
        <f aca="false">IF($A688="",0,INT(($A688-Macrociclo!$C$11)/7)+1)</f>
        <v>0</v>
      </c>
      <c r="C688" s="20"/>
      <c r="D688" s="20"/>
      <c r="E688" s="22"/>
      <c r="F688" s="22"/>
      <c r="G688" s="20"/>
    </row>
    <row r="689" customFormat="false" ht="15" hidden="false" customHeight="false" outlineLevel="0" collapsed="false">
      <c r="A689" s="21"/>
      <c r="B689" s="33" t="n">
        <f aca="false">IF($A689="",0,INT(($A689-Macrociclo!$C$11)/7)+1)</f>
        <v>0</v>
      </c>
      <c r="C689" s="20"/>
      <c r="D689" s="20"/>
      <c r="E689" s="22"/>
      <c r="F689" s="22"/>
      <c r="G689" s="20"/>
    </row>
    <row r="690" customFormat="false" ht="15" hidden="false" customHeight="false" outlineLevel="0" collapsed="false">
      <c r="A690" s="21"/>
      <c r="B690" s="33" t="n">
        <f aca="false">IF($A690="",0,INT(($A690-Macrociclo!$C$11)/7)+1)</f>
        <v>0</v>
      </c>
      <c r="C690" s="20"/>
      <c r="D690" s="20"/>
      <c r="E690" s="22"/>
      <c r="F690" s="22"/>
      <c r="G690" s="20"/>
    </row>
    <row r="691" customFormat="false" ht="15" hidden="false" customHeight="false" outlineLevel="0" collapsed="false">
      <c r="A691" s="21"/>
      <c r="B691" s="33" t="n">
        <f aca="false">IF($A691="",0,INT(($A691-Macrociclo!$C$11)/7)+1)</f>
        <v>0</v>
      </c>
      <c r="C691" s="20"/>
      <c r="D691" s="20"/>
      <c r="E691" s="22"/>
      <c r="F691" s="22"/>
      <c r="G691" s="20"/>
    </row>
    <row r="692" customFormat="false" ht="15" hidden="false" customHeight="false" outlineLevel="0" collapsed="false">
      <c r="A692" s="21"/>
      <c r="B692" s="33" t="n">
        <f aca="false">IF($A692="",0,INT(($A692-Macrociclo!$C$11)/7)+1)</f>
        <v>0</v>
      </c>
      <c r="C692" s="20"/>
      <c r="D692" s="20"/>
      <c r="E692" s="22"/>
      <c r="F692" s="22"/>
      <c r="G692" s="20"/>
    </row>
    <row r="693" customFormat="false" ht="15" hidden="false" customHeight="false" outlineLevel="0" collapsed="false">
      <c r="A693" s="21"/>
      <c r="B693" s="33" t="n">
        <f aca="false">IF($A693="",0,INT(($A693-Macrociclo!$C$11)/7)+1)</f>
        <v>0</v>
      </c>
      <c r="C693" s="20"/>
      <c r="D693" s="20"/>
      <c r="E693" s="22"/>
      <c r="F693" s="22"/>
      <c r="G693" s="20"/>
    </row>
    <row r="694" customFormat="false" ht="15" hidden="false" customHeight="false" outlineLevel="0" collapsed="false">
      <c r="A694" s="21"/>
      <c r="B694" s="33" t="n">
        <f aca="false">IF($A694="",0,INT(($A694-Macrociclo!$C$11)/7)+1)</f>
        <v>0</v>
      </c>
      <c r="C694" s="20"/>
      <c r="D694" s="20"/>
      <c r="E694" s="22"/>
      <c r="F694" s="22"/>
      <c r="G694" s="20"/>
    </row>
    <row r="695" customFormat="false" ht="15" hidden="false" customHeight="false" outlineLevel="0" collapsed="false">
      <c r="A695" s="21"/>
      <c r="B695" s="33" t="n">
        <f aca="false">IF($A695="",0,INT(($A695-Macrociclo!$C$11)/7)+1)</f>
        <v>0</v>
      </c>
      <c r="C695" s="20"/>
      <c r="D695" s="20"/>
      <c r="E695" s="22"/>
      <c r="F695" s="22"/>
      <c r="G695" s="20"/>
    </row>
    <row r="696" customFormat="false" ht="15" hidden="false" customHeight="false" outlineLevel="0" collapsed="false">
      <c r="A696" s="21"/>
      <c r="B696" s="33" t="n">
        <f aca="false">IF($A696="",0,INT(($A696-Macrociclo!$C$11)/7)+1)</f>
        <v>0</v>
      </c>
      <c r="C696" s="20"/>
      <c r="D696" s="20"/>
      <c r="E696" s="22"/>
      <c r="F696" s="22"/>
      <c r="G696" s="20"/>
    </row>
    <row r="697" customFormat="false" ht="15" hidden="false" customHeight="false" outlineLevel="0" collapsed="false">
      <c r="A697" s="21"/>
      <c r="B697" s="33" t="n">
        <f aca="false">IF($A697="",0,INT(($A697-Macrociclo!$C$11)/7)+1)</f>
        <v>0</v>
      </c>
      <c r="C697" s="20"/>
      <c r="D697" s="20"/>
      <c r="E697" s="22"/>
      <c r="F697" s="22"/>
      <c r="G697" s="20"/>
    </row>
    <row r="698" customFormat="false" ht="15" hidden="false" customHeight="false" outlineLevel="0" collapsed="false">
      <c r="A698" s="21"/>
      <c r="B698" s="33" t="n">
        <f aca="false">IF($A698="",0,INT(($A698-Macrociclo!$C$11)/7)+1)</f>
        <v>0</v>
      </c>
      <c r="C698" s="20"/>
      <c r="D698" s="20"/>
      <c r="E698" s="22"/>
      <c r="F698" s="22"/>
      <c r="G698" s="20"/>
    </row>
    <row r="699" customFormat="false" ht="15" hidden="false" customHeight="false" outlineLevel="0" collapsed="false">
      <c r="A699" s="21"/>
      <c r="B699" s="33" t="n">
        <f aca="false">IF($A699="",0,INT(($A699-Macrociclo!$C$11)/7)+1)</f>
        <v>0</v>
      </c>
      <c r="C699" s="20"/>
      <c r="D699" s="20"/>
      <c r="E699" s="22"/>
      <c r="F699" s="22"/>
      <c r="G699" s="20"/>
    </row>
    <row r="700" customFormat="false" ht="15" hidden="false" customHeight="false" outlineLevel="0" collapsed="false">
      <c r="A700" s="21"/>
      <c r="B700" s="33" t="n">
        <f aca="false">IF($A700="",0,INT(($A700-Macrociclo!$C$11)/7)+1)</f>
        <v>0</v>
      </c>
      <c r="C700" s="20"/>
      <c r="D700" s="20"/>
      <c r="E700" s="22"/>
      <c r="F700" s="22"/>
      <c r="G700" s="20"/>
    </row>
    <row r="701" customFormat="false" ht="15" hidden="false" customHeight="false" outlineLevel="0" collapsed="false">
      <c r="A701" s="21"/>
      <c r="B701" s="33" t="n">
        <f aca="false">IF($A701="",0,INT(($A701-Macrociclo!$C$11)/7)+1)</f>
        <v>0</v>
      </c>
      <c r="C701" s="20"/>
      <c r="D701" s="20"/>
      <c r="E701" s="22"/>
      <c r="F701" s="22"/>
      <c r="G701" s="20"/>
    </row>
    <row r="702" customFormat="false" ht="15" hidden="false" customHeight="false" outlineLevel="0" collapsed="false">
      <c r="A702" s="21"/>
      <c r="B702" s="33" t="n">
        <f aca="false">IF($A702="",0,INT(($A702-Macrociclo!$C$11)/7)+1)</f>
        <v>0</v>
      </c>
      <c r="C702" s="20"/>
      <c r="D702" s="20"/>
      <c r="E702" s="22"/>
      <c r="F702" s="22"/>
      <c r="G702" s="20"/>
    </row>
    <row r="703" customFormat="false" ht="15" hidden="false" customHeight="false" outlineLevel="0" collapsed="false">
      <c r="A703" s="21"/>
      <c r="B703" s="33" t="n">
        <f aca="false">IF($A703="",0,INT(($A703-Macrociclo!$C$11)/7)+1)</f>
        <v>0</v>
      </c>
      <c r="C703" s="20"/>
      <c r="D703" s="20"/>
      <c r="E703" s="22"/>
      <c r="F703" s="22"/>
      <c r="G703" s="20"/>
    </row>
    <row r="704" customFormat="false" ht="15" hidden="false" customHeight="false" outlineLevel="0" collapsed="false">
      <c r="A704" s="21"/>
      <c r="B704" s="33" t="n">
        <f aca="false">IF($A704="",0,INT(($A704-Macrociclo!$C$11)/7)+1)</f>
        <v>0</v>
      </c>
      <c r="C704" s="20"/>
      <c r="D704" s="20"/>
      <c r="E704" s="22"/>
      <c r="F704" s="22"/>
      <c r="G704" s="20"/>
    </row>
    <row r="705" customFormat="false" ht="15" hidden="false" customHeight="false" outlineLevel="0" collapsed="false">
      <c r="A705" s="21"/>
      <c r="B705" s="33" t="n">
        <f aca="false">IF($A705="",0,INT(($A705-Macrociclo!$C$11)/7)+1)</f>
        <v>0</v>
      </c>
      <c r="C705" s="20"/>
      <c r="D705" s="20"/>
      <c r="E705" s="22"/>
      <c r="F705" s="22"/>
      <c r="G705" s="20"/>
    </row>
    <row r="706" customFormat="false" ht="15" hidden="false" customHeight="false" outlineLevel="0" collapsed="false">
      <c r="A706" s="21"/>
      <c r="B706" s="33" t="n">
        <f aca="false">IF($A706="",0,INT(($A706-Macrociclo!$C$11)/7)+1)</f>
        <v>0</v>
      </c>
      <c r="C706" s="20"/>
      <c r="D706" s="20"/>
      <c r="E706" s="22"/>
      <c r="F706" s="22"/>
      <c r="G706" s="20"/>
    </row>
    <row r="707" customFormat="false" ht="15" hidden="false" customHeight="false" outlineLevel="0" collapsed="false">
      <c r="A707" s="21"/>
      <c r="B707" s="33" t="n">
        <f aca="false">IF($A707="",0,INT(($A707-Macrociclo!$C$11)/7)+1)</f>
        <v>0</v>
      </c>
      <c r="C707" s="20"/>
      <c r="D707" s="20"/>
      <c r="E707" s="22"/>
      <c r="F707" s="22"/>
      <c r="G707" s="20"/>
    </row>
    <row r="708" customFormat="false" ht="15" hidden="false" customHeight="false" outlineLevel="0" collapsed="false">
      <c r="A708" s="21"/>
      <c r="B708" s="33" t="n">
        <f aca="false">IF($A708="",0,INT(($A708-Macrociclo!$C$11)/7)+1)</f>
        <v>0</v>
      </c>
      <c r="C708" s="20"/>
      <c r="D708" s="20"/>
      <c r="E708" s="22"/>
      <c r="F708" s="22"/>
      <c r="G708" s="20"/>
    </row>
    <row r="709" customFormat="false" ht="15" hidden="false" customHeight="false" outlineLevel="0" collapsed="false">
      <c r="A709" s="21"/>
      <c r="B709" s="33" t="n">
        <f aca="false">IF($A709="",0,INT(($A709-Macrociclo!$C$11)/7)+1)</f>
        <v>0</v>
      </c>
      <c r="C709" s="20"/>
      <c r="D709" s="20"/>
      <c r="E709" s="22"/>
      <c r="F709" s="22"/>
      <c r="G709" s="20"/>
    </row>
    <row r="710" customFormat="false" ht="15" hidden="false" customHeight="false" outlineLevel="0" collapsed="false">
      <c r="A710" s="21"/>
      <c r="B710" s="33" t="n">
        <f aca="false">IF($A710="",0,INT(($A710-Macrociclo!$C$11)/7)+1)</f>
        <v>0</v>
      </c>
      <c r="C710" s="20"/>
      <c r="D710" s="20"/>
      <c r="E710" s="22"/>
      <c r="F710" s="22"/>
      <c r="G710" s="20"/>
    </row>
    <row r="711" customFormat="false" ht="15" hidden="false" customHeight="false" outlineLevel="0" collapsed="false">
      <c r="A711" s="21"/>
      <c r="B711" s="33" t="n">
        <f aca="false">IF($A711="",0,INT(($A711-Macrociclo!$C$11)/7)+1)</f>
        <v>0</v>
      </c>
      <c r="C711" s="20"/>
      <c r="D711" s="20"/>
      <c r="E711" s="22"/>
      <c r="F711" s="22"/>
      <c r="G711" s="20"/>
    </row>
    <row r="712" customFormat="false" ht="15" hidden="false" customHeight="false" outlineLevel="0" collapsed="false">
      <c r="A712" s="21"/>
      <c r="B712" s="33" t="n">
        <f aca="false">IF($A712="",0,INT(($A712-Macrociclo!$C$11)/7)+1)</f>
        <v>0</v>
      </c>
      <c r="C712" s="20"/>
      <c r="D712" s="20"/>
      <c r="E712" s="22"/>
      <c r="F712" s="22"/>
      <c r="G712" s="20"/>
    </row>
    <row r="713" customFormat="false" ht="15" hidden="false" customHeight="false" outlineLevel="0" collapsed="false">
      <c r="A713" s="21"/>
      <c r="B713" s="33" t="n">
        <f aca="false">IF($A713="",0,INT(($A713-Macrociclo!$C$11)/7)+1)</f>
        <v>0</v>
      </c>
      <c r="C713" s="20"/>
      <c r="D713" s="20"/>
      <c r="E713" s="22"/>
      <c r="F713" s="22"/>
      <c r="G713" s="20"/>
    </row>
    <row r="714" customFormat="false" ht="15" hidden="false" customHeight="false" outlineLevel="0" collapsed="false">
      <c r="A714" s="21"/>
      <c r="B714" s="33" t="n">
        <f aca="false">IF($A714="",0,INT(($A714-Macrociclo!$C$11)/7)+1)</f>
        <v>0</v>
      </c>
      <c r="C714" s="20"/>
      <c r="D714" s="20"/>
      <c r="E714" s="22"/>
      <c r="F714" s="22"/>
      <c r="G714" s="20"/>
    </row>
    <row r="715" customFormat="false" ht="15" hidden="false" customHeight="false" outlineLevel="0" collapsed="false">
      <c r="A715" s="21"/>
      <c r="B715" s="33" t="n">
        <f aca="false">IF($A715="",0,INT(($A715-Macrociclo!$C$11)/7)+1)</f>
        <v>0</v>
      </c>
      <c r="C715" s="20"/>
      <c r="D715" s="20"/>
      <c r="E715" s="22"/>
      <c r="F715" s="22"/>
      <c r="G715" s="20"/>
    </row>
    <row r="716" customFormat="false" ht="15" hidden="false" customHeight="false" outlineLevel="0" collapsed="false">
      <c r="A716" s="21"/>
      <c r="B716" s="33" t="n">
        <f aca="false">IF($A716="",0,INT(($A716-Macrociclo!$C$11)/7)+1)</f>
        <v>0</v>
      </c>
      <c r="C716" s="20"/>
      <c r="D716" s="20"/>
      <c r="E716" s="22"/>
      <c r="F716" s="22"/>
      <c r="G716" s="20"/>
    </row>
    <row r="717" customFormat="false" ht="15" hidden="false" customHeight="false" outlineLevel="0" collapsed="false">
      <c r="A717" s="21"/>
      <c r="B717" s="33" t="n">
        <f aca="false">IF($A717="",0,INT(($A717-Macrociclo!$C$11)/7)+1)</f>
        <v>0</v>
      </c>
      <c r="C717" s="20"/>
      <c r="D717" s="20"/>
      <c r="E717" s="22"/>
      <c r="F717" s="22"/>
      <c r="G717" s="20"/>
    </row>
    <row r="718" customFormat="false" ht="15" hidden="false" customHeight="false" outlineLevel="0" collapsed="false">
      <c r="A718" s="21"/>
      <c r="B718" s="33" t="n">
        <f aca="false">IF($A718="",0,INT(($A718-Macrociclo!$C$11)/7)+1)</f>
        <v>0</v>
      </c>
      <c r="C718" s="20"/>
      <c r="D718" s="20"/>
      <c r="E718" s="22"/>
      <c r="F718" s="22"/>
      <c r="G718" s="20"/>
    </row>
    <row r="719" customFormat="false" ht="15" hidden="false" customHeight="false" outlineLevel="0" collapsed="false">
      <c r="A719" s="21"/>
      <c r="B719" s="33" t="n">
        <f aca="false">IF($A719="",0,INT(($A719-Macrociclo!$C$11)/7)+1)</f>
        <v>0</v>
      </c>
      <c r="C719" s="20"/>
      <c r="D719" s="20"/>
      <c r="E719" s="22"/>
      <c r="F719" s="22"/>
      <c r="G719" s="20"/>
    </row>
    <row r="720" customFormat="false" ht="15" hidden="false" customHeight="false" outlineLevel="0" collapsed="false">
      <c r="A720" s="21"/>
      <c r="B720" s="33" t="n">
        <f aca="false">IF($A720="",0,INT(($A720-Macrociclo!$C$11)/7)+1)</f>
        <v>0</v>
      </c>
      <c r="C720" s="20"/>
      <c r="D720" s="20"/>
      <c r="E720" s="22"/>
      <c r="F720" s="22"/>
      <c r="G720" s="20"/>
    </row>
    <row r="721" customFormat="false" ht="15" hidden="false" customHeight="false" outlineLevel="0" collapsed="false">
      <c r="A721" s="21"/>
      <c r="B721" s="33" t="n">
        <f aca="false">IF($A721="",0,INT(($A721-Macrociclo!$C$11)/7)+1)</f>
        <v>0</v>
      </c>
      <c r="C721" s="20"/>
      <c r="D721" s="20"/>
      <c r="E721" s="22"/>
      <c r="F721" s="22"/>
      <c r="G721" s="20"/>
    </row>
    <row r="722" customFormat="false" ht="15" hidden="false" customHeight="false" outlineLevel="0" collapsed="false">
      <c r="A722" s="21"/>
      <c r="B722" s="33" t="n">
        <f aca="false">IF($A722="",0,INT(($A722-Macrociclo!$C$11)/7)+1)</f>
        <v>0</v>
      </c>
      <c r="C722" s="20"/>
      <c r="D722" s="20"/>
      <c r="E722" s="22"/>
      <c r="F722" s="22"/>
      <c r="G722" s="20"/>
    </row>
    <row r="723" customFormat="false" ht="15" hidden="false" customHeight="false" outlineLevel="0" collapsed="false">
      <c r="A723" s="21"/>
      <c r="B723" s="33" t="n">
        <f aca="false">IF($A723="",0,INT(($A723-Macrociclo!$C$11)/7)+1)</f>
        <v>0</v>
      </c>
      <c r="C723" s="20"/>
      <c r="D723" s="20"/>
      <c r="E723" s="22"/>
      <c r="F723" s="22"/>
      <c r="G723" s="20"/>
    </row>
    <row r="724" customFormat="false" ht="15" hidden="false" customHeight="false" outlineLevel="0" collapsed="false">
      <c r="A724" s="21"/>
      <c r="B724" s="33" t="n">
        <f aca="false">IF($A724="",0,INT(($A724-Macrociclo!$C$11)/7)+1)</f>
        <v>0</v>
      </c>
      <c r="C724" s="20"/>
      <c r="D724" s="20"/>
      <c r="E724" s="22"/>
      <c r="F724" s="22"/>
      <c r="G724" s="20"/>
    </row>
    <row r="725" customFormat="false" ht="15" hidden="false" customHeight="false" outlineLevel="0" collapsed="false">
      <c r="A725" s="21"/>
      <c r="B725" s="33" t="n">
        <f aca="false">IF($A725="",0,INT(($A725-Macrociclo!$C$11)/7)+1)</f>
        <v>0</v>
      </c>
      <c r="C725" s="20"/>
      <c r="D725" s="20"/>
      <c r="E725" s="22"/>
      <c r="F725" s="22"/>
      <c r="G725" s="20"/>
    </row>
    <row r="726" customFormat="false" ht="15" hidden="false" customHeight="false" outlineLevel="0" collapsed="false">
      <c r="A726" s="21"/>
      <c r="B726" s="33" t="n">
        <f aca="false">IF($A726="",0,INT(($A726-Macrociclo!$C$11)/7)+1)</f>
        <v>0</v>
      </c>
      <c r="C726" s="20"/>
      <c r="D726" s="20"/>
      <c r="E726" s="22"/>
      <c r="F726" s="22"/>
      <c r="G726" s="20"/>
    </row>
    <row r="727" customFormat="false" ht="15" hidden="false" customHeight="false" outlineLevel="0" collapsed="false">
      <c r="A727" s="21"/>
      <c r="B727" s="33" t="n">
        <f aca="false">IF($A727="",0,INT(($A727-Macrociclo!$C$11)/7)+1)</f>
        <v>0</v>
      </c>
      <c r="C727" s="20"/>
      <c r="D727" s="20"/>
      <c r="E727" s="22"/>
      <c r="F727" s="22"/>
      <c r="G727" s="20"/>
    </row>
    <row r="728" customFormat="false" ht="15" hidden="false" customHeight="false" outlineLevel="0" collapsed="false">
      <c r="A728" s="21"/>
      <c r="B728" s="33" t="n">
        <f aca="false">IF($A728="",0,INT(($A728-Macrociclo!$C$11)/7)+1)</f>
        <v>0</v>
      </c>
      <c r="C728" s="20"/>
      <c r="D728" s="20"/>
      <c r="E728" s="22"/>
      <c r="F728" s="22"/>
      <c r="G728" s="20"/>
    </row>
    <row r="729" customFormat="false" ht="15" hidden="false" customHeight="false" outlineLevel="0" collapsed="false">
      <c r="A729" s="21"/>
      <c r="B729" s="33" t="n">
        <f aca="false">IF($A729="",0,INT(($A729-Macrociclo!$C$11)/7)+1)</f>
        <v>0</v>
      </c>
      <c r="C729" s="20"/>
      <c r="D729" s="20"/>
      <c r="E729" s="22"/>
      <c r="F729" s="22"/>
      <c r="G729" s="20"/>
    </row>
    <row r="730" customFormat="false" ht="15" hidden="false" customHeight="false" outlineLevel="0" collapsed="false">
      <c r="A730" s="21"/>
      <c r="B730" s="33" t="n">
        <f aca="false">IF($A730="",0,INT(($A730-Macrociclo!$C$11)/7)+1)</f>
        <v>0</v>
      </c>
      <c r="C730" s="20"/>
      <c r="D730" s="20"/>
      <c r="E730" s="22"/>
      <c r="F730" s="22"/>
      <c r="G730" s="20"/>
    </row>
    <row r="731" customFormat="false" ht="15" hidden="false" customHeight="false" outlineLevel="0" collapsed="false">
      <c r="A731" s="21"/>
      <c r="B731" s="33" t="n">
        <f aca="false">IF($A731="",0,INT(($A731-Macrociclo!$C$11)/7)+1)</f>
        <v>0</v>
      </c>
      <c r="C731" s="20"/>
      <c r="D731" s="20"/>
      <c r="E731" s="22"/>
      <c r="F731" s="22"/>
      <c r="G731" s="20"/>
    </row>
    <row r="732" customFormat="false" ht="15" hidden="false" customHeight="false" outlineLevel="0" collapsed="false">
      <c r="A732" s="21"/>
      <c r="B732" s="33" t="n">
        <f aca="false">IF($A732="",0,INT(($A732-Macrociclo!$C$11)/7)+1)</f>
        <v>0</v>
      </c>
      <c r="C732" s="20"/>
      <c r="D732" s="20"/>
      <c r="E732" s="22"/>
      <c r="F732" s="22"/>
      <c r="G732" s="20"/>
    </row>
    <row r="733" customFormat="false" ht="15" hidden="false" customHeight="false" outlineLevel="0" collapsed="false">
      <c r="A733" s="21"/>
      <c r="B733" s="33" t="n">
        <f aca="false">IF($A733="",0,INT(($A733-Macrociclo!$C$11)/7)+1)</f>
        <v>0</v>
      </c>
      <c r="C733" s="20"/>
      <c r="D733" s="20"/>
      <c r="E733" s="22"/>
      <c r="F733" s="22"/>
      <c r="G733" s="20"/>
    </row>
    <row r="734" customFormat="false" ht="15" hidden="false" customHeight="false" outlineLevel="0" collapsed="false">
      <c r="A734" s="21"/>
      <c r="B734" s="33" t="n">
        <f aca="false">IF($A734="",0,INT(($A734-Macrociclo!$C$11)/7)+1)</f>
        <v>0</v>
      </c>
      <c r="C734" s="20"/>
      <c r="D734" s="20"/>
      <c r="E734" s="22"/>
      <c r="F734" s="22"/>
      <c r="G734" s="20"/>
    </row>
    <row r="735" customFormat="false" ht="15" hidden="false" customHeight="false" outlineLevel="0" collapsed="false">
      <c r="A735" s="21"/>
      <c r="B735" s="33" t="n">
        <f aca="false">IF($A735="",0,INT(($A735-Macrociclo!$C$11)/7)+1)</f>
        <v>0</v>
      </c>
      <c r="C735" s="20"/>
      <c r="D735" s="20"/>
      <c r="E735" s="22"/>
      <c r="F735" s="22"/>
      <c r="G735" s="20"/>
    </row>
    <row r="736" customFormat="false" ht="15" hidden="false" customHeight="false" outlineLevel="0" collapsed="false">
      <c r="A736" s="21"/>
      <c r="B736" s="33" t="n">
        <f aca="false">IF($A736="",0,INT(($A736-Macrociclo!$C$11)/7)+1)</f>
        <v>0</v>
      </c>
      <c r="C736" s="20"/>
      <c r="D736" s="20"/>
      <c r="E736" s="22"/>
      <c r="F736" s="22"/>
      <c r="G736" s="20"/>
    </row>
    <row r="737" customFormat="false" ht="15" hidden="false" customHeight="false" outlineLevel="0" collapsed="false">
      <c r="A737" s="21"/>
      <c r="B737" s="33" t="n">
        <f aca="false">IF($A737="",0,INT(($A737-Macrociclo!$C$11)/7)+1)</f>
        <v>0</v>
      </c>
      <c r="C737" s="20"/>
      <c r="D737" s="20"/>
      <c r="E737" s="22"/>
      <c r="F737" s="22"/>
      <c r="G737" s="20"/>
    </row>
    <row r="738" customFormat="false" ht="15" hidden="false" customHeight="false" outlineLevel="0" collapsed="false">
      <c r="A738" s="21"/>
      <c r="B738" s="33" t="n">
        <f aca="false">IF($A738="",0,INT(($A738-Macrociclo!$C$11)/7)+1)</f>
        <v>0</v>
      </c>
      <c r="C738" s="20"/>
      <c r="D738" s="20"/>
      <c r="E738" s="22"/>
      <c r="F738" s="22"/>
      <c r="G738" s="20"/>
    </row>
    <row r="739" customFormat="false" ht="15" hidden="false" customHeight="false" outlineLevel="0" collapsed="false">
      <c r="A739" s="21"/>
      <c r="B739" s="33" t="n">
        <f aca="false">IF($A739="",0,INT(($A739-Macrociclo!$C$11)/7)+1)</f>
        <v>0</v>
      </c>
      <c r="C739" s="20"/>
      <c r="D739" s="20"/>
      <c r="E739" s="22"/>
      <c r="F739" s="22"/>
      <c r="G739" s="20"/>
    </row>
    <row r="740" customFormat="false" ht="15" hidden="false" customHeight="false" outlineLevel="0" collapsed="false">
      <c r="A740" s="21"/>
      <c r="B740" s="33" t="n">
        <f aca="false">IF($A740="",0,INT(($A740-Macrociclo!$C$11)/7)+1)</f>
        <v>0</v>
      </c>
      <c r="C740" s="20"/>
      <c r="D740" s="20"/>
      <c r="E740" s="22"/>
      <c r="F740" s="22"/>
      <c r="G740" s="20"/>
    </row>
    <row r="741" customFormat="false" ht="15" hidden="false" customHeight="false" outlineLevel="0" collapsed="false">
      <c r="A741" s="21"/>
      <c r="B741" s="33" t="n">
        <f aca="false">IF($A741="",0,INT(($A741-Macrociclo!$C$11)/7)+1)</f>
        <v>0</v>
      </c>
      <c r="C741" s="20"/>
      <c r="D741" s="20"/>
      <c r="E741" s="22"/>
      <c r="F741" s="22"/>
      <c r="G741" s="20"/>
    </row>
    <row r="742" customFormat="false" ht="15" hidden="false" customHeight="false" outlineLevel="0" collapsed="false">
      <c r="A742" s="21"/>
      <c r="B742" s="33" t="n">
        <f aca="false">IF($A742="",0,INT(($A742-Macrociclo!$C$11)/7)+1)</f>
        <v>0</v>
      </c>
      <c r="C742" s="20"/>
      <c r="D742" s="20"/>
      <c r="E742" s="22"/>
      <c r="F742" s="22"/>
      <c r="G742" s="20"/>
    </row>
    <row r="743" customFormat="false" ht="15" hidden="false" customHeight="false" outlineLevel="0" collapsed="false">
      <c r="A743" s="21"/>
      <c r="B743" s="33" t="n">
        <f aca="false">IF($A743="",0,INT(($A743-Macrociclo!$C$11)/7)+1)</f>
        <v>0</v>
      </c>
      <c r="C743" s="20"/>
      <c r="D743" s="20"/>
      <c r="E743" s="22"/>
      <c r="F743" s="22"/>
      <c r="G743" s="20"/>
    </row>
    <row r="744" customFormat="false" ht="15" hidden="false" customHeight="false" outlineLevel="0" collapsed="false">
      <c r="A744" s="21"/>
      <c r="B744" s="33" t="n">
        <f aca="false">IF($A744="",0,INT(($A744-Macrociclo!$C$11)/7)+1)</f>
        <v>0</v>
      </c>
      <c r="C744" s="20"/>
      <c r="D744" s="20"/>
      <c r="E744" s="22"/>
      <c r="F744" s="22"/>
      <c r="G744" s="20"/>
    </row>
    <row r="745" customFormat="false" ht="15" hidden="false" customHeight="false" outlineLevel="0" collapsed="false">
      <c r="A745" s="21"/>
      <c r="B745" s="33" t="n">
        <f aca="false">IF($A745="",0,INT(($A745-Macrociclo!$C$11)/7)+1)</f>
        <v>0</v>
      </c>
      <c r="C745" s="20"/>
      <c r="D745" s="20"/>
      <c r="E745" s="22"/>
      <c r="F745" s="22"/>
      <c r="G745" s="20"/>
    </row>
    <row r="746" customFormat="false" ht="15" hidden="false" customHeight="false" outlineLevel="0" collapsed="false">
      <c r="A746" s="21"/>
      <c r="B746" s="33" t="n">
        <f aca="false">IF($A746="",0,INT(($A746-Macrociclo!$C$11)/7)+1)</f>
        <v>0</v>
      </c>
      <c r="C746" s="20"/>
      <c r="D746" s="20"/>
      <c r="E746" s="22"/>
      <c r="F746" s="22"/>
      <c r="G746" s="20"/>
    </row>
    <row r="747" customFormat="false" ht="15" hidden="false" customHeight="false" outlineLevel="0" collapsed="false">
      <c r="A747" s="21"/>
      <c r="B747" s="33" t="n">
        <f aca="false">IF($A747="",0,INT(($A747-Macrociclo!$C$11)/7)+1)</f>
        <v>0</v>
      </c>
      <c r="C747" s="20"/>
      <c r="D747" s="20"/>
      <c r="E747" s="22"/>
      <c r="F747" s="22"/>
      <c r="G747" s="20"/>
    </row>
    <row r="748" customFormat="false" ht="15" hidden="false" customHeight="false" outlineLevel="0" collapsed="false">
      <c r="A748" s="21"/>
      <c r="B748" s="33" t="n">
        <f aca="false">IF($A748="",0,INT(($A748-Macrociclo!$C$11)/7)+1)</f>
        <v>0</v>
      </c>
      <c r="C748" s="20"/>
      <c r="D748" s="20"/>
      <c r="E748" s="22"/>
      <c r="F748" s="22"/>
      <c r="G748" s="20"/>
    </row>
    <row r="749" customFormat="false" ht="15" hidden="false" customHeight="false" outlineLevel="0" collapsed="false">
      <c r="A749" s="21"/>
      <c r="B749" s="33" t="n">
        <f aca="false">IF($A749="",0,INT(($A749-Macrociclo!$C$11)/7)+1)</f>
        <v>0</v>
      </c>
      <c r="C749" s="20"/>
      <c r="D749" s="20"/>
      <c r="E749" s="22"/>
      <c r="F749" s="22"/>
      <c r="G749" s="20"/>
    </row>
    <row r="750" customFormat="false" ht="15" hidden="false" customHeight="false" outlineLevel="0" collapsed="false">
      <c r="A750" s="21"/>
      <c r="B750" s="33" t="n">
        <f aca="false">IF($A750="",0,INT(($A750-Macrociclo!$C$11)/7)+1)</f>
        <v>0</v>
      </c>
      <c r="C750" s="20"/>
      <c r="D750" s="20"/>
      <c r="E750" s="22"/>
      <c r="F750" s="22"/>
      <c r="G750" s="20"/>
    </row>
    <row r="751" customFormat="false" ht="15" hidden="false" customHeight="false" outlineLevel="0" collapsed="false">
      <c r="A751" s="21"/>
      <c r="B751" s="33" t="n">
        <f aca="false">IF($A751="",0,INT(($A751-Macrociclo!$C$11)/7)+1)</f>
        <v>0</v>
      </c>
      <c r="C751" s="20"/>
      <c r="D751" s="20"/>
      <c r="E751" s="22"/>
      <c r="F751" s="22"/>
      <c r="G751" s="20"/>
    </row>
    <row r="752" customFormat="false" ht="15" hidden="false" customHeight="false" outlineLevel="0" collapsed="false">
      <c r="A752" s="21"/>
      <c r="B752" s="33" t="n">
        <f aca="false">IF($A752="",0,INT(($A752-Macrociclo!$C$11)/7)+1)</f>
        <v>0</v>
      </c>
      <c r="C752" s="20"/>
      <c r="D752" s="20"/>
      <c r="E752" s="22"/>
      <c r="F752" s="22"/>
      <c r="G752" s="20"/>
    </row>
    <row r="753" customFormat="false" ht="15" hidden="false" customHeight="false" outlineLevel="0" collapsed="false">
      <c r="A753" s="21"/>
      <c r="B753" s="33" t="n">
        <f aca="false">IF($A753="",0,INT(($A753-Macrociclo!$C$11)/7)+1)</f>
        <v>0</v>
      </c>
      <c r="C753" s="20"/>
      <c r="D753" s="20"/>
      <c r="E753" s="22"/>
      <c r="F753" s="22"/>
      <c r="G753" s="20"/>
    </row>
    <row r="754" customFormat="false" ht="15" hidden="false" customHeight="false" outlineLevel="0" collapsed="false">
      <c r="A754" s="21"/>
      <c r="B754" s="33" t="n">
        <f aca="false">IF($A754="",0,INT(($A754-Macrociclo!$C$11)/7)+1)</f>
        <v>0</v>
      </c>
      <c r="C754" s="20"/>
      <c r="D754" s="20"/>
      <c r="E754" s="22"/>
      <c r="F754" s="22"/>
      <c r="G754" s="20"/>
    </row>
    <row r="755" customFormat="false" ht="15" hidden="false" customHeight="false" outlineLevel="0" collapsed="false">
      <c r="A755" s="21"/>
      <c r="B755" s="33" t="n">
        <f aca="false">IF($A755="",0,INT(($A755-Macrociclo!$C$11)/7)+1)</f>
        <v>0</v>
      </c>
      <c r="C755" s="20"/>
      <c r="D755" s="20"/>
      <c r="E755" s="22"/>
      <c r="F755" s="22"/>
      <c r="G755" s="20"/>
    </row>
    <row r="756" customFormat="false" ht="15" hidden="false" customHeight="false" outlineLevel="0" collapsed="false">
      <c r="A756" s="21"/>
      <c r="B756" s="33" t="n">
        <f aca="false">IF($A756="",0,INT(($A756-Macrociclo!$C$11)/7)+1)</f>
        <v>0</v>
      </c>
      <c r="C756" s="20"/>
      <c r="D756" s="20"/>
      <c r="E756" s="22"/>
      <c r="F756" s="22"/>
      <c r="G756" s="20"/>
    </row>
    <row r="757" customFormat="false" ht="15" hidden="false" customHeight="false" outlineLevel="0" collapsed="false">
      <c r="A757" s="21"/>
      <c r="B757" s="33" t="n">
        <f aca="false">IF($A757="",0,INT(($A757-Macrociclo!$C$11)/7)+1)</f>
        <v>0</v>
      </c>
      <c r="C757" s="20"/>
      <c r="D757" s="20"/>
      <c r="E757" s="22"/>
      <c r="F757" s="22"/>
      <c r="G757" s="20"/>
    </row>
    <row r="758" customFormat="false" ht="15" hidden="false" customHeight="false" outlineLevel="0" collapsed="false">
      <c r="A758" s="21"/>
      <c r="B758" s="33" t="n">
        <f aca="false">IF($A758="",0,INT(($A758-Macrociclo!$C$11)/7)+1)</f>
        <v>0</v>
      </c>
      <c r="C758" s="20"/>
      <c r="D758" s="20"/>
      <c r="E758" s="22"/>
      <c r="F758" s="22"/>
      <c r="G758" s="20"/>
    </row>
    <row r="759" customFormat="false" ht="15" hidden="false" customHeight="false" outlineLevel="0" collapsed="false">
      <c r="A759" s="21"/>
      <c r="B759" s="33" t="n">
        <f aca="false">IF($A759="",0,INT(($A759-Macrociclo!$C$11)/7)+1)</f>
        <v>0</v>
      </c>
      <c r="C759" s="20"/>
      <c r="D759" s="20"/>
      <c r="E759" s="22"/>
      <c r="F759" s="22"/>
      <c r="G759" s="20"/>
    </row>
    <row r="760" customFormat="false" ht="15" hidden="false" customHeight="false" outlineLevel="0" collapsed="false">
      <c r="A760" s="21"/>
      <c r="B760" s="33" t="n">
        <f aca="false">IF($A760="",0,INT(($A760-Macrociclo!$C$11)/7)+1)</f>
        <v>0</v>
      </c>
      <c r="C760" s="20"/>
      <c r="D760" s="20"/>
      <c r="E760" s="22"/>
      <c r="F760" s="22"/>
      <c r="G760" s="20"/>
    </row>
    <row r="761" customFormat="false" ht="15" hidden="false" customHeight="false" outlineLevel="0" collapsed="false">
      <c r="A761" s="21"/>
      <c r="B761" s="33" t="n">
        <f aca="false">IF($A761="",0,INT(($A761-Macrociclo!$C$11)/7)+1)</f>
        <v>0</v>
      </c>
      <c r="C761" s="20"/>
      <c r="D761" s="20"/>
      <c r="E761" s="22"/>
      <c r="F761" s="22"/>
      <c r="G761" s="20"/>
    </row>
    <row r="762" customFormat="false" ht="15" hidden="false" customHeight="false" outlineLevel="0" collapsed="false">
      <c r="A762" s="21"/>
      <c r="B762" s="33" t="n">
        <f aca="false">IF($A762="",0,INT(($A762-Macrociclo!$C$11)/7)+1)</f>
        <v>0</v>
      </c>
      <c r="C762" s="20"/>
      <c r="D762" s="20"/>
      <c r="E762" s="22"/>
      <c r="F762" s="22"/>
      <c r="G762" s="20"/>
    </row>
    <row r="763" customFormat="false" ht="15" hidden="false" customHeight="false" outlineLevel="0" collapsed="false">
      <c r="A763" s="21"/>
      <c r="B763" s="33" t="n">
        <f aca="false">IF($A763="",0,INT(($A763-Macrociclo!$C$11)/7)+1)</f>
        <v>0</v>
      </c>
      <c r="C763" s="20"/>
      <c r="D763" s="20"/>
      <c r="E763" s="22"/>
      <c r="F763" s="22"/>
      <c r="G763" s="20"/>
    </row>
    <row r="764" customFormat="false" ht="15" hidden="false" customHeight="false" outlineLevel="0" collapsed="false">
      <c r="A764" s="21"/>
      <c r="B764" s="33" t="n">
        <f aca="false">IF($A764="",0,INT(($A764-Macrociclo!$C$11)/7)+1)</f>
        <v>0</v>
      </c>
      <c r="C764" s="20"/>
      <c r="D764" s="20"/>
      <c r="E764" s="22"/>
      <c r="F764" s="22"/>
      <c r="G764" s="20"/>
    </row>
    <row r="765" customFormat="false" ht="15" hidden="false" customHeight="false" outlineLevel="0" collapsed="false">
      <c r="A765" s="21"/>
      <c r="B765" s="33" t="n">
        <f aca="false">IF($A765="",0,INT(($A765-Macrociclo!$C$11)/7)+1)</f>
        <v>0</v>
      </c>
      <c r="C765" s="20"/>
      <c r="D765" s="20"/>
      <c r="E765" s="22"/>
      <c r="F765" s="22"/>
      <c r="G765" s="20"/>
    </row>
    <row r="766" customFormat="false" ht="15" hidden="false" customHeight="false" outlineLevel="0" collapsed="false">
      <c r="A766" s="21"/>
      <c r="B766" s="33" t="n">
        <f aca="false">IF($A766="",0,INT(($A766-Macrociclo!$C$11)/7)+1)</f>
        <v>0</v>
      </c>
      <c r="C766" s="20"/>
      <c r="D766" s="20"/>
      <c r="E766" s="22"/>
      <c r="F766" s="22"/>
      <c r="G766" s="20"/>
    </row>
    <row r="767" customFormat="false" ht="15" hidden="false" customHeight="false" outlineLevel="0" collapsed="false">
      <c r="A767" s="21"/>
      <c r="B767" s="33" t="n">
        <f aca="false">IF($A767="",0,INT(($A767-Macrociclo!$C$11)/7)+1)</f>
        <v>0</v>
      </c>
      <c r="C767" s="20"/>
      <c r="D767" s="20"/>
      <c r="E767" s="22"/>
      <c r="F767" s="22"/>
      <c r="G767" s="20"/>
    </row>
    <row r="768" customFormat="false" ht="15" hidden="false" customHeight="false" outlineLevel="0" collapsed="false">
      <c r="A768" s="21"/>
      <c r="B768" s="33" t="n">
        <f aca="false">IF($A768="",0,INT(($A768-Macrociclo!$C$11)/7)+1)</f>
        <v>0</v>
      </c>
      <c r="C768" s="20"/>
      <c r="D768" s="20"/>
      <c r="E768" s="22"/>
      <c r="F768" s="22"/>
      <c r="G768" s="20"/>
    </row>
    <row r="769" customFormat="false" ht="15" hidden="false" customHeight="false" outlineLevel="0" collapsed="false">
      <c r="A769" s="21"/>
      <c r="B769" s="33" t="n">
        <f aca="false">IF($A769="",0,INT(($A769-Macrociclo!$C$11)/7)+1)</f>
        <v>0</v>
      </c>
      <c r="C769" s="20"/>
      <c r="D769" s="20"/>
      <c r="E769" s="22"/>
      <c r="F769" s="22"/>
      <c r="G769" s="20"/>
    </row>
    <row r="770" customFormat="false" ht="15" hidden="false" customHeight="false" outlineLevel="0" collapsed="false">
      <c r="A770" s="21"/>
      <c r="B770" s="33" t="n">
        <f aca="false">IF($A770="",0,INT(($A770-Macrociclo!$C$11)/7)+1)</f>
        <v>0</v>
      </c>
      <c r="C770" s="20"/>
      <c r="D770" s="20"/>
      <c r="E770" s="22"/>
      <c r="F770" s="22"/>
      <c r="G770" s="20"/>
    </row>
    <row r="771" customFormat="false" ht="15" hidden="false" customHeight="false" outlineLevel="0" collapsed="false">
      <c r="A771" s="21"/>
      <c r="B771" s="33" t="n">
        <f aca="false">IF($A771="",0,INT(($A771-Macrociclo!$C$11)/7)+1)</f>
        <v>0</v>
      </c>
      <c r="C771" s="20"/>
      <c r="D771" s="20"/>
      <c r="E771" s="22"/>
      <c r="F771" s="22"/>
      <c r="G771" s="20"/>
    </row>
    <row r="772" customFormat="false" ht="15" hidden="false" customHeight="false" outlineLevel="0" collapsed="false">
      <c r="A772" s="21"/>
      <c r="B772" s="33" t="n">
        <f aca="false">IF($A772="",0,INT(($A772-Macrociclo!$C$11)/7)+1)</f>
        <v>0</v>
      </c>
      <c r="C772" s="20"/>
      <c r="D772" s="20"/>
      <c r="E772" s="22"/>
      <c r="F772" s="22"/>
      <c r="G772" s="20"/>
    </row>
    <row r="773" customFormat="false" ht="15" hidden="false" customHeight="false" outlineLevel="0" collapsed="false">
      <c r="A773" s="21"/>
      <c r="B773" s="33" t="n">
        <f aca="false">IF($A773="",0,INT(($A773-Macrociclo!$C$11)/7)+1)</f>
        <v>0</v>
      </c>
      <c r="C773" s="20"/>
      <c r="D773" s="20"/>
      <c r="E773" s="22"/>
      <c r="F773" s="22"/>
      <c r="G773" s="20"/>
    </row>
    <row r="774" customFormat="false" ht="15" hidden="false" customHeight="false" outlineLevel="0" collapsed="false">
      <c r="A774" s="21"/>
      <c r="B774" s="33" t="n">
        <f aca="false">IF($A774="",0,INT(($A774-Macrociclo!$C$11)/7)+1)</f>
        <v>0</v>
      </c>
      <c r="C774" s="20"/>
      <c r="D774" s="20"/>
      <c r="E774" s="22"/>
      <c r="F774" s="22"/>
      <c r="G774" s="20"/>
    </row>
    <row r="775" customFormat="false" ht="15" hidden="false" customHeight="false" outlineLevel="0" collapsed="false">
      <c r="A775" s="21"/>
      <c r="B775" s="33" t="n">
        <f aca="false">IF($A775="",0,INT(($A775-Macrociclo!$C$11)/7)+1)</f>
        <v>0</v>
      </c>
      <c r="C775" s="20"/>
      <c r="D775" s="20"/>
      <c r="E775" s="22"/>
      <c r="F775" s="22"/>
      <c r="G775" s="20"/>
    </row>
    <row r="776" customFormat="false" ht="15" hidden="false" customHeight="false" outlineLevel="0" collapsed="false">
      <c r="A776" s="21"/>
      <c r="B776" s="33" t="n">
        <f aca="false">IF($A776="",0,INT(($A776-Macrociclo!$C$11)/7)+1)</f>
        <v>0</v>
      </c>
      <c r="C776" s="20"/>
      <c r="D776" s="20"/>
      <c r="E776" s="22"/>
      <c r="F776" s="22"/>
      <c r="G776" s="20"/>
    </row>
    <row r="777" customFormat="false" ht="15" hidden="false" customHeight="false" outlineLevel="0" collapsed="false">
      <c r="A777" s="21"/>
      <c r="B777" s="33" t="n">
        <f aca="false">IF($A777="",0,INT(($A777-Macrociclo!$C$11)/7)+1)</f>
        <v>0</v>
      </c>
      <c r="C777" s="20"/>
      <c r="D777" s="20"/>
      <c r="E777" s="22"/>
      <c r="F777" s="22"/>
      <c r="G777" s="20"/>
    </row>
    <row r="778" customFormat="false" ht="15" hidden="false" customHeight="false" outlineLevel="0" collapsed="false">
      <c r="A778" s="21"/>
      <c r="B778" s="33" t="n">
        <f aca="false">IF($A778="",0,INT(($A778-Macrociclo!$C$11)/7)+1)</f>
        <v>0</v>
      </c>
      <c r="C778" s="20"/>
      <c r="D778" s="20"/>
      <c r="E778" s="22"/>
      <c r="F778" s="22"/>
      <c r="G778" s="20"/>
    </row>
    <row r="779" customFormat="false" ht="15" hidden="false" customHeight="false" outlineLevel="0" collapsed="false">
      <c r="A779" s="21"/>
      <c r="B779" s="33" t="n">
        <f aca="false">IF($A779="",0,INT(($A779-Macrociclo!$C$11)/7)+1)</f>
        <v>0</v>
      </c>
      <c r="C779" s="20"/>
      <c r="D779" s="20"/>
      <c r="E779" s="22"/>
      <c r="F779" s="22"/>
      <c r="G779" s="20"/>
    </row>
    <row r="780" customFormat="false" ht="15" hidden="false" customHeight="false" outlineLevel="0" collapsed="false">
      <c r="A780" s="21"/>
      <c r="B780" s="33" t="n">
        <f aca="false">IF($A780="",0,INT(($A780-Macrociclo!$C$11)/7)+1)</f>
        <v>0</v>
      </c>
      <c r="C780" s="20"/>
      <c r="D780" s="20"/>
      <c r="E780" s="22"/>
      <c r="F780" s="22"/>
      <c r="G780" s="20"/>
    </row>
    <row r="781" customFormat="false" ht="15" hidden="false" customHeight="false" outlineLevel="0" collapsed="false">
      <c r="A781" s="21"/>
      <c r="B781" s="33" t="n">
        <f aca="false">IF($A781="",0,INT(($A781-Macrociclo!$C$11)/7)+1)</f>
        <v>0</v>
      </c>
      <c r="C781" s="20"/>
      <c r="D781" s="20"/>
      <c r="E781" s="22"/>
      <c r="F781" s="22"/>
      <c r="G781" s="20"/>
    </row>
    <row r="782" customFormat="false" ht="15" hidden="false" customHeight="false" outlineLevel="0" collapsed="false">
      <c r="A782" s="21"/>
      <c r="B782" s="33" t="n">
        <f aca="false">IF($A782="",0,INT(($A782-Macrociclo!$C$11)/7)+1)</f>
        <v>0</v>
      </c>
      <c r="C782" s="20"/>
      <c r="D782" s="20"/>
      <c r="E782" s="22"/>
      <c r="F782" s="22"/>
      <c r="G782" s="20"/>
    </row>
    <row r="783" customFormat="false" ht="15" hidden="false" customHeight="false" outlineLevel="0" collapsed="false">
      <c r="A783" s="21"/>
      <c r="B783" s="33" t="n">
        <f aca="false">IF($A783="",0,INT(($A783-Macrociclo!$C$11)/7)+1)</f>
        <v>0</v>
      </c>
      <c r="C783" s="20"/>
      <c r="D783" s="20"/>
      <c r="E783" s="22"/>
      <c r="F783" s="22"/>
      <c r="G783" s="20"/>
    </row>
    <row r="784" customFormat="false" ht="15" hidden="false" customHeight="false" outlineLevel="0" collapsed="false">
      <c r="A784" s="21"/>
      <c r="B784" s="33" t="n">
        <f aca="false">IF($A784="",0,INT(($A784-Macrociclo!$C$11)/7)+1)</f>
        <v>0</v>
      </c>
      <c r="C784" s="20"/>
      <c r="D784" s="20"/>
      <c r="E784" s="22"/>
      <c r="F784" s="22"/>
      <c r="G784" s="20"/>
    </row>
    <row r="785" customFormat="false" ht="15" hidden="false" customHeight="false" outlineLevel="0" collapsed="false">
      <c r="A785" s="21"/>
      <c r="B785" s="33" t="n">
        <f aca="false">IF($A785="",0,INT(($A785-Macrociclo!$C$11)/7)+1)</f>
        <v>0</v>
      </c>
      <c r="C785" s="20"/>
      <c r="D785" s="20"/>
      <c r="E785" s="22"/>
      <c r="F785" s="22"/>
      <c r="G785" s="20"/>
    </row>
    <row r="786" customFormat="false" ht="15" hidden="false" customHeight="false" outlineLevel="0" collapsed="false">
      <c r="A786" s="21"/>
      <c r="B786" s="33" t="n">
        <f aca="false">IF($A786="",0,INT(($A786-Macrociclo!$C$11)/7)+1)</f>
        <v>0</v>
      </c>
      <c r="C786" s="20"/>
      <c r="D786" s="20"/>
      <c r="E786" s="22"/>
      <c r="F786" s="22"/>
      <c r="G786" s="20"/>
    </row>
    <row r="787" customFormat="false" ht="15" hidden="false" customHeight="false" outlineLevel="0" collapsed="false">
      <c r="A787" s="21"/>
      <c r="B787" s="33" t="n">
        <f aca="false">IF($A787="",0,INT(($A787-Macrociclo!$C$11)/7)+1)</f>
        <v>0</v>
      </c>
      <c r="C787" s="20"/>
      <c r="D787" s="20"/>
      <c r="E787" s="22"/>
      <c r="F787" s="22"/>
      <c r="G787" s="20"/>
    </row>
    <row r="788" customFormat="false" ht="15" hidden="false" customHeight="false" outlineLevel="0" collapsed="false">
      <c r="A788" s="21"/>
      <c r="B788" s="33" t="n">
        <f aca="false">IF($A788="",0,INT(($A788-Macrociclo!$C$11)/7)+1)</f>
        <v>0</v>
      </c>
      <c r="C788" s="20"/>
      <c r="D788" s="20"/>
      <c r="E788" s="22"/>
      <c r="F788" s="22"/>
      <c r="G788" s="20"/>
    </row>
    <row r="789" customFormat="false" ht="15" hidden="false" customHeight="false" outlineLevel="0" collapsed="false">
      <c r="A789" s="21"/>
      <c r="B789" s="33" t="n">
        <f aca="false">IF($A789="",0,INT(($A789-Macrociclo!$C$11)/7)+1)</f>
        <v>0</v>
      </c>
      <c r="C789" s="20"/>
      <c r="D789" s="20"/>
      <c r="E789" s="22"/>
      <c r="F789" s="22"/>
      <c r="G789" s="20"/>
    </row>
    <row r="790" customFormat="false" ht="15" hidden="false" customHeight="false" outlineLevel="0" collapsed="false">
      <c r="A790" s="21"/>
      <c r="B790" s="33" t="n">
        <f aca="false">IF($A790="",0,INT(($A790-Macrociclo!$C$11)/7)+1)</f>
        <v>0</v>
      </c>
      <c r="C790" s="20"/>
      <c r="D790" s="20"/>
      <c r="E790" s="22"/>
      <c r="F790" s="22"/>
      <c r="G790" s="20"/>
    </row>
    <row r="791" customFormat="false" ht="15" hidden="false" customHeight="false" outlineLevel="0" collapsed="false">
      <c r="A791" s="21"/>
      <c r="B791" s="33" t="n">
        <f aca="false">IF($A791="",0,INT(($A791-Macrociclo!$C$11)/7)+1)</f>
        <v>0</v>
      </c>
      <c r="C791" s="20"/>
      <c r="D791" s="20"/>
      <c r="E791" s="22"/>
      <c r="F791" s="22"/>
      <c r="G791" s="20"/>
    </row>
    <row r="792" customFormat="false" ht="15" hidden="false" customHeight="false" outlineLevel="0" collapsed="false">
      <c r="A792" s="21"/>
      <c r="B792" s="33" t="n">
        <f aca="false">IF($A792="",0,INT(($A792-Macrociclo!$C$11)/7)+1)</f>
        <v>0</v>
      </c>
      <c r="C792" s="20"/>
      <c r="D792" s="20"/>
      <c r="E792" s="22"/>
      <c r="F792" s="22"/>
      <c r="G792" s="20"/>
    </row>
    <row r="793" customFormat="false" ht="15" hidden="false" customHeight="false" outlineLevel="0" collapsed="false">
      <c r="A793" s="21"/>
      <c r="B793" s="33" t="n">
        <f aca="false">IF($A793="",0,INT(($A793-Macrociclo!$C$11)/7)+1)</f>
        <v>0</v>
      </c>
      <c r="C793" s="20"/>
      <c r="D793" s="20"/>
      <c r="E793" s="22"/>
      <c r="F793" s="22"/>
      <c r="G793" s="20"/>
    </row>
    <row r="794" customFormat="false" ht="15" hidden="false" customHeight="false" outlineLevel="0" collapsed="false">
      <c r="A794" s="21"/>
      <c r="B794" s="33" t="n">
        <f aca="false">IF($A794="",0,INT(($A794-Macrociclo!$C$11)/7)+1)</f>
        <v>0</v>
      </c>
      <c r="C794" s="20"/>
      <c r="D794" s="20"/>
      <c r="E794" s="22"/>
      <c r="F794" s="22"/>
      <c r="G794" s="20"/>
    </row>
    <row r="795" customFormat="false" ht="15" hidden="false" customHeight="false" outlineLevel="0" collapsed="false">
      <c r="A795" s="21"/>
      <c r="B795" s="33" t="n">
        <f aca="false">IF($A795="",0,INT(($A795-Macrociclo!$C$11)/7)+1)</f>
        <v>0</v>
      </c>
      <c r="C795" s="20"/>
      <c r="D795" s="20"/>
      <c r="E795" s="22"/>
      <c r="F795" s="22"/>
      <c r="G795" s="20"/>
    </row>
    <row r="796" customFormat="false" ht="15" hidden="false" customHeight="false" outlineLevel="0" collapsed="false">
      <c r="A796" s="21"/>
      <c r="B796" s="33" t="n">
        <f aca="false">IF($A796="",0,INT(($A796-Macrociclo!$C$11)/7)+1)</f>
        <v>0</v>
      </c>
      <c r="C796" s="20"/>
      <c r="D796" s="20"/>
      <c r="E796" s="22"/>
      <c r="F796" s="22"/>
      <c r="G796" s="20"/>
    </row>
    <row r="797" customFormat="false" ht="15" hidden="false" customHeight="false" outlineLevel="0" collapsed="false">
      <c r="A797" s="21"/>
      <c r="B797" s="33" t="n">
        <f aca="false">IF($A797="",0,INT(($A797-Macrociclo!$C$11)/7)+1)</f>
        <v>0</v>
      </c>
      <c r="C797" s="20"/>
      <c r="D797" s="20"/>
      <c r="E797" s="22"/>
      <c r="F797" s="22"/>
      <c r="G797" s="20"/>
    </row>
    <row r="798" customFormat="false" ht="15" hidden="false" customHeight="false" outlineLevel="0" collapsed="false">
      <c r="A798" s="21"/>
      <c r="B798" s="33" t="n">
        <f aca="false">IF($A798="",0,INT(($A798-Macrociclo!$C$11)/7)+1)</f>
        <v>0</v>
      </c>
      <c r="C798" s="20"/>
      <c r="D798" s="20"/>
      <c r="E798" s="22"/>
      <c r="F798" s="22"/>
      <c r="G798" s="20"/>
    </row>
    <row r="799" customFormat="false" ht="15" hidden="false" customHeight="false" outlineLevel="0" collapsed="false">
      <c r="A799" s="21"/>
      <c r="B799" s="33" t="n">
        <f aca="false">IF($A799="",0,INT(($A799-Macrociclo!$C$11)/7)+1)</f>
        <v>0</v>
      </c>
      <c r="C799" s="20"/>
      <c r="D799" s="20"/>
      <c r="E799" s="22"/>
      <c r="F799" s="22"/>
      <c r="G799" s="20"/>
    </row>
    <row r="800" customFormat="false" ht="15" hidden="false" customHeight="false" outlineLevel="0" collapsed="false">
      <c r="A800" s="21"/>
      <c r="B800" s="33" t="n">
        <f aca="false">IF($A800="",0,INT(($A800-Macrociclo!$C$11)/7)+1)</f>
        <v>0</v>
      </c>
      <c r="C800" s="20"/>
      <c r="D800" s="20"/>
      <c r="E800" s="22"/>
      <c r="F800" s="22"/>
      <c r="G800" s="20"/>
    </row>
    <row r="801" customFormat="false" ht="15" hidden="false" customHeight="false" outlineLevel="0" collapsed="false">
      <c r="A801" s="21"/>
      <c r="B801" s="33" t="n">
        <f aca="false">IF($A801="",0,INT(($A801-Macrociclo!$C$11)/7)+1)</f>
        <v>0</v>
      </c>
      <c r="C801" s="20"/>
      <c r="D801" s="20"/>
      <c r="E801" s="22"/>
      <c r="F801" s="22"/>
      <c r="G801" s="20"/>
    </row>
    <row r="802" customFormat="false" ht="15" hidden="false" customHeight="false" outlineLevel="0" collapsed="false">
      <c r="A802" s="21"/>
      <c r="B802" s="33" t="n">
        <f aca="false">IF($A802="",0,INT(($A802-Macrociclo!$C$11)/7)+1)</f>
        <v>0</v>
      </c>
      <c r="C802" s="20"/>
      <c r="D802" s="20"/>
      <c r="E802" s="22"/>
      <c r="F802" s="22"/>
      <c r="G802" s="20"/>
    </row>
    <row r="803" customFormat="false" ht="15" hidden="false" customHeight="false" outlineLevel="0" collapsed="false">
      <c r="A803" s="21"/>
      <c r="B803" s="33" t="n">
        <f aca="false">IF($A803="",0,INT(($A803-Macrociclo!$C$11)/7)+1)</f>
        <v>0</v>
      </c>
      <c r="C803" s="20"/>
      <c r="D803" s="20"/>
      <c r="E803" s="22"/>
      <c r="F803" s="22"/>
      <c r="G803" s="20"/>
    </row>
    <row r="804" customFormat="false" ht="15" hidden="false" customHeight="false" outlineLevel="0" collapsed="false">
      <c r="A804" s="21"/>
      <c r="B804" s="33" t="n">
        <f aca="false">IF($A804="",0,INT(($A804-Macrociclo!$C$11)/7)+1)</f>
        <v>0</v>
      </c>
      <c r="C804" s="20"/>
      <c r="D804" s="20"/>
      <c r="E804" s="22"/>
      <c r="F804" s="22"/>
      <c r="G804" s="20"/>
    </row>
    <row r="805" customFormat="false" ht="15" hidden="false" customHeight="false" outlineLevel="0" collapsed="false">
      <c r="A805" s="21"/>
      <c r="B805" s="33" t="n">
        <f aca="false">IF($A805="",0,INT(($A805-Macrociclo!$C$11)/7)+1)</f>
        <v>0</v>
      </c>
      <c r="C805" s="20"/>
      <c r="D805" s="20"/>
      <c r="E805" s="22"/>
      <c r="F805" s="22"/>
      <c r="G805" s="20"/>
    </row>
    <row r="806" customFormat="false" ht="15" hidden="false" customHeight="false" outlineLevel="0" collapsed="false">
      <c r="A806" s="21"/>
      <c r="B806" s="33" t="n">
        <f aca="false">IF($A806="",0,INT(($A806-Macrociclo!$C$11)/7)+1)</f>
        <v>0</v>
      </c>
      <c r="C806" s="20"/>
      <c r="D806" s="20"/>
      <c r="E806" s="22"/>
      <c r="F806" s="22"/>
      <c r="G806" s="20"/>
    </row>
    <row r="807" customFormat="false" ht="15" hidden="false" customHeight="false" outlineLevel="0" collapsed="false">
      <c r="A807" s="21"/>
      <c r="B807" s="33" t="n">
        <f aca="false">IF($A807="",0,INT(($A807-Macrociclo!$C$11)/7)+1)</f>
        <v>0</v>
      </c>
      <c r="C807" s="20"/>
      <c r="D807" s="20"/>
      <c r="E807" s="22"/>
      <c r="F807" s="22"/>
      <c r="G807" s="20"/>
    </row>
    <row r="808" customFormat="false" ht="15" hidden="false" customHeight="false" outlineLevel="0" collapsed="false">
      <c r="A808" s="21"/>
      <c r="B808" s="33" t="n">
        <f aca="false">IF($A808="",0,INT(($A808-Macrociclo!$C$11)/7)+1)</f>
        <v>0</v>
      </c>
      <c r="C808" s="20"/>
      <c r="D808" s="20"/>
      <c r="E808" s="22"/>
      <c r="F808" s="22"/>
      <c r="G808" s="20"/>
    </row>
    <row r="809" customFormat="false" ht="15" hidden="false" customHeight="false" outlineLevel="0" collapsed="false">
      <c r="A809" s="21"/>
      <c r="B809" s="33" t="n">
        <f aca="false">IF($A809="",0,INT(($A809-Macrociclo!$C$11)/7)+1)</f>
        <v>0</v>
      </c>
      <c r="C809" s="20"/>
      <c r="D809" s="20"/>
      <c r="E809" s="22"/>
      <c r="F809" s="22"/>
      <c r="G809" s="20"/>
    </row>
    <row r="810" customFormat="false" ht="15" hidden="false" customHeight="false" outlineLevel="0" collapsed="false">
      <c r="A810" s="21"/>
      <c r="B810" s="33" t="n">
        <f aca="false">IF($A810="",0,INT(($A810-Macrociclo!$C$11)/7)+1)</f>
        <v>0</v>
      </c>
      <c r="C810" s="20"/>
      <c r="D810" s="20"/>
      <c r="E810" s="22"/>
      <c r="F810" s="22"/>
      <c r="G810" s="20"/>
    </row>
    <row r="811" customFormat="false" ht="15" hidden="false" customHeight="false" outlineLevel="0" collapsed="false">
      <c r="A811" s="21"/>
      <c r="B811" s="33" t="n">
        <f aca="false">IF($A811="",0,INT(($A811-Macrociclo!$C$11)/7)+1)</f>
        <v>0</v>
      </c>
      <c r="C811" s="20"/>
      <c r="D811" s="20"/>
      <c r="E811" s="22"/>
      <c r="F811" s="22"/>
      <c r="G811" s="20"/>
    </row>
    <row r="812" customFormat="false" ht="15" hidden="false" customHeight="false" outlineLevel="0" collapsed="false">
      <c r="A812" s="21"/>
      <c r="B812" s="33" t="n">
        <f aca="false">IF($A812="",0,INT(($A812-Macrociclo!$C$11)/7)+1)</f>
        <v>0</v>
      </c>
      <c r="C812" s="20"/>
      <c r="D812" s="20"/>
      <c r="E812" s="22"/>
      <c r="F812" s="22"/>
      <c r="G812" s="20"/>
    </row>
    <row r="813" customFormat="false" ht="15" hidden="false" customHeight="false" outlineLevel="0" collapsed="false">
      <c r="A813" s="21"/>
      <c r="B813" s="33" t="n">
        <f aca="false">IF($A813="",0,INT(($A813-Macrociclo!$C$11)/7)+1)</f>
        <v>0</v>
      </c>
      <c r="C813" s="20"/>
      <c r="D813" s="20"/>
      <c r="E813" s="22"/>
      <c r="F813" s="22"/>
      <c r="G813" s="20"/>
    </row>
    <row r="814" customFormat="false" ht="15" hidden="false" customHeight="false" outlineLevel="0" collapsed="false">
      <c r="A814" s="21"/>
      <c r="B814" s="33" t="n">
        <f aca="false">IF($A814="",0,INT(($A814-Macrociclo!$C$11)/7)+1)</f>
        <v>0</v>
      </c>
      <c r="C814" s="20"/>
      <c r="D814" s="20"/>
      <c r="E814" s="22"/>
      <c r="F814" s="22"/>
      <c r="G814" s="20"/>
    </row>
    <row r="815" customFormat="false" ht="15" hidden="false" customHeight="false" outlineLevel="0" collapsed="false">
      <c r="A815" s="21"/>
      <c r="B815" s="33" t="n">
        <f aca="false">IF($A815="",0,INT(($A815-Macrociclo!$C$11)/7)+1)</f>
        <v>0</v>
      </c>
      <c r="C815" s="20"/>
      <c r="D815" s="20"/>
      <c r="E815" s="22"/>
      <c r="F815" s="22"/>
      <c r="G815" s="20"/>
    </row>
    <row r="816" customFormat="false" ht="15" hidden="false" customHeight="false" outlineLevel="0" collapsed="false">
      <c r="A816" s="21"/>
      <c r="B816" s="33" t="n">
        <f aca="false">IF($A816="",0,INT(($A816-Macrociclo!$C$11)/7)+1)</f>
        <v>0</v>
      </c>
      <c r="C816" s="20"/>
      <c r="D816" s="20"/>
      <c r="E816" s="22"/>
      <c r="F816" s="22"/>
      <c r="G816" s="20"/>
    </row>
    <row r="817" customFormat="false" ht="15" hidden="false" customHeight="false" outlineLevel="0" collapsed="false">
      <c r="A817" s="21"/>
      <c r="B817" s="33" t="n">
        <f aca="false">IF($A817="",0,INT(($A817-Macrociclo!$C$11)/7)+1)</f>
        <v>0</v>
      </c>
      <c r="C817" s="20"/>
      <c r="D817" s="20"/>
      <c r="E817" s="22"/>
      <c r="F817" s="22"/>
      <c r="G817" s="20"/>
    </row>
    <row r="818" customFormat="false" ht="15" hidden="false" customHeight="false" outlineLevel="0" collapsed="false">
      <c r="A818" s="21"/>
      <c r="B818" s="33" t="n">
        <f aca="false">IF($A818="",0,INT(($A818-Macrociclo!$C$11)/7)+1)</f>
        <v>0</v>
      </c>
      <c r="C818" s="20"/>
      <c r="D818" s="20"/>
      <c r="E818" s="22"/>
      <c r="F818" s="22"/>
      <c r="G818" s="20"/>
    </row>
    <row r="819" customFormat="false" ht="15" hidden="false" customHeight="false" outlineLevel="0" collapsed="false">
      <c r="A819" s="21"/>
      <c r="B819" s="33" t="n">
        <f aca="false">IF($A819="",0,INT(($A819-Macrociclo!$C$11)/7)+1)</f>
        <v>0</v>
      </c>
      <c r="C819" s="20"/>
      <c r="D819" s="20"/>
      <c r="E819" s="22"/>
      <c r="F819" s="22"/>
      <c r="G819" s="20"/>
    </row>
    <row r="820" customFormat="false" ht="15" hidden="false" customHeight="false" outlineLevel="0" collapsed="false">
      <c r="A820" s="21"/>
      <c r="B820" s="33" t="n">
        <f aca="false">IF($A820="",0,INT(($A820-Macrociclo!$C$11)/7)+1)</f>
        <v>0</v>
      </c>
      <c r="C820" s="20"/>
      <c r="D820" s="20"/>
      <c r="E820" s="22"/>
      <c r="F820" s="22"/>
      <c r="G820" s="20"/>
    </row>
    <row r="821" customFormat="false" ht="15" hidden="false" customHeight="false" outlineLevel="0" collapsed="false">
      <c r="A821" s="21"/>
      <c r="B821" s="33" t="n">
        <f aca="false">IF($A821="",0,INT(($A821-Macrociclo!$C$11)/7)+1)</f>
        <v>0</v>
      </c>
      <c r="C821" s="20"/>
      <c r="D821" s="20"/>
      <c r="E821" s="22"/>
      <c r="F821" s="22"/>
      <c r="G821" s="20"/>
    </row>
    <row r="822" customFormat="false" ht="15" hidden="false" customHeight="false" outlineLevel="0" collapsed="false">
      <c r="A822" s="21"/>
      <c r="B822" s="33" t="n">
        <f aca="false">IF($A822="",0,INT(($A822-Macrociclo!$C$11)/7)+1)</f>
        <v>0</v>
      </c>
      <c r="C822" s="20"/>
      <c r="D822" s="20"/>
      <c r="E822" s="22"/>
      <c r="F822" s="22"/>
      <c r="G822" s="20"/>
    </row>
    <row r="823" customFormat="false" ht="15" hidden="false" customHeight="false" outlineLevel="0" collapsed="false">
      <c r="A823" s="21"/>
      <c r="B823" s="33" t="n">
        <f aca="false">IF($A823="",0,INT(($A823-Macrociclo!$C$11)/7)+1)</f>
        <v>0</v>
      </c>
      <c r="C823" s="20"/>
      <c r="D823" s="20"/>
      <c r="E823" s="22"/>
      <c r="F823" s="22"/>
      <c r="G823" s="20"/>
    </row>
    <row r="824" customFormat="false" ht="15" hidden="false" customHeight="false" outlineLevel="0" collapsed="false">
      <c r="A824" s="21"/>
      <c r="B824" s="33" t="n">
        <f aca="false">IF($A824="",0,INT(($A824-Macrociclo!$C$11)/7)+1)</f>
        <v>0</v>
      </c>
      <c r="C824" s="20"/>
      <c r="D824" s="20"/>
      <c r="E824" s="22"/>
      <c r="F824" s="22"/>
      <c r="G824" s="20"/>
    </row>
    <row r="825" customFormat="false" ht="15" hidden="false" customHeight="false" outlineLevel="0" collapsed="false">
      <c r="A825" s="21"/>
      <c r="B825" s="33" t="n">
        <f aca="false">IF($A825="",0,INT(($A825-Macrociclo!$C$11)/7)+1)</f>
        <v>0</v>
      </c>
      <c r="C825" s="20"/>
      <c r="D825" s="20"/>
      <c r="E825" s="22"/>
      <c r="F825" s="22"/>
      <c r="G825" s="20"/>
    </row>
    <row r="826" customFormat="false" ht="15" hidden="false" customHeight="false" outlineLevel="0" collapsed="false">
      <c r="A826" s="21"/>
      <c r="B826" s="33" t="n">
        <f aca="false">IF($A826="",0,INT(($A826-Macrociclo!$C$11)/7)+1)</f>
        <v>0</v>
      </c>
      <c r="C826" s="20"/>
      <c r="D826" s="20"/>
      <c r="E826" s="22"/>
      <c r="F826" s="22"/>
      <c r="G826" s="20"/>
    </row>
    <row r="827" customFormat="false" ht="15" hidden="false" customHeight="false" outlineLevel="0" collapsed="false">
      <c r="A827" s="21"/>
      <c r="B827" s="33" t="n">
        <f aca="false">IF($A827="",0,INT(($A827-Macrociclo!$C$11)/7)+1)</f>
        <v>0</v>
      </c>
      <c r="C827" s="20"/>
      <c r="D827" s="20"/>
      <c r="E827" s="22"/>
      <c r="F827" s="22"/>
      <c r="G827" s="20"/>
    </row>
    <row r="828" customFormat="false" ht="15" hidden="false" customHeight="false" outlineLevel="0" collapsed="false">
      <c r="A828" s="21"/>
      <c r="B828" s="33" t="n">
        <f aca="false">IF($A828="",0,INT(($A828-Macrociclo!$C$11)/7)+1)</f>
        <v>0</v>
      </c>
      <c r="C828" s="20"/>
      <c r="D828" s="20"/>
      <c r="E828" s="22"/>
      <c r="F828" s="22"/>
      <c r="G828" s="20"/>
    </row>
    <row r="829" customFormat="false" ht="15" hidden="false" customHeight="false" outlineLevel="0" collapsed="false">
      <c r="A829" s="21"/>
      <c r="B829" s="33" t="n">
        <f aca="false">IF($A829="",0,INT(($A829-Macrociclo!$C$11)/7)+1)</f>
        <v>0</v>
      </c>
      <c r="C829" s="20"/>
      <c r="D829" s="20"/>
      <c r="E829" s="22"/>
      <c r="F829" s="22"/>
      <c r="G829" s="20"/>
    </row>
    <row r="830" customFormat="false" ht="15" hidden="false" customHeight="false" outlineLevel="0" collapsed="false">
      <c r="A830" s="21"/>
      <c r="B830" s="33" t="n">
        <f aca="false">IF($A830="",0,INT(($A830-Macrociclo!$C$11)/7)+1)</f>
        <v>0</v>
      </c>
      <c r="C830" s="20"/>
      <c r="D830" s="20"/>
      <c r="E830" s="22"/>
      <c r="F830" s="22"/>
      <c r="G830" s="20"/>
    </row>
    <row r="831" customFormat="false" ht="15" hidden="false" customHeight="false" outlineLevel="0" collapsed="false">
      <c r="A831" s="21"/>
      <c r="B831" s="33" t="n">
        <f aca="false">IF($A831="",0,INT(($A831-Macrociclo!$C$11)/7)+1)</f>
        <v>0</v>
      </c>
      <c r="C831" s="20"/>
      <c r="D831" s="20"/>
      <c r="E831" s="22"/>
      <c r="F831" s="22"/>
      <c r="G831" s="20"/>
    </row>
    <row r="832" customFormat="false" ht="15" hidden="false" customHeight="false" outlineLevel="0" collapsed="false">
      <c r="A832" s="21"/>
      <c r="B832" s="33" t="n">
        <f aca="false">IF($A832="",0,INT(($A832-Macrociclo!$C$11)/7)+1)</f>
        <v>0</v>
      </c>
      <c r="C832" s="20"/>
      <c r="D832" s="20"/>
      <c r="E832" s="22"/>
      <c r="F832" s="22"/>
      <c r="G832" s="20"/>
    </row>
    <row r="833" customFormat="false" ht="15" hidden="false" customHeight="false" outlineLevel="0" collapsed="false">
      <c r="A833" s="21"/>
      <c r="B833" s="33" t="n">
        <f aca="false">IF($A833="",0,INT(($A833-Macrociclo!$C$11)/7)+1)</f>
        <v>0</v>
      </c>
      <c r="C833" s="20"/>
      <c r="D833" s="20"/>
      <c r="E833" s="22"/>
      <c r="F833" s="22"/>
      <c r="G833" s="20"/>
    </row>
    <row r="834" customFormat="false" ht="15" hidden="false" customHeight="false" outlineLevel="0" collapsed="false">
      <c r="A834" s="21"/>
      <c r="B834" s="33" t="n">
        <f aca="false">IF($A834="",0,INT(($A834-Macrociclo!$C$11)/7)+1)</f>
        <v>0</v>
      </c>
      <c r="C834" s="20"/>
      <c r="D834" s="20"/>
      <c r="E834" s="22"/>
      <c r="F834" s="22"/>
      <c r="G834" s="20"/>
    </row>
    <row r="835" customFormat="false" ht="15" hidden="false" customHeight="false" outlineLevel="0" collapsed="false">
      <c r="A835" s="21"/>
      <c r="B835" s="33" t="n">
        <f aca="false">IF($A835="",0,INT(($A835-Macrociclo!$C$11)/7)+1)</f>
        <v>0</v>
      </c>
      <c r="C835" s="20"/>
      <c r="D835" s="20"/>
      <c r="E835" s="22"/>
      <c r="F835" s="22"/>
      <c r="G835" s="20"/>
    </row>
    <row r="836" customFormat="false" ht="15" hidden="false" customHeight="false" outlineLevel="0" collapsed="false">
      <c r="A836" s="21"/>
      <c r="B836" s="33" t="n">
        <f aca="false">IF($A836="",0,INT(($A836-Macrociclo!$C$11)/7)+1)</f>
        <v>0</v>
      </c>
      <c r="C836" s="20"/>
      <c r="D836" s="20"/>
      <c r="E836" s="22"/>
      <c r="F836" s="22"/>
      <c r="G836" s="20"/>
    </row>
    <row r="837" customFormat="false" ht="15" hidden="false" customHeight="false" outlineLevel="0" collapsed="false">
      <c r="A837" s="21"/>
      <c r="B837" s="33" t="n">
        <f aca="false">IF($A837="",0,INT(($A837-Macrociclo!$C$11)/7)+1)</f>
        <v>0</v>
      </c>
      <c r="C837" s="20"/>
      <c r="D837" s="20"/>
      <c r="E837" s="22"/>
      <c r="F837" s="22"/>
      <c r="G837" s="20"/>
    </row>
    <row r="838" customFormat="false" ht="15" hidden="false" customHeight="false" outlineLevel="0" collapsed="false">
      <c r="A838" s="21"/>
      <c r="B838" s="33" t="n">
        <f aca="false">IF($A838="",0,INT(($A838-Macrociclo!$C$11)/7)+1)</f>
        <v>0</v>
      </c>
      <c r="C838" s="20"/>
      <c r="D838" s="20"/>
      <c r="E838" s="22"/>
      <c r="F838" s="22"/>
      <c r="G838" s="20"/>
    </row>
    <row r="839" customFormat="false" ht="15" hidden="false" customHeight="false" outlineLevel="0" collapsed="false">
      <c r="A839" s="21"/>
      <c r="B839" s="33" t="n">
        <f aca="false">IF($A839="",0,INT(($A839-Macrociclo!$C$11)/7)+1)</f>
        <v>0</v>
      </c>
      <c r="C839" s="20"/>
      <c r="D839" s="20"/>
      <c r="E839" s="22"/>
      <c r="F839" s="22"/>
      <c r="G839" s="20"/>
    </row>
    <row r="840" customFormat="false" ht="15" hidden="false" customHeight="false" outlineLevel="0" collapsed="false">
      <c r="A840" s="21"/>
      <c r="B840" s="33" t="n">
        <f aca="false">IF($A840="",0,INT(($A840-Macrociclo!$C$11)/7)+1)</f>
        <v>0</v>
      </c>
      <c r="C840" s="20"/>
      <c r="D840" s="20"/>
      <c r="E840" s="22"/>
      <c r="F840" s="22"/>
      <c r="G840" s="20"/>
    </row>
    <row r="841" customFormat="false" ht="15" hidden="false" customHeight="false" outlineLevel="0" collapsed="false">
      <c r="A841" s="21"/>
      <c r="B841" s="33" t="n">
        <f aca="false">IF($A841="",0,INT(($A841-Macrociclo!$C$11)/7)+1)</f>
        <v>0</v>
      </c>
      <c r="C841" s="20"/>
      <c r="D841" s="20"/>
      <c r="E841" s="22"/>
      <c r="F841" s="22"/>
      <c r="G841" s="20"/>
    </row>
    <row r="842" customFormat="false" ht="15" hidden="false" customHeight="false" outlineLevel="0" collapsed="false">
      <c r="A842" s="21"/>
      <c r="B842" s="33" t="n">
        <f aca="false">IF($A842="",0,INT(($A842-Macrociclo!$C$11)/7)+1)</f>
        <v>0</v>
      </c>
      <c r="C842" s="20"/>
      <c r="D842" s="20"/>
      <c r="E842" s="22"/>
      <c r="F842" s="22"/>
      <c r="G842" s="20"/>
    </row>
    <row r="843" customFormat="false" ht="15" hidden="false" customHeight="false" outlineLevel="0" collapsed="false">
      <c r="A843" s="21"/>
      <c r="B843" s="33" t="n">
        <f aca="false">IF($A843="",0,INT(($A843-Macrociclo!$C$11)/7)+1)</f>
        <v>0</v>
      </c>
      <c r="C843" s="20"/>
      <c r="D843" s="20"/>
      <c r="E843" s="22"/>
      <c r="F843" s="22"/>
      <c r="G843" s="20"/>
    </row>
    <row r="844" customFormat="false" ht="15" hidden="false" customHeight="false" outlineLevel="0" collapsed="false">
      <c r="A844" s="21"/>
      <c r="B844" s="33" t="n">
        <f aca="false">IF($A844="",0,INT(($A844-Macrociclo!$C$11)/7)+1)</f>
        <v>0</v>
      </c>
      <c r="C844" s="20"/>
      <c r="D844" s="20"/>
      <c r="E844" s="22"/>
      <c r="F844" s="22"/>
      <c r="G844" s="20"/>
    </row>
    <row r="845" customFormat="false" ht="15" hidden="false" customHeight="false" outlineLevel="0" collapsed="false">
      <c r="A845" s="21"/>
      <c r="B845" s="33" t="n">
        <f aca="false">IF($A845="",0,INT(($A845-Macrociclo!$C$11)/7)+1)</f>
        <v>0</v>
      </c>
      <c r="C845" s="20"/>
      <c r="D845" s="20"/>
      <c r="E845" s="22"/>
      <c r="F845" s="22"/>
      <c r="G845" s="20"/>
    </row>
    <row r="846" customFormat="false" ht="15" hidden="false" customHeight="false" outlineLevel="0" collapsed="false">
      <c r="A846" s="21"/>
      <c r="B846" s="33" t="n">
        <f aca="false">IF($A846="",0,INT(($A846-Macrociclo!$C$11)/7)+1)</f>
        <v>0</v>
      </c>
      <c r="C846" s="20"/>
      <c r="D846" s="20"/>
      <c r="E846" s="22"/>
      <c r="F846" s="22"/>
      <c r="G846" s="20"/>
    </row>
    <row r="847" customFormat="false" ht="15" hidden="false" customHeight="false" outlineLevel="0" collapsed="false">
      <c r="A847" s="21"/>
      <c r="B847" s="33" t="n">
        <f aca="false">IF($A847="",0,INT(($A847-Macrociclo!$C$11)/7)+1)</f>
        <v>0</v>
      </c>
      <c r="C847" s="20"/>
      <c r="D847" s="20"/>
      <c r="E847" s="22"/>
      <c r="F847" s="22"/>
      <c r="G847" s="20"/>
    </row>
    <row r="848" customFormat="false" ht="15" hidden="false" customHeight="false" outlineLevel="0" collapsed="false">
      <c r="A848" s="21"/>
      <c r="B848" s="33" t="n">
        <f aca="false">IF($A848="",0,INT(($A848-Macrociclo!$C$11)/7)+1)</f>
        <v>0</v>
      </c>
      <c r="C848" s="20"/>
      <c r="D848" s="20"/>
      <c r="E848" s="22"/>
      <c r="F848" s="22"/>
      <c r="G848" s="20"/>
    </row>
    <row r="849" customFormat="false" ht="15" hidden="false" customHeight="false" outlineLevel="0" collapsed="false">
      <c r="A849" s="21"/>
      <c r="B849" s="33" t="n">
        <f aca="false">IF($A849="",0,INT(($A849-Macrociclo!$C$11)/7)+1)</f>
        <v>0</v>
      </c>
      <c r="C849" s="20"/>
      <c r="D849" s="20"/>
      <c r="E849" s="22"/>
      <c r="F849" s="22"/>
      <c r="G849" s="20"/>
    </row>
    <row r="850" customFormat="false" ht="15" hidden="false" customHeight="false" outlineLevel="0" collapsed="false">
      <c r="A850" s="21"/>
      <c r="B850" s="33" t="n">
        <f aca="false">IF($A850="",0,INT(($A850-Macrociclo!$C$11)/7)+1)</f>
        <v>0</v>
      </c>
      <c r="C850" s="20"/>
      <c r="D850" s="20"/>
      <c r="E850" s="22"/>
      <c r="F850" s="22"/>
      <c r="G850" s="20"/>
    </row>
    <row r="851" customFormat="false" ht="15" hidden="false" customHeight="false" outlineLevel="0" collapsed="false">
      <c r="A851" s="21"/>
      <c r="B851" s="33" t="n">
        <f aca="false">IF($A851="",0,INT(($A851-Macrociclo!$C$11)/7)+1)</f>
        <v>0</v>
      </c>
      <c r="C851" s="20"/>
      <c r="D851" s="20"/>
      <c r="E851" s="22"/>
      <c r="F851" s="22"/>
      <c r="G851" s="20"/>
    </row>
    <row r="852" customFormat="false" ht="15" hidden="false" customHeight="false" outlineLevel="0" collapsed="false">
      <c r="A852" s="21"/>
      <c r="B852" s="33" t="n">
        <f aca="false">IF($A852="",0,INT(($A852-Macrociclo!$C$11)/7)+1)</f>
        <v>0</v>
      </c>
      <c r="C852" s="20"/>
      <c r="D852" s="20"/>
      <c r="E852" s="22"/>
      <c r="F852" s="22"/>
      <c r="G852" s="20"/>
    </row>
    <row r="853" customFormat="false" ht="15" hidden="false" customHeight="false" outlineLevel="0" collapsed="false">
      <c r="A853" s="21"/>
      <c r="B853" s="33" t="n">
        <f aca="false">IF($A853="",0,INT(($A853-Macrociclo!$C$11)/7)+1)</f>
        <v>0</v>
      </c>
      <c r="C853" s="20"/>
      <c r="D853" s="20"/>
      <c r="E853" s="22"/>
      <c r="F853" s="22"/>
      <c r="G853" s="20"/>
    </row>
    <row r="854" customFormat="false" ht="15" hidden="false" customHeight="false" outlineLevel="0" collapsed="false">
      <c r="A854" s="21"/>
      <c r="B854" s="33" t="n">
        <f aca="false">IF($A854="",0,INT(($A854-Macrociclo!$C$11)/7)+1)</f>
        <v>0</v>
      </c>
      <c r="C854" s="20"/>
      <c r="D854" s="20"/>
      <c r="E854" s="22"/>
      <c r="F854" s="22"/>
      <c r="G854" s="20"/>
    </row>
    <row r="855" customFormat="false" ht="15" hidden="false" customHeight="false" outlineLevel="0" collapsed="false">
      <c r="A855" s="21"/>
      <c r="B855" s="33" t="n">
        <f aca="false">IF($A855="",0,INT(($A855-Macrociclo!$C$11)/7)+1)</f>
        <v>0</v>
      </c>
      <c r="C855" s="20"/>
      <c r="D855" s="20"/>
      <c r="E855" s="22"/>
      <c r="F855" s="22"/>
      <c r="G855" s="20"/>
    </row>
    <row r="856" customFormat="false" ht="15" hidden="false" customHeight="false" outlineLevel="0" collapsed="false">
      <c r="A856" s="21"/>
      <c r="B856" s="33" t="n">
        <f aca="false">IF($A856="",0,INT(($A856-Macrociclo!$C$11)/7)+1)</f>
        <v>0</v>
      </c>
      <c r="C856" s="20"/>
      <c r="D856" s="20"/>
      <c r="E856" s="22"/>
      <c r="F856" s="22"/>
      <c r="G856" s="20"/>
    </row>
    <row r="857" customFormat="false" ht="15" hidden="false" customHeight="false" outlineLevel="0" collapsed="false">
      <c r="A857" s="21"/>
      <c r="B857" s="33" t="n">
        <f aca="false">IF($A857="",0,INT(($A857-Macrociclo!$C$11)/7)+1)</f>
        <v>0</v>
      </c>
      <c r="C857" s="20"/>
      <c r="D857" s="20"/>
      <c r="E857" s="22"/>
      <c r="F857" s="22"/>
      <c r="G857" s="20"/>
    </row>
    <row r="858" customFormat="false" ht="15" hidden="false" customHeight="false" outlineLevel="0" collapsed="false">
      <c r="A858" s="21"/>
      <c r="B858" s="33" t="n">
        <f aca="false">IF($A858="",0,INT(($A858-Macrociclo!$C$11)/7)+1)</f>
        <v>0</v>
      </c>
      <c r="C858" s="20"/>
      <c r="D858" s="20"/>
      <c r="E858" s="22"/>
      <c r="F858" s="22"/>
      <c r="G858" s="20"/>
    </row>
    <row r="859" customFormat="false" ht="15" hidden="false" customHeight="false" outlineLevel="0" collapsed="false">
      <c r="A859" s="21"/>
      <c r="B859" s="33" t="n">
        <f aca="false">IF($A859="",0,INT(($A859-Macrociclo!$C$11)/7)+1)</f>
        <v>0</v>
      </c>
      <c r="C859" s="20"/>
      <c r="D859" s="20"/>
      <c r="E859" s="22"/>
      <c r="F859" s="22"/>
      <c r="G859" s="20"/>
    </row>
    <row r="860" customFormat="false" ht="15" hidden="false" customHeight="false" outlineLevel="0" collapsed="false">
      <c r="A860" s="21"/>
      <c r="B860" s="33" t="n">
        <f aca="false">IF($A860="",0,INT(($A860-Macrociclo!$C$11)/7)+1)</f>
        <v>0</v>
      </c>
      <c r="C860" s="20"/>
      <c r="D860" s="20"/>
      <c r="E860" s="22"/>
      <c r="F860" s="22"/>
      <c r="G860" s="20"/>
    </row>
    <row r="861" customFormat="false" ht="15" hidden="false" customHeight="false" outlineLevel="0" collapsed="false">
      <c r="A861" s="21"/>
      <c r="B861" s="33" t="n">
        <f aca="false">IF($A861="",0,INT(($A861-Macrociclo!$C$11)/7)+1)</f>
        <v>0</v>
      </c>
      <c r="C861" s="20"/>
      <c r="D861" s="20"/>
      <c r="E861" s="22"/>
      <c r="F861" s="22"/>
      <c r="G861" s="20"/>
    </row>
    <row r="862" customFormat="false" ht="15" hidden="false" customHeight="false" outlineLevel="0" collapsed="false">
      <c r="A862" s="21"/>
      <c r="B862" s="33" t="n">
        <f aca="false">IF($A862="",0,INT(($A862-Macrociclo!$C$11)/7)+1)</f>
        <v>0</v>
      </c>
      <c r="C862" s="20"/>
      <c r="D862" s="20"/>
      <c r="E862" s="22"/>
      <c r="F862" s="22"/>
      <c r="G862" s="20"/>
    </row>
    <row r="863" customFormat="false" ht="15" hidden="false" customHeight="false" outlineLevel="0" collapsed="false">
      <c r="A863" s="21"/>
      <c r="B863" s="33" t="n">
        <f aca="false">IF($A863="",0,INT(($A863-Macrociclo!$C$11)/7)+1)</f>
        <v>0</v>
      </c>
      <c r="C863" s="20"/>
      <c r="D863" s="20"/>
      <c r="E863" s="22"/>
      <c r="F863" s="22"/>
      <c r="G863" s="20"/>
    </row>
    <row r="864" customFormat="false" ht="15" hidden="false" customHeight="false" outlineLevel="0" collapsed="false">
      <c r="A864" s="21"/>
      <c r="B864" s="33" t="n">
        <f aca="false">IF($A864="",0,INT(($A864-Macrociclo!$C$11)/7)+1)</f>
        <v>0</v>
      </c>
      <c r="C864" s="20"/>
      <c r="D864" s="20"/>
      <c r="E864" s="22"/>
      <c r="F864" s="22"/>
      <c r="G864" s="20"/>
    </row>
    <row r="865" customFormat="false" ht="15" hidden="false" customHeight="false" outlineLevel="0" collapsed="false">
      <c r="A865" s="21"/>
      <c r="B865" s="33" t="n">
        <f aca="false">IF($A865="",0,INT(($A865-Macrociclo!$C$11)/7)+1)</f>
        <v>0</v>
      </c>
      <c r="C865" s="20"/>
      <c r="D865" s="20"/>
      <c r="E865" s="22"/>
      <c r="F865" s="22"/>
      <c r="G865" s="20"/>
    </row>
    <row r="866" customFormat="false" ht="15" hidden="false" customHeight="false" outlineLevel="0" collapsed="false">
      <c r="A866" s="21"/>
      <c r="B866" s="33" t="n">
        <f aca="false">IF($A866="",0,INT(($A866-Macrociclo!$C$11)/7)+1)</f>
        <v>0</v>
      </c>
      <c r="C866" s="20"/>
      <c r="D866" s="20"/>
      <c r="E866" s="22"/>
      <c r="F866" s="22"/>
      <c r="G866" s="20"/>
    </row>
    <row r="867" customFormat="false" ht="15" hidden="false" customHeight="false" outlineLevel="0" collapsed="false">
      <c r="A867" s="21"/>
      <c r="B867" s="33" t="n">
        <f aca="false">IF($A867="",0,INT(($A867-Macrociclo!$C$11)/7)+1)</f>
        <v>0</v>
      </c>
      <c r="C867" s="20"/>
      <c r="D867" s="20"/>
      <c r="E867" s="22"/>
      <c r="F867" s="22"/>
      <c r="G867" s="20"/>
    </row>
    <row r="868" customFormat="false" ht="15" hidden="false" customHeight="false" outlineLevel="0" collapsed="false">
      <c r="A868" s="21"/>
      <c r="B868" s="33" t="n">
        <f aca="false">IF($A868="",0,INT(($A868-Macrociclo!$C$11)/7)+1)</f>
        <v>0</v>
      </c>
      <c r="C868" s="20"/>
      <c r="D868" s="20"/>
      <c r="E868" s="22"/>
      <c r="F868" s="22"/>
      <c r="G868" s="20"/>
    </row>
    <row r="869" customFormat="false" ht="15" hidden="false" customHeight="false" outlineLevel="0" collapsed="false">
      <c r="A869" s="21"/>
      <c r="B869" s="33" t="n">
        <f aca="false">IF($A869="",0,INT(($A869-Macrociclo!$C$11)/7)+1)</f>
        <v>0</v>
      </c>
      <c r="C869" s="20"/>
      <c r="D869" s="20"/>
      <c r="E869" s="22"/>
      <c r="F869" s="22"/>
      <c r="G869" s="20"/>
    </row>
    <row r="870" customFormat="false" ht="15" hidden="false" customHeight="false" outlineLevel="0" collapsed="false">
      <c r="A870" s="21"/>
      <c r="B870" s="33" t="n">
        <f aca="false">IF($A870="",0,INT(($A870-Macrociclo!$C$11)/7)+1)</f>
        <v>0</v>
      </c>
      <c r="C870" s="20"/>
      <c r="D870" s="20"/>
      <c r="E870" s="22"/>
      <c r="F870" s="22"/>
      <c r="G870" s="20"/>
    </row>
    <row r="871" customFormat="false" ht="15" hidden="false" customHeight="false" outlineLevel="0" collapsed="false">
      <c r="A871" s="21"/>
      <c r="B871" s="33" t="n">
        <f aca="false">IF($A871="",0,INT(($A871-Macrociclo!$C$11)/7)+1)</f>
        <v>0</v>
      </c>
      <c r="C871" s="20"/>
      <c r="D871" s="20"/>
      <c r="E871" s="22"/>
      <c r="F871" s="22"/>
      <c r="G871" s="20"/>
    </row>
    <row r="872" customFormat="false" ht="15" hidden="false" customHeight="false" outlineLevel="0" collapsed="false">
      <c r="A872" s="21"/>
      <c r="B872" s="33" t="n">
        <f aca="false">IF($A872="",0,INT(($A872-Macrociclo!$C$11)/7)+1)</f>
        <v>0</v>
      </c>
      <c r="C872" s="20"/>
      <c r="D872" s="20"/>
      <c r="E872" s="22"/>
      <c r="F872" s="22"/>
      <c r="G872" s="20"/>
    </row>
    <row r="873" customFormat="false" ht="15" hidden="false" customHeight="false" outlineLevel="0" collapsed="false">
      <c r="A873" s="21"/>
      <c r="B873" s="33" t="n">
        <f aca="false">IF($A873="",0,INT(($A873-Macrociclo!$C$11)/7)+1)</f>
        <v>0</v>
      </c>
      <c r="C873" s="20"/>
      <c r="D873" s="20"/>
      <c r="E873" s="22"/>
      <c r="F873" s="22"/>
      <c r="G873" s="20"/>
    </row>
    <row r="874" customFormat="false" ht="15" hidden="false" customHeight="false" outlineLevel="0" collapsed="false">
      <c r="A874" s="21"/>
      <c r="B874" s="33" t="n">
        <f aca="false">IF($A874="",0,INT(($A874-Macrociclo!$C$11)/7)+1)</f>
        <v>0</v>
      </c>
      <c r="C874" s="20"/>
      <c r="D874" s="20"/>
      <c r="E874" s="22"/>
      <c r="F874" s="22"/>
      <c r="G874" s="20"/>
    </row>
    <row r="875" customFormat="false" ht="15" hidden="false" customHeight="false" outlineLevel="0" collapsed="false">
      <c r="A875" s="21"/>
      <c r="B875" s="33" t="n">
        <f aca="false">IF($A875="",0,INT(($A875-Macrociclo!$C$11)/7)+1)</f>
        <v>0</v>
      </c>
      <c r="C875" s="20"/>
      <c r="D875" s="20"/>
      <c r="E875" s="22"/>
      <c r="F875" s="22"/>
      <c r="G875" s="20"/>
    </row>
    <row r="876" customFormat="false" ht="15" hidden="false" customHeight="false" outlineLevel="0" collapsed="false">
      <c r="A876" s="21"/>
      <c r="B876" s="33" t="n">
        <f aca="false">IF($A876="",0,INT(($A876-Macrociclo!$C$11)/7)+1)</f>
        <v>0</v>
      </c>
      <c r="C876" s="20"/>
      <c r="D876" s="20"/>
      <c r="E876" s="22"/>
      <c r="F876" s="22"/>
      <c r="G876" s="20"/>
    </row>
    <row r="877" customFormat="false" ht="15" hidden="false" customHeight="false" outlineLevel="0" collapsed="false">
      <c r="A877" s="21"/>
      <c r="B877" s="33" t="n">
        <f aca="false">IF($A877="",0,INT(($A877-Macrociclo!$C$11)/7)+1)</f>
        <v>0</v>
      </c>
      <c r="C877" s="20"/>
      <c r="D877" s="20"/>
      <c r="E877" s="22"/>
      <c r="F877" s="22"/>
      <c r="G877" s="20"/>
    </row>
    <row r="878" customFormat="false" ht="15" hidden="false" customHeight="false" outlineLevel="0" collapsed="false">
      <c r="A878" s="21"/>
      <c r="B878" s="33" t="n">
        <f aca="false">IF($A878="",0,INT(($A878-Macrociclo!$C$11)/7)+1)</f>
        <v>0</v>
      </c>
      <c r="C878" s="20"/>
      <c r="D878" s="20"/>
      <c r="E878" s="22"/>
      <c r="F878" s="22"/>
      <c r="G878" s="20"/>
    </row>
    <row r="879" customFormat="false" ht="15" hidden="false" customHeight="false" outlineLevel="0" collapsed="false">
      <c r="A879" s="21"/>
      <c r="B879" s="33" t="n">
        <f aca="false">IF($A879="",0,INT(($A879-Macrociclo!$C$11)/7)+1)</f>
        <v>0</v>
      </c>
      <c r="C879" s="20"/>
      <c r="D879" s="20"/>
      <c r="E879" s="22"/>
      <c r="F879" s="22"/>
      <c r="G879" s="20"/>
    </row>
    <row r="880" customFormat="false" ht="15" hidden="false" customHeight="false" outlineLevel="0" collapsed="false">
      <c r="A880" s="21"/>
      <c r="B880" s="33" t="n">
        <f aca="false">IF($A880="",0,INT(($A880-Macrociclo!$C$11)/7)+1)</f>
        <v>0</v>
      </c>
      <c r="C880" s="20"/>
      <c r="D880" s="20"/>
      <c r="E880" s="22"/>
      <c r="F880" s="22"/>
      <c r="G880" s="20"/>
    </row>
    <row r="881" customFormat="false" ht="15" hidden="false" customHeight="false" outlineLevel="0" collapsed="false">
      <c r="A881" s="21"/>
      <c r="B881" s="33" t="n">
        <f aca="false">IF($A881="",0,INT(($A881-Macrociclo!$C$11)/7)+1)</f>
        <v>0</v>
      </c>
      <c r="C881" s="20"/>
      <c r="D881" s="20"/>
      <c r="E881" s="22"/>
      <c r="F881" s="22"/>
      <c r="G881" s="20"/>
    </row>
    <row r="882" customFormat="false" ht="15" hidden="false" customHeight="false" outlineLevel="0" collapsed="false">
      <c r="A882" s="21"/>
      <c r="B882" s="33" t="n">
        <f aca="false">IF($A882="",0,INT(($A882-Macrociclo!$C$11)/7)+1)</f>
        <v>0</v>
      </c>
      <c r="C882" s="20"/>
      <c r="D882" s="20"/>
      <c r="E882" s="22"/>
      <c r="F882" s="22"/>
      <c r="G882" s="20"/>
    </row>
    <row r="883" customFormat="false" ht="15" hidden="false" customHeight="false" outlineLevel="0" collapsed="false">
      <c r="A883" s="21"/>
      <c r="B883" s="33" t="n">
        <f aca="false">IF($A883="",0,INT(($A883-Macrociclo!$C$11)/7)+1)</f>
        <v>0</v>
      </c>
      <c r="C883" s="20"/>
      <c r="D883" s="20"/>
      <c r="E883" s="22"/>
      <c r="F883" s="22"/>
      <c r="G883" s="20"/>
    </row>
    <row r="884" customFormat="false" ht="15" hidden="false" customHeight="false" outlineLevel="0" collapsed="false">
      <c r="A884" s="21"/>
      <c r="B884" s="33" t="n">
        <f aca="false">IF($A884="",0,INT(($A884-Macrociclo!$C$11)/7)+1)</f>
        <v>0</v>
      </c>
      <c r="C884" s="20"/>
      <c r="D884" s="20"/>
      <c r="E884" s="22"/>
      <c r="F884" s="22"/>
      <c r="G884" s="20"/>
    </row>
    <row r="885" customFormat="false" ht="15" hidden="false" customHeight="false" outlineLevel="0" collapsed="false">
      <c r="A885" s="21"/>
      <c r="B885" s="33" t="n">
        <f aca="false">IF($A885="",0,INT(($A885-Macrociclo!$C$11)/7)+1)</f>
        <v>0</v>
      </c>
      <c r="C885" s="20"/>
      <c r="D885" s="20"/>
      <c r="E885" s="22"/>
      <c r="F885" s="22"/>
      <c r="G885" s="20"/>
    </row>
    <row r="886" customFormat="false" ht="15" hidden="false" customHeight="false" outlineLevel="0" collapsed="false">
      <c r="A886" s="21"/>
      <c r="B886" s="33" t="n">
        <f aca="false">IF($A886="",0,INT(($A886-Macrociclo!$C$11)/7)+1)</f>
        <v>0</v>
      </c>
      <c r="C886" s="20"/>
      <c r="D886" s="20"/>
      <c r="E886" s="22"/>
      <c r="F886" s="22"/>
      <c r="G886" s="20"/>
    </row>
    <row r="887" customFormat="false" ht="15" hidden="false" customHeight="false" outlineLevel="0" collapsed="false">
      <c r="A887" s="21"/>
      <c r="B887" s="33" t="n">
        <f aca="false">IF($A887="",0,INT(($A887-Macrociclo!$C$11)/7)+1)</f>
        <v>0</v>
      </c>
      <c r="C887" s="20"/>
      <c r="D887" s="20"/>
      <c r="E887" s="22"/>
      <c r="F887" s="22"/>
      <c r="G887" s="20"/>
    </row>
    <row r="888" customFormat="false" ht="15" hidden="false" customHeight="false" outlineLevel="0" collapsed="false">
      <c r="A888" s="21"/>
      <c r="B888" s="33" t="n">
        <f aca="false">IF($A888="",0,INT(($A888-Macrociclo!$C$11)/7)+1)</f>
        <v>0</v>
      </c>
      <c r="C888" s="20"/>
      <c r="D888" s="20"/>
      <c r="E888" s="22"/>
      <c r="F888" s="22"/>
      <c r="G888" s="20"/>
    </row>
    <row r="889" customFormat="false" ht="15" hidden="false" customHeight="false" outlineLevel="0" collapsed="false">
      <c r="A889" s="21"/>
      <c r="B889" s="33" t="n">
        <f aca="false">IF($A889="",0,INT(($A889-Macrociclo!$C$11)/7)+1)</f>
        <v>0</v>
      </c>
      <c r="C889" s="20"/>
      <c r="D889" s="20"/>
      <c r="E889" s="22"/>
      <c r="F889" s="22"/>
      <c r="G889" s="20"/>
    </row>
    <row r="890" customFormat="false" ht="15" hidden="false" customHeight="false" outlineLevel="0" collapsed="false">
      <c r="A890" s="21"/>
      <c r="B890" s="33" t="n">
        <f aca="false">IF($A890="",0,INT(($A890-Macrociclo!$C$11)/7)+1)</f>
        <v>0</v>
      </c>
      <c r="C890" s="20"/>
      <c r="D890" s="20"/>
      <c r="E890" s="22"/>
      <c r="F890" s="22"/>
      <c r="G890" s="20"/>
    </row>
    <row r="891" customFormat="false" ht="15" hidden="false" customHeight="false" outlineLevel="0" collapsed="false">
      <c r="A891" s="21"/>
      <c r="B891" s="33" t="n">
        <f aca="false">IF($A891="",0,INT(($A891-Macrociclo!$C$11)/7)+1)</f>
        <v>0</v>
      </c>
      <c r="C891" s="20"/>
      <c r="D891" s="20"/>
      <c r="E891" s="22"/>
      <c r="F891" s="22"/>
      <c r="G891" s="20"/>
    </row>
    <row r="892" customFormat="false" ht="15" hidden="false" customHeight="false" outlineLevel="0" collapsed="false">
      <c r="A892" s="21"/>
      <c r="B892" s="33" t="n">
        <f aca="false">IF($A892="",0,INT(($A892-Macrociclo!$C$11)/7)+1)</f>
        <v>0</v>
      </c>
      <c r="C892" s="20"/>
      <c r="D892" s="20"/>
      <c r="E892" s="22"/>
      <c r="F892" s="22"/>
      <c r="G892" s="20"/>
    </row>
    <row r="893" customFormat="false" ht="15" hidden="false" customHeight="false" outlineLevel="0" collapsed="false">
      <c r="A893" s="21"/>
      <c r="B893" s="33" t="n">
        <f aca="false">IF($A893="",0,INT(($A893-Macrociclo!$C$11)/7)+1)</f>
        <v>0</v>
      </c>
      <c r="C893" s="20"/>
      <c r="D893" s="20"/>
      <c r="E893" s="22"/>
      <c r="F893" s="22"/>
      <c r="G893" s="20"/>
    </row>
    <row r="894" customFormat="false" ht="15" hidden="false" customHeight="false" outlineLevel="0" collapsed="false">
      <c r="A894" s="21"/>
      <c r="B894" s="33" t="n">
        <f aca="false">IF($A894="",0,INT(($A894-Macrociclo!$C$11)/7)+1)</f>
        <v>0</v>
      </c>
      <c r="C894" s="20"/>
      <c r="D894" s="20"/>
      <c r="E894" s="22"/>
      <c r="F894" s="22"/>
      <c r="G894" s="20"/>
    </row>
    <row r="895" customFormat="false" ht="15" hidden="false" customHeight="false" outlineLevel="0" collapsed="false">
      <c r="A895" s="21"/>
      <c r="B895" s="33" t="n">
        <f aca="false">IF($A895="",0,INT(($A895-Macrociclo!$C$11)/7)+1)</f>
        <v>0</v>
      </c>
      <c r="C895" s="20"/>
      <c r="D895" s="20"/>
      <c r="E895" s="22"/>
      <c r="F895" s="22"/>
      <c r="G895" s="20"/>
    </row>
    <row r="896" customFormat="false" ht="15" hidden="false" customHeight="false" outlineLevel="0" collapsed="false">
      <c r="A896" s="21"/>
      <c r="B896" s="33" t="n">
        <f aca="false">IF($A896="",0,INT(($A896-Macrociclo!$C$11)/7)+1)</f>
        <v>0</v>
      </c>
      <c r="C896" s="20"/>
      <c r="D896" s="20"/>
      <c r="E896" s="22"/>
      <c r="F896" s="22"/>
      <c r="G896" s="20"/>
    </row>
    <row r="897" customFormat="false" ht="15" hidden="false" customHeight="false" outlineLevel="0" collapsed="false">
      <c r="A897" s="21"/>
      <c r="B897" s="33" t="n">
        <f aca="false">IF($A897="",0,INT(($A897-Macrociclo!$C$11)/7)+1)</f>
        <v>0</v>
      </c>
      <c r="C897" s="20"/>
      <c r="D897" s="20"/>
      <c r="E897" s="22"/>
      <c r="F897" s="22"/>
      <c r="G897" s="20"/>
    </row>
    <row r="898" customFormat="false" ht="15" hidden="false" customHeight="false" outlineLevel="0" collapsed="false">
      <c r="A898" s="21"/>
      <c r="B898" s="33" t="n">
        <f aca="false">IF($A898="",0,INT(($A898-Macrociclo!$C$11)/7)+1)</f>
        <v>0</v>
      </c>
      <c r="C898" s="20"/>
      <c r="D898" s="20"/>
      <c r="E898" s="22"/>
      <c r="F898" s="22"/>
      <c r="G898" s="20"/>
    </row>
    <row r="899" customFormat="false" ht="15" hidden="false" customHeight="false" outlineLevel="0" collapsed="false">
      <c r="A899" s="21"/>
      <c r="B899" s="33" t="n">
        <f aca="false">IF($A899="",0,INT(($A899-Macrociclo!$C$11)/7)+1)</f>
        <v>0</v>
      </c>
      <c r="C899" s="20"/>
      <c r="D899" s="20"/>
      <c r="E899" s="22"/>
      <c r="F899" s="22"/>
      <c r="G899" s="20"/>
    </row>
    <row r="900" customFormat="false" ht="15" hidden="false" customHeight="false" outlineLevel="0" collapsed="false">
      <c r="A900" s="21"/>
      <c r="B900" s="33" t="n">
        <f aca="false">IF($A900="",0,INT(($A900-Macrociclo!$C$11)/7)+1)</f>
        <v>0</v>
      </c>
      <c r="C900" s="20"/>
      <c r="D900" s="20"/>
      <c r="E900" s="22"/>
      <c r="F900" s="22"/>
      <c r="G900" s="20"/>
    </row>
    <row r="901" customFormat="false" ht="15" hidden="false" customHeight="false" outlineLevel="0" collapsed="false">
      <c r="A901" s="21"/>
      <c r="B901" s="33" t="n">
        <f aca="false">IF($A901="",0,INT(($A901-Macrociclo!$C$11)/7)+1)</f>
        <v>0</v>
      </c>
      <c r="C901" s="20"/>
      <c r="D901" s="20"/>
      <c r="E901" s="22"/>
      <c r="F901" s="22"/>
      <c r="G901" s="20"/>
    </row>
    <row r="902" customFormat="false" ht="15" hidden="false" customHeight="false" outlineLevel="0" collapsed="false">
      <c r="A902" s="21"/>
      <c r="B902" s="33" t="n">
        <f aca="false">IF($A902="",0,INT(($A902-Macrociclo!$C$11)/7)+1)</f>
        <v>0</v>
      </c>
      <c r="C902" s="20"/>
      <c r="D902" s="20"/>
      <c r="E902" s="22"/>
      <c r="F902" s="22"/>
      <c r="G902" s="20"/>
    </row>
    <row r="903" customFormat="false" ht="15" hidden="false" customHeight="false" outlineLevel="0" collapsed="false">
      <c r="A903" s="21"/>
      <c r="B903" s="33" t="n">
        <f aca="false">IF($A903="",0,INT(($A903-Macrociclo!$C$11)/7)+1)</f>
        <v>0</v>
      </c>
      <c r="C903" s="20"/>
      <c r="D903" s="20"/>
      <c r="E903" s="22"/>
      <c r="F903" s="22"/>
      <c r="G903" s="20"/>
    </row>
    <row r="904" customFormat="false" ht="15" hidden="false" customHeight="false" outlineLevel="0" collapsed="false">
      <c r="A904" s="21"/>
      <c r="B904" s="33" t="n">
        <f aca="false">IF($A904="",0,INT(($A904-Macrociclo!$C$11)/7)+1)</f>
        <v>0</v>
      </c>
      <c r="C904" s="20"/>
      <c r="D904" s="20"/>
      <c r="E904" s="22"/>
      <c r="F904" s="22"/>
      <c r="G904" s="20"/>
    </row>
    <row r="905" customFormat="false" ht="15" hidden="false" customHeight="false" outlineLevel="0" collapsed="false">
      <c r="A905" s="21"/>
      <c r="B905" s="33" t="n">
        <f aca="false">IF($A905="",0,INT(($A905-Macrociclo!$C$11)/7)+1)</f>
        <v>0</v>
      </c>
      <c r="C905" s="20"/>
      <c r="D905" s="20"/>
      <c r="E905" s="22"/>
      <c r="F905" s="22"/>
      <c r="G905" s="20"/>
    </row>
    <row r="906" customFormat="false" ht="15" hidden="false" customHeight="false" outlineLevel="0" collapsed="false">
      <c r="A906" s="21"/>
      <c r="B906" s="33" t="n">
        <f aca="false">IF($A906="",0,INT(($A906-Macrociclo!$C$11)/7)+1)</f>
        <v>0</v>
      </c>
      <c r="C906" s="20"/>
      <c r="D906" s="20"/>
      <c r="E906" s="22"/>
      <c r="F906" s="22"/>
      <c r="G906" s="20"/>
    </row>
    <row r="907" customFormat="false" ht="15" hidden="false" customHeight="false" outlineLevel="0" collapsed="false">
      <c r="A907" s="21"/>
      <c r="B907" s="33" t="n">
        <f aca="false">IF($A907="",0,INT(($A907-Macrociclo!$C$11)/7)+1)</f>
        <v>0</v>
      </c>
      <c r="C907" s="20"/>
      <c r="D907" s="20"/>
      <c r="E907" s="22"/>
      <c r="F907" s="22"/>
      <c r="G907" s="20"/>
    </row>
    <row r="908" customFormat="false" ht="15" hidden="false" customHeight="false" outlineLevel="0" collapsed="false">
      <c r="A908" s="21"/>
      <c r="B908" s="33" t="n">
        <f aca="false">IF($A908="",0,INT(($A908-Macrociclo!$C$11)/7)+1)</f>
        <v>0</v>
      </c>
      <c r="C908" s="20"/>
      <c r="D908" s="20"/>
      <c r="E908" s="22"/>
      <c r="F908" s="22"/>
      <c r="G908" s="20"/>
    </row>
    <row r="909" customFormat="false" ht="15" hidden="false" customHeight="false" outlineLevel="0" collapsed="false">
      <c r="A909" s="21"/>
      <c r="B909" s="33" t="n">
        <f aca="false">IF($A909="",0,INT(($A909-Macrociclo!$C$11)/7)+1)</f>
        <v>0</v>
      </c>
      <c r="C909" s="20"/>
      <c r="D909" s="20"/>
      <c r="E909" s="22"/>
      <c r="F909" s="22"/>
      <c r="G909" s="20"/>
    </row>
    <row r="910" customFormat="false" ht="15" hidden="false" customHeight="false" outlineLevel="0" collapsed="false">
      <c r="A910" s="21"/>
      <c r="B910" s="33" t="n">
        <f aca="false">IF($A910="",0,INT(($A910-Macrociclo!$C$11)/7)+1)</f>
        <v>0</v>
      </c>
      <c r="C910" s="20"/>
      <c r="D910" s="20"/>
      <c r="E910" s="22"/>
      <c r="F910" s="22"/>
      <c r="G910" s="20"/>
    </row>
    <row r="911" customFormat="false" ht="15" hidden="false" customHeight="false" outlineLevel="0" collapsed="false">
      <c r="A911" s="21"/>
      <c r="B911" s="33" t="n">
        <f aca="false">IF($A911="",0,INT(($A911-Macrociclo!$C$11)/7)+1)</f>
        <v>0</v>
      </c>
      <c r="C911" s="20"/>
      <c r="D911" s="20"/>
      <c r="E911" s="22"/>
      <c r="F911" s="22"/>
      <c r="G911" s="20"/>
    </row>
    <row r="912" customFormat="false" ht="15" hidden="false" customHeight="false" outlineLevel="0" collapsed="false">
      <c r="A912" s="21"/>
      <c r="B912" s="33" t="n">
        <f aca="false">IF($A912="",0,INT(($A912-Macrociclo!$C$11)/7)+1)</f>
        <v>0</v>
      </c>
      <c r="C912" s="20"/>
      <c r="D912" s="20"/>
      <c r="E912" s="22"/>
      <c r="F912" s="22"/>
      <c r="G912" s="20"/>
    </row>
    <row r="913" customFormat="false" ht="15" hidden="false" customHeight="false" outlineLevel="0" collapsed="false">
      <c r="A913" s="21"/>
      <c r="B913" s="33" t="n">
        <f aca="false">IF($A913="",0,INT(($A913-Macrociclo!$C$11)/7)+1)</f>
        <v>0</v>
      </c>
      <c r="C913" s="20"/>
      <c r="D913" s="20"/>
      <c r="E913" s="22"/>
      <c r="F913" s="22"/>
      <c r="G913" s="20"/>
    </row>
    <row r="914" customFormat="false" ht="15" hidden="false" customHeight="false" outlineLevel="0" collapsed="false">
      <c r="A914" s="21"/>
      <c r="B914" s="33" t="n">
        <f aca="false">IF($A914="",0,INT(($A914-Macrociclo!$C$11)/7)+1)</f>
        <v>0</v>
      </c>
      <c r="C914" s="20"/>
      <c r="D914" s="20"/>
      <c r="E914" s="22"/>
      <c r="F914" s="22"/>
      <c r="G914" s="20"/>
    </row>
    <row r="915" customFormat="false" ht="15" hidden="false" customHeight="false" outlineLevel="0" collapsed="false">
      <c r="A915" s="21"/>
      <c r="B915" s="33" t="n">
        <f aca="false">IF($A915="",0,INT(($A915-Macrociclo!$C$11)/7)+1)</f>
        <v>0</v>
      </c>
      <c r="C915" s="20"/>
      <c r="D915" s="20"/>
      <c r="E915" s="22"/>
      <c r="F915" s="22"/>
      <c r="G915" s="20"/>
    </row>
    <row r="916" customFormat="false" ht="15" hidden="false" customHeight="false" outlineLevel="0" collapsed="false">
      <c r="A916" s="21"/>
      <c r="B916" s="33" t="n">
        <f aca="false">IF($A916="",0,INT(($A916-Macrociclo!$C$11)/7)+1)</f>
        <v>0</v>
      </c>
      <c r="C916" s="20"/>
      <c r="D916" s="20"/>
      <c r="E916" s="22"/>
      <c r="F916" s="22"/>
      <c r="G916" s="20"/>
    </row>
    <row r="917" customFormat="false" ht="15" hidden="false" customHeight="false" outlineLevel="0" collapsed="false">
      <c r="A917" s="21"/>
      <c r="B917" s="33" t="n">
        <f aca="false">IF($A917="",0,INT(($A917-Macrociclo!$C$11)/7)+1)</f>
        <v>0</v>
      </c>
      <c r="C917" s="20"/>
      <c r="D917" s="20"/>
      <c r="E917" s="22"/>
      <c r="F917" s="22"/>
      <c r="G917" s="20"/>
    </row>
    <row r="918" customFormat="false" ht="15" hidden="false" customHeight="false" outlineLevel="0" collapsed="false">
      <c r="A918" s="21"/>
      <c r="B918" s="33" t="n">
        <f aca="false">IF($A918="",0,INT(($A918-Macrociclo!$C$11)/7)+1)</f>
        <v>0</v>
      </c>
      <c r="C918" s="20"/>
      <c r="D918" s="20"/>
      <c r="E918" s="22"/>
      <c r="F918" s="22"/>
      <c r="G918" s="20"/>
    </row>
    <row r="919" customFormat="false" ht="15" hidden="false" customHeight="false" outlineLevel="0" collapsed="false">
      <c r="A919" s="21"/>
      <c r="B919" s="33" t="n">
        <f aca="false">IF($A919="",0,INT(($A919-Macrociclo!$C$11)/7)+1)</f>
        <v>0</v>
      </c>
      <c r="C919" s="20"/>
      <c r="D919" s="20"/>
      <c r="E919" s="22"/>
      <c r="F919" s="22"/>
      <c r="G919" s="20"/>
    </row>
    <row r="920" customFormat="false" ht="15" hidden="false" customHeight="false" outlineLevel="0" collapsed="false">
      <c r="A920" s="21"/>
      <c r="B920" s="33" t="n">
        <f aca="false">IF($A920="",0,INT(($A920-Macrociclo!$C$11)/7)+1)</f>
        <v>0</v>
      </c>
      <c r="C920" s="20"/>
      <c r="D920" s="20"/>
      <c r="E920" s="22"/>
      <c r="F920" s="22"/>
      <c r="G920" s="20"/>
    </row>
    <row r="921" customFormat="false" ht="15" hidden="false" customHeight="false" outlineLevel="0" collapsed="false">
      <c r="A921" s="21"/>
      <c r="B921" s="33" t="n">
        <f aca="false">IF($A921="",0,INT(($A921-Macrociclo!$C$11)/7)+1)</f>
        <v>0</v>
      </c>
      <c r="C921" s="20"/>
      <c r="D921" s="20"/>
      <c r="E921" s="22"/>
      <c r="F921" s="22"/>
      <c r="G921" s="20"/>
    </row>
    <row r="922" customFormat="false" ht="15" hidden="false" customHeight="false" outlineLevel="0" collapsed="false">
      <c r="A922" s="21"/>
      <c r="B922" s="33" t="n">
        <f aca="false">IF($A922="",0,INT(($A922-Macrociclo!$C$11)/7)+1)</f>
        <v>0</v>
      </c>
      <c r="C922" s="20"/>
      <c r="D922" s="20"/>
      <c r="E922" s="22"/>
      <c r="F922" s="22"/>
      <c r="G922" s="20"/>
    </row>
    <row r="923" customFormat="false" ht="15" hidden="false" customHeight="false" outlineLevel="0" collapsed="false">
      <c r="A923" s="21"/>
      <c r="B923" s="33" t="n">
        <f aca="false">IF($A923="",0,INT(($A923-Macrociclo!$C$11)/7)+1)</f>
        <v>0</v>
      </c>
      <c r="C923" s="20"/>
      <c r="D923" s="20"/>
      <c r="E923" s="22"/>
      <c r="F923" s="22"/>
      <c r="G923" s="20"/>
    </row>
    <row r="924" customFormat="false" ht="15" hidden="false" customHeight="false" outlineLevel="0" collapsed="false">
      <c r="A924" s="21"/>
      <c r="B924" s="33" t="n">
        <f aca="false">IF($A924="",0,INT(($A924-Macrociclo!$C$11)/7)+1)</f>
        <v>0</v>
      </c>
      <c r="C924" s="20"/>
      <c r="D924" s="20"/>
      <c r="E924" s="22"/>
      <c r="F924" s="22"/>
      <c r="G924" s="20"/>
    </row>
    <row r="925" customFormat="false" ht="15" hidden="false" customHeight="false" outlineLevel="0" collapsed="false">
      <c r="A925" s="21"/>
      <c r="B925" s="33" t="n">
        <f aca="false">IF($A925="",0,INT(($A925-Macrociclo!$C$11)/7)+1)</f>
        <v>0</v>
      </c>
      <c r="C925" s="20"/>
      <c r="D925" s="20"/>
      <c r="E925" s="22"/>
      <c r="F925" s="22"/>
      <c r="G925" s="20"/>
    </row>
    <row r="926" customFormat="false" ht="15" hidden="false" customHeight="false" outlineLevel="0" collapsed="false">
      <c r="A926" s="21"/>
      <c r="B926" s="33" t="n">
        <f aca="false">IF($A926="",0,INT(($A926-Macrociclo!$C$11)/7)+1)</f>
        <v>0</v>
      </c>
      <c r="C926" s="20"/>
      <c r="D926" s="20"/>
      <c r="E926" s="22"/>
      <c r="F926" s="22"/>
      <c r="G926" s="20"/>
    </row>
    <row r="927" customFormat="false" ht="15" hidden="false" customHeight="false" outlineLevel="0" collapsed="false">
      <c r="A927" s="21"/>
      <c r="B927" s="33" t="n">
        <f aca="false">IF($A927="",0,INT(($A927-Macrociclo!$C$11)/7)+1)</f>
        <v>0</v>
      </c>
      <c r="C927" s="20"/>
      <c r="D927" s="20"/>
      <c r="E927" s="22"/>
      <c r="F927" s="22"/>
      <c r="G927" s="20"/>
    </row>
    <row r="928" customFormat="false" ht="15" hidden="false" customHeight="false" outlineLevel="0" collapsed="false">
      <c r="A928" s="21"/>
      <c r="B928" s="33" t="n">
        <f aca="false">IF($A928="",0,INT(($A928-Macrociclo!$C$11)/7)+1)</f>
        <v>0</v>
      </c>
      <c r="C928" s="20"/>
      <c r="D928" s="20"/>
      <c r="E928" s="22"/>
      <c r="F928" s="22"/>
      <c r="G928" s="20"/>
    </row>
    <row r="929" customFormat="false" ht="15" hidden="false" customHeight="false" outlineLevel="0" collapsed="false">
      <c r="A929" s="21"/>
      <c r="B929" s="33" t="n">
        <f aca="false">IF($A929="",0,INT(($A929-Macrociclo!$C$11)/7)+1)</f>
        <v>0</v>
      </c>
      <c r="C929" s="20"/>
      <c r="D929" s="20"/>
      <c r="E929" s="22"/>
      <c r="F929" s="22"/>
      <c r="G929" s="20"/>
    </row>
    <row r="930" customFormat="false" ht="15" hidden="false" customHeight="false" outlineLevel="0" collapsed="false">
      <c r="A930" s="21"/>
      <c r="B930" s="33" t="n">
        <f aca="false">IF($A930="",0,INT(($A930-Macrociclo!$C$11)/7)+1)</f>
        <v>0</v>
      </c>
      <c r="C930" s="20"/>
      <c r="D930" s="20"/>
      <c r="E930" s="22"/>
      <c r="F930" s="22"/>
      <c r="G930" s="20"/>
    </row>
    <row r="931" customFormat="false" ht="15" hidden="false" customHeight="false" outlineLevel="0" collapsed="false">
      <c r="A931" s="21"/>
      <c r="B931" s="33" t="n">
        <f aca="false">IF($A931="",0,INT(($A931-Macrociclo!$C$11)/7)+1)</f>
        <v>0</v>
      </c>
      <c r="C931" s="20"/>
      <c r="D931" s="20"/>
      <c r="E931" s="22"/>
      <c r="F931" s="22"/>
      <c r="G931" s="20"/>
    </row>
    <row r="932" customFormat="false" ht="15" hidden="false" customHeight="false" outlineLevel="0" collapsed="false">
      <c r="A932" s="21"/>
      <c r="B932" s="33" t="n">
        <f aca="false">IF($A932="",0,INT(($A932-Macrociclo!$C$11)/7)+1)</f>
        <v>0</v>
      </c>
      <c r="C932" s="20"/>
      <c r="D932" s="20"/>
      <c r="E932" s="22"/>
      <c r="F932" s="22"/>
      <c r="G932" s="20"/>
    </row>
    <row r="933" customFormat="false" ht="15" hidden="false" customHeight="false" outlineLevel="0" collapsed="false">
      <c r="A933" s="21"/>
      <c r="B933" s="33" t="n">
        <f aca="false">IF($A933="",0,INT(($A933-Macrociclo!$C$11)/7)+1)</f>
        <v>0</v>
      </c>
      <c r="C933" s="20"/>
      <c r="D933" s="20"/>
      <c r="E933" s="22"/>
      <c r="F933" s="22"/>
      <c r="G933" s="20"/>
    </row>
    <row r="934" customFormat="false" ht="15" hidden="false" customHeight="false" outlineLevel="0" collapsed="false">
      <c r="A934" s="21"/>
      <c r="B934" s="33" t="n">
        <f aca="false">IF($A934="",0,INT(($A934-Macrociclo!$C$11)/7)+1)</f>
        <v>0</v>
      </c>
      <c r="C934" s="20"/>
      <c r="D934" s="20"/>
      <c r="E934" s="22"/>
      <c r="F934" s="22"/>
      <c r="G934" s="20"/>
    </row>
    <row r="935" customFormat="false" ht="15" hidden="false" customHeight="false" outlineLevel="0" collapsed="false">
      <c r="A935" s="21"/>
      <c r="B935" s="33" t="n">
        <f aca="false">IF($A935="",0,INT(($A935-Macrociclo!$C$11)/7)+1)</f>
        <v>0</v>
      </c>
      <c r="C935" s="20"/>
      <c r="D935" s="20"/>
      <c r="E935" s="22"/>
      <c r="F935" s="22"/>
      <c r="G935" s="20"/>
    </row>
    <row r="936" customFormat="false" ht="15" hidden="false" customHeight="false" outlineLevel="0" collapsed="false">
      <c r="A936" s="21"/>
      <c r="B936" s="33" t="n">
        <f aca="false">IF($A936="",0,INT(($A936-Macrociclo!$C$11)/7)+1)</f>
        <v>0</v>
      </c>
      <c r="C936" s="20"/>
      <c r="D936" s="20"/>
      <c r="E936" s="22"/>
      <c r="F936" s="22"/>
      <c r="G936" s="20"/>
    </row>
    <row r="937" customFormat="false" ht="15" hidden="false" customHeight="false" outlineLevel="0" collapsed="false">
      <c r="A937" s="21"/>
      <c r="B937" s="33" t="n">
        <f aca="false">IF($A937="",0,INT(($A937-Macrociclo!$C$11)/7)+1)</f>
        <v>0</v>
      </c>
      <c r="C937" s="20"/>
      <c r="D937" s="20"/>
      <c r="E937" s="22"/>
      <c r="F937" s="22"/>
      <c r="G937" s="20"/>
    </row>
    <row r="938" customFormat="false" ht="15" hidden="false" customHeight="false" outlineLevel="0" collapsed="false">
      <c r="A938" s="21"/>
      <c r="B938" s="33" t="n">
        <f aca="false">IF($A938="",0,INT(($A938-Macrociclo!$C$11)/7)+1)</f>
        <v>0</v>
      </c>
      <c r="C938" s="20"/>
      <c r="D938" s="20"/>
      <c r="E938" s="22"/>
      <c r="F938" s="22"/>
      <c r="G938" s="20"/>
    </row>
    <row r="939" customFormat="false" ht="15" hidden="false" customHeight="false" outlineLevel="0" collapsed="false">
      <c r="A939" s="21"/>
      <c r="B939" s="33" t="n">
        <f aca="false">IF($A939="",0,INT(($A939-Macrociclo!$C$11)/7)+1)</f>
        <v>0</v>
      </c>
      <c r="C939" s="20"/>
      <c r="D939" s="20"/>
      <c r="E939" s="22"/>
      <c r="F939" s="22"/>
      <c r="G939" s="20"/>
    </row>
    <row r="940" customFormat="false" ht="15" hidden="false" customHeight="false" outlineLevel="0" collapsed="false">
      <c r="A940" s="21"/>
      <c r="B940" s="33" t="n">
        <f aca="false">IF($A940="",0,INT(($A940-Macrociclo!$C$11)/7)+1)</f>
        <v>0</v>
      </c>
      <c r="C940" s="20"/>
      <c r="D940" s="20"/>
      <c r="E940" s="22"/>
      <c r="F940" s="22"/>
      <c r="G940" s="20"/>
    </row>
    <row r="941" customFormat="false" ht="15" hidden="false" customHeight="false" outlineLevel="0" collapsed="false">
      <c r="A941" s="21"/>
      <c r="B941" s="33" t="n">
        <f aca="false">IF($A941="",0,INT(($A941-Macrociclo!$C$11)/7)+1)</f>
        <v>0</v>
      </c>
      <c r="C941" s="20"/>
      <c r="D941" s="20"/>
      <c r="E941" s="22"/>
      <c r="F941" s="22"/>
      <c r="G941" s="20"/>
    </row>
    <row r="942" customFormat="false" ht="15" hidden="false" customHeight="false" outlineLevel="0" collapsed="false">
      <c r="A942" s="21"/>
      <c r="B942" s="33" t="n">
        <f aca="false">IF($A942="",0,INT(($A942-Macrociclo!$C$11)/7)+1)</f>
        <v>0</v>
      </c>
      <c r="C942" s="20"/>
      <c r="D942" s="20"/>
      <c r="E942" s="22"/>
      <c r="F942" s="22"/>
      <c r="G942" s="20"/>
    </row>
    <row r="943" customFormat="false" ht="15" hidden="false" customHeight="false" outlineLevel="0" collapsed="false">
      <c r="A943" s="21"/>
      <c r="B943" s="33" t="n">
        <f aca="false">IF($A943="",0,INT(($A943-Macrociclo!$C$11)/7)+1)</f>
        <v>0</v>
      </c>
      <c r="C943" s="20"/>
      <c r="D943" s="20"/>
      <c r="E943" s="22"/>
      <c r="F943" s="22"/>
      <c r="G943" s="20"/>
    </row>
    <row r="944" customFormat="false" ht="15" hidden="false" customHeight="false" outlineLevel="0" collapsed="false">
      <c r="A944" s="21"/>
      <c r="B944" s="33" t="n">
        <f aca="false">IF($A944="",0,INT(($A944-Macrociclo!$C$11)/7)+1)</f>
        <v>0</v>
      </c>
      <c r="C944" s="20"/>
      <c r="D944" s="20"/>
      <c r="E944" s="22"/>
      <c r="F944" s="22"/>
      <c r="G944" s="20"/>
    </row>
    <row r="945" customFormat="false" ht="15" hidden="false" customHeight="false" outlineLevel="0" collapsed="false">
      <c r="A945" s="21"/>
      <c r="B945" s="33" t="n">
        <f aca="false">IF($A945="",0,INT(($A945-Macrociclo!$C$11)/7)+1)</f>
        <v>0</v>
      </c>
      <c r="C945" s="20"/>
      <c r="D945" s="20"/>
      <c r="E945" s="22"/>
      <c r="F945" s="22"/>
      <c r="G945" s="20"/>
    </row>
    <row r="946" customFormat="false" ht="15" hidden="false" customHeight="false" outlineLevel="0" collapsed="false">
      <c r="A946" s="21"/>
      <c r="B946" s="33" t="n">
        <f aca="false">IF($A946="",0,INT(($A946-Macrociclo!$C$11)/7)+1)</f>
        <v>0</v>
      </c>
      <c r="C946" s="20"/>
      <c r="D946" s="20"/>
      <c r="E946" s="22"/>
      <c r="F946" s="22"/>
      <c r="G946" s="20"/>
    </row>
    <row r="947" customFormat="false" ht="15" hidden="false" customHeight="false" outlineLevel="0" collapsed="false">
      <c r="A947" s="21"/>
      <c r="B947" s="33" t="n">
        <f aca="false">IF($A947="",0,INT(($A947-Macrociclo!$C$11)/7)+1)</f>
        <v>0</v>
      </c>
      <c r="C947" s="20"/>
      <c r="D947" s="20"/>
      <c r="E947" s="22"/>
      <c r="F947" s="22"/>
      <c r="G947" s="20"/>
    </row>
    <row r="948" customFormat="false" ht="15" hidden="false" customHeight="false" outlineLevel="0" collapsed="false">
      <c r="A948" s="21"/>
      <c r="B948" s="33" t="n">
        <f aca="false">IF($A948="",0,INT(($A948-Macrociclo!$C$11)/7)+1)</f>
        <v>0</v>
      </c>
      <c r="C948" s="20"/>
      <c r="D948" s="20"/>
      <c r="E948" s="22"/>
      <c r="F948" s="22"/>
      <c r="G948" s="20"/>
    </row>
    <row r="949" customFormat="false" ht="15" hidden="false" customHeight="false" outlineLevel="0" collapsed="false">
      <c r="A949" s="21"/>
      <c r="B949" s="33" t="n">
        <f aca="false">IF($A949="",0,INT(($A949-Macrociclo!$C$11)/7)+1)</f>
        <v>0</v>
      </c>
      <c r="C949" s="20"/>
      <c r="D949" s="20"/>
      <c r="E949" s="22"/>
      <c r="F949" s="22"/>
      <c r="G949" s="20"/>
    </row>
    <row r="950" customFormat="false" ht="15" hidden="false" customHeight="false" outlineLevel="0" collapsed="false">
      <c r="A950" s="21"/>
      <c r="B950" s="33" t="n">
        <f aca="false">IF($A950="",0,INT(($A950-Macrociclo!$C$11)/7)+1)</f>
        <v>0</v>
      </c>
      <c r="C950" s="20"/>
      <c r="D950" s="20"/>
      <c r="E950" s="22"/>
      <c r="F950" s="22"/>
      <c r="G950" s="20"/>
    </row>
    <row r="951" customFormat="false" ht="15" hidden="false" customHeight="false" outlineLevel="0" collapsed="false">
      <c r="A951" s="21"/>
      <c r="B951" s="33" t="n">
        <f aca="false">IF($A951="",0,INT(($A951-Macrociclo!$C$11)/7)+1)</f>
        <v>0</v>
      </c>
      <c r="C951" s="20"/>
      <c r="D951" s="20"/>
      <c r="E951" s="22"/>
      <c r="F951" s="22"/>
      <c r="G951" s="20"/>
    </row>
    <row r="952" customFormat="false" ht="15" hidden="false" customHeight="false" outlineLevel="0" collapsed="false">
      <c r="A952" s="21"/>
      <c r="B952" s="33" t="n">
        <f aca="false">IF($A952="",0,INT(($A952-Macrociclo!$C$11)/7)+1)</f>
        <v>0</v>
      </c>
      <c r="C952" s="20"/>
      <c r="D952" s="20"/>
      <c r="E952" s="22"/>
      <c r="F952" s="22"/>
      <c r="G952" s="20"/>
    </row>
    <row r="953" customFormat="false" ht="15" hidden="false" customHeight="false" outlineLevel="0" collapsed="false">
      <c r="A953" s="21"/>
      <c r="B953" s="33" t="n">
        <f aca="false">IF($A953="",0,INT(($A953-Macrociclo!$C$11)/7)+1)</f>
        <v>0</v>
      </c>
      <c r="C953" s="20"/>
      <c r="D953" s="20"/>
      <c r="E953" s="22"/>
      <c r="F953" s="22"/>
      <c r="G953" s="20"/>
    </row>
    <row r="954" customFormat="false" ht="15" hidden="false" customHeight="false" outlineLevel="0" collapsed="false">
      <c r="A954" s="21"/>
      <c r="B954" s="33" t="n">
        <f aca="false">IF($A954="",0,INT(($A954-Macrociclo!$C$11)/7)+1)</f>
        <v>0</v>
      </c>
      <c r="C954" s="20"/>
      <c r="D954" s="20"/>
      <c r="E954" s="22"/>
      <c r="F954" s="22"/>
      <c r="G954" s="20"/>
    </row>
    <row r="955" customFormat="false" ht="15" hidden="false" customHeight="false" outlineLevel="0" collapsed="false">
      <c r="A955" s="21"/>
      <c r="B955" s="33" t="n">
        <f aca="false">IF($A955="",0,INT(($A955-Macrociclo!$C$11)/7)+1)</f>
        <v>0</v>
      </c>
      <c r="C955" s="20"/>
      <c r="D955" s="20"/>
      <c r="E955" s="22"/>
      <c r="F955" s="22"/>
      <c r="G955" s="20"/>
    </row>
    <row r="956" customFormat="false" ht="15" hidden="false" customHeight="false" outlineLevel="0" collapsed="false">
      <c r="A956" s="21"/>
      <c r="B956" s="33" t="n">
        <f aca="false">IF($A956="",0,INT(($A956-Macrociclo!$C$11)/7)+1)</f>
        <v>0</v>
      </c>
      <c r="C956" s="20"/>
      <c r="D956" s="20"/>
      <c r="E956" s="22"/>
      <c r="F956" s="22"/>
      <c r="G956" s="20"/>
    </row>
    <row r="957" customFormat="false" ht="15" hidden="false" customHeight="false" outlineLevel="0" collapsed="false">
      <c r="A957" s="21"/>
      <c r="B957" s="33" t="n">
        <f aca="false">IF($A957="",0,INT(($A957-Macrociclo!$C$11)/7)+1)</f>
        <v>0</v>
      </c>
      <c r="C957" s="20"/>
      <c r="D957" s="20"/>
      <c r="E957" s="22"/>
      <c r="F957" s="22"/>
      <c r="G957" s="20"/>
    </row>
    <row r="958" customFormat="false" ht="15" hidden="false" customHeight="false" outlineLevel="0" collapsed="false">
      <c r="A958" s="21"/>
      <c r="B958" s="33" t="n">
        <f aca="false">IF($A958="",0,INT(($A958-Macrociclo!$C$11)/7)+1)</f>
        <v>0</v>
      </c>
      <c r="C958" s="20"/>
      <c r="D958" s="20"/>
      <c r="E958" s="22"/>
      <c r="F958" s="22"/>
      <c r="G958" s="20"/>
    </row>
    <row r="959" customFormat="false" ht="15" hidden="false" customHeight="false" outlineLevel="0" collapsed="false">
      <c r="A959" s="21"/>
      <c r="B959" s="33" t="n">
        <f aca="false">IF($A959="",0,INT(($A959-Macrociclo!$C$11)/7)+1)</f>
        <v>0</v>
      </c>
      <c r="C959" s="20"/>
      <c r="D959" s="20"/>
      <c r="E959" s="22"/>
      <c r="F959" s="22"/>
      <c r="G959" s="20"/>
    </row>
    <row r="960" customFormat="false" ht="15" hidden="false" customHeight="false" outlineLevel="0" collapsed="false">
      <c r="A960" s="21"/>
      <c r="B960" s="33" t="n">
        <f aca="false">IF($A960="",0,INT(($A960-Macrociclo!$C$11)/7)+1)</f>
        <v>0</v>
      </c>
      <c r="C960" s="20"/>
      <c r="D960" s="20"/>
      <c r="E960" s="22"/>
      <c r="F960" s="22"/>
      <c r="G960" s="20"/>
    </row>
    <row r="961" customFormat="false" ht="15" hidden="false" customHeight="false" outlineLevel="0" collapsed="false">
      <c r="A961" s="21"/>
      <c r="B961" s="33" t="n">
        <f aca="false">IF($A961="",0,INT(($A961-Macrociclo!$C$11)/7)+1)</f>
        <v>0</v>
      </c>
      <c r="C961" s="20"/>
      <c r="D961" s="20"/>
      <c r="E961" s="22"/>
      <c r="F961" s="22"/>
      <c r="G961" s="20"/>
    </row>
    <row r="962" customFormat="false" ht="15" hidden="false" customHeight="false" outlineLevel="0" collapsed="false">
      <c r="A962" s="21"/>
      <c r="B962" s="33" t="n">
        <f aca="false">IF($A962="",0,INT(($A962-Macrociclo!$C$11)/7)+1)</f>
        <v>0</v>
      </c>
      <c r="C962" s="20"/>
      <c r="D962" s="20"/>
      <c r="E962" s="22"/>
      <c r="F962" s="22"/>
      <c r="G962" s="20"/>
    </row>
    <row r="963" customFormat="false" ht="15" hidden="false" customHeight="false" outlineLevel="0" collapsed="false">
      <c r="A963" s="21"/>
      <c r="B963" s="33" t="n">
        <f aca="false">IF($A963="",0,INT(($A963-Macrociclo!$C$11)/7)+1)</f>
        <v>0</v>
      </c>
      <c r="C963" s="20"/>
      <c r="D963" s="20"/>
      <c r="E963" s="22"/>
      <c r="F963" s="22"/>
      <c r="G963" s="20"/>
    </row>
    <row r="964" customFormat="false" ht="15" hidden="false" customHeight="false" outlineLevel="0" collapsed="false">
      <c r="A964" s="21"/>
      <c r="B964" s="33" t="n">
        <f aca="false">IF($A964="",0,INT(($A964-Macrociclo!$C$11)/7)+1)</f>
        <v>0</v>
      </c>
      <c r="C964" s="20"/>
      <c r="D964" s="20"/>
      <c r="E964" s="22"/>
      <c r="F964" s="22"/>
      <c r="G964" s="20"/>
    </row>
    <row r="965" customFormat="false" ht="15" hidden="false" customHeight="false" outlineLevel="0" collapsed="false">
      <c r="A965" s="21"/>
      <c r="B965" s="33" t="n">
        <f aca="false">IF($A965="",0,INT(($A965-Macrociclo!$C$11)/7)+1)</f>
        <v>0</v>
      </c>
      <c r="C965" s="20"/>
      <c r="D965" s="20"/>
      <c r="E965" s="22"/>
      <c r="F965" s="22"/>
      <c r="G965" s="20"/>
    </row>
    <row r="966" customFormat="false" ht="15" hidden="false" customHeight="false" outlineLevel="0" collapsed="false">
      <c r="A966" s="21"/>
      <c r="B966" s="33" t="n">
        <f aca="false">IF($A966="",0,INT(($A966-Macrociclo!$C$11)/7)+1)</f>
        <v>0</v>
      </c>
      <c r="C966" s="20"/>
      <c r="D966" s="20"/>
      <c r="E966" s="22"/>
      <c r="F966" s="22"/>
      <c r="G966" s="20"/>
    </row>
    <row r="967" customFormat="false" ht="15" hidden="false" customHeight="false" outlineLevel="0" collapsed="false">
      <c r="A967" s="21"/>
      <c r="B967" s="33" t="n">
        <f aca="false">IF($A967="",0,INT(($A967-Macrociclo!$C$11)/7)+1)</f>
        <v>0</v>
      </c>
      <c r="C967" s="20"/>
      <c r="D967" s="20"/>
      <c r="E967" s="22"/>
      <c r="F967" s="22"/>
      <c r="G967" s="20"/>
    </row>
    <row r="968" customFormat="false" ht="15" hidden="false" customHeight="false" outlineLevel="0" collapsed="false">
      <c r="A968" s="21"/>
      <c r="B968" s="33" t="n">
        <f aca="false">IF($A968="",0,INT(($A968-Macrociclo!$C$11)/7)+1)</f>
        <v>0</v>
      </c>
      <c r="C968" s="20"/>
      <c r="D968" s="20"/>
      <c r="E968" s="22"/>
      <c r="F968" s="22"/>
      <c r="G968" s="20"/>
    </row>
    <row r="969" customFormat="false" ht="15" hidden="false" customHeight="false" outlineLevel="0" collapsed="false">
      <c r="A969" s="21"/>
      <c r="B969" s="33" t="n">
        <f aca="false">IF($A969="",0,INT(($A969-Macrociclo!$C$11)/7)+1)</f>
        <v>0</v>
      </c>
      <c r="C969" s="20"/>
      <c r="D969" s="20"/>
      <c r="E969" s="22"/>
      <c r="F969" s="22"/>
      <c r="G969" s="20"/>
    </row>
    <row r="970" customFormat="false" ht="15" hidden="false" customHeight="false" outlineLevel="0" collapsed="false">
      <c r="A970" s="21"/>
      <c r="B970" s="33" t="n">
        <f aca="false">IF($A970="",0,INT(($A970-Macrociclo!$C$11)/7)+1)</f>
        <v>0</v>
      </c>
      <c r="C970" s="20"/>
      <c r="D970" s="20"/>
      <c r="E970" s="22"/>
      <c r="F970" s="22"/>
      <c r="G970" s="20"/>
    </row>
    <row r="971" customFormat="false" ht="15" hidden="false" customHeight="false" outlineLevel="0" collapsed="false">
      <c r="A971" s="21"/>
      <c r="B971" s="33" t="n">
        <f aca="false">IF($A971="",0,INT(($A971-Macrociclo!$C$11)/7)+1)</f>
        <v>0</v>
      </c>
      <c r="C971" s="20"/>
      <c r="D971" s="20"/>
      <c r="E971" s="22"/>
      <c r="F971" s="22"/>
      <c r="G971" s="20"/>
    </row>
    <row r="972" customFormat="false" ht="15" hidden="false" customHeight="false" outlineLevel="0" collapsed="false">
      <c r="A972" s="21"/>
      <c r="B972" s="33" t="n">
        <f aca="false">IF($A972="",0,INT(($A972-Macrociclo!$C$11)/7)+1)</f>
        <v>0</v>
      </c>
      <c r="C972" s="20"/>
      <c r="D972" s="20"/>
      <c r="E972" s="22"/>
      <c r="F972" s="22"/>
      <c r="G972" s="20"/>
    </row>
    <row r="973" customFormat="false" ht="15" hidden="false" customHeight="false" outlineLevel="0" collapsed="false">
      <c r="A973" s="21"/>
      <c r="B973" s="33" t="n">
        <f aca="false">IF($A973="",0,INT(($A973-Macrociclo!$C$11)/7)+1)</f>
        <v>0</v>
      </c>
      <c r="C973" s="20"/>
      <c r="D973" s="20"/>
      <c r="E973" s="22"/>
      <c r="F973" s="22"/>
      <c r="G973" s="20"/>
    </row>
    <row r="974" customFormat="false" ht="15" hidden="false" customHeight="false" outlineLevel="0" collapsed="false">
      <c r="A974" s="21"/>
      <c r="B974" s="33" t="n">
        <f aca="false">IF($A974="",0,INT(($A974-Macrociclo!$C$11)/7)+1)</f>
        <v>0</v>
      </c>
      <c r="C974" s="20"/>
      <c r="D974" s="20"/>
      <c r="E974" s="22"/>
      <c r="F974" s="22"/>
      <c r="G974" s="20"/>
    </row>
    <row r="975" customFormat="false" ht="15" hidden="false" customHeight="false" outlineLevel="0" collapsed="false">
      <c r="A975" s="21"/>
      <c r="B975" s="33" t="n">
        <f aca="false">IF($A975="",0,INT(($A975-Macrociclo!$C$11)/7)+1)</f>
        <v>0</v>
      </c>
      <c r="C975" s="20"/>
      <c r="D975" s="20"/>
      <c r="E975" s="22"/>
      <c r="F975" s="22"/>
      <c r="G975" s="20"/>
    </row>
    <row r="976" customFormat="false" ht="15" hidden="false" customHeight="false" outlineLevel="0" collapsed="false">
      <c r="A976" s="21"/>
      <c r="B976" s="33" t="n">
        <f aca="false">IF($A976="",0,INT(($A976-Macrociclo!$C$11)/7)+1)</f>
        <v>0</v>
      </c>
      <c r="C976" s="20"/>
      <c r="D976" s="20"/>
      <c r="E976" s="22"/>
      <c r="F976" s="22"/>
      <c r="G976" s="20"/>
    </row>
    <row r="977" customFormat="false" ht="15" hidden="false" customHeight="false" outlineLevel="0" collapsed="false">
      <c r="A977" s="21"/>
      <c r="B977" s="33" t="n">
        <f aca="false">IF($A977="",0,INT(($A977-Macrociclo!$C$11)/7)+1)</f>
        <v>0</v>
      </c>
      <c r="C977" s="20"/>
      <c r="D977" s="20"/>
      <c r="E977" s="22"/>
      <c r="F977" s="22"/>
      <c r="G977" s="20"/>
    </row>
    <row r="978" customFormat="false" ht="15" hidden="false" customHeight="false" outlineLevel="0" collapsed="false">
      <c r="A978" s="21"/>
      <c r="B978" s="33" t="n">
        <f aca="false">IF($A978="",0,INT(($A978-Macrociclo!$C$11)/7)+1)</f>
        <v>0</v>
      </c>
      <c r="C978" s="20"/>
      <c r="D978" s="20"/>
      <c r="E978" s="22"/>
      <c r="F978" s="22"/>
      <c r="G978" s="20"/>
    </row>
    <row r="979" customFormat="false" ht="15" hidden="false" customHeight="false" outlineLevel="0" collapsed="false">
      <c r="A979" s="21"/>
      <c r="B979" s="33" t="n">
        <f aca="false">IF($A979="",0,INT(($A979-Macrociclo!$C$11)/7)+1)</f>
        <v>0</v>
      </c>
      <c r="C979" s="20"/>
      <c r="D979" s="20"/>
      <c r="E979" s="22"/>
      <c r="F979" s="22"/>
      <c r="G979" s="20"/>
    </row>
    <row r="980" customFormat="false" ht="15" hidden="false" customHeight="false" outlineLevel="0" collapsed="false">
      <c r="A980" s="21"/>
      <c r="B980" s="33" t="n">
        <f aca="false">IF($A980="",0,INT(($A980-Macrociclo!$C$11)/7)+1)</f>
        <v>0</v>
      </c>
      <c r="C980" s="20"/>
      <c r="D980" s="20"/>
      <c r="E980" s="22"/>
      <c r="F980" s="22"/>
      <c r="G980" s="20"/>
    </row>
    <row r="981" customFormat="false" ht="15" hidden="false" customHeight="false" outlineLevel="0" collapsed="false">
      <c r="A981" s="21"/>
      <c r="B981" s="33" t="n">
        <f aca="false">IF($A981="",0,INT(($A981-Macrociclo!$C$11)/7)+1)</f>
        <v>0</v>
      </c>
      <c r="C981" s="20"/>
      <c r="D981" s="20"/>
      <c r="E981" s="22"/>
      <c r="F981" s="22"/>
      <c r="G981" s="20"/>
    </row>
    <row r="982" customFormat="false" ht="15" hidden="false" customHeight="false" outlineLevel="0" collapsed="false">
      <c r="A982" s="21"/>
      <c r="B982" s="33" t="n">
        <f aca="false">IF($A982="",0,INT(($A982-Macrociclo!$C$11)/7)+1)</f>
        <v>0</v>
      </c>
      <c r="C982" s="20"/>
      <c r="D982" s="20"/>
      <c r="E982" s="22"/>
      <c r="F982" s="22"/>
      <c r="G982" s="20"/>
    </row>
    <row r="983" customFormat="false" ht="15" hidden="false" customHeight="false" outlineLevel="0" collapsed="false">
      <c r="A983" s="21"/>
      <c r="B983" s="33" t="n">
        <f aca="false">IF($A983="",0,INT(($A983-Macrociclo!$C$11)/7)+1)</f>
        <v>0</v>
      </c>
      <c r="C983" s="20"/>
      <c r="D983" s="20"/>
      <c r="E983" s="22"/>
      <c r="F983" s="22"/>
      <c r="G983" s="20"/>
    </row>
    <row r="984" customFormat="false" ht="15" hidden="false" customHeight="false" outlineLevel="0" collapsed="false">
      <c r="A984" s="21"/>
      <c r="B984" s="33" t="n">
        <f aca="false">IF($A984="",0,INT(($A984-Macrociclo!$C$11)/7)+1)</f>
        <v>0</v>
      </c>
      <c r="C984" s="20"/>
      <c r="D984" s="20"/>
      <c r="E984" s="22"/>
      <c r="F984" s="22"/>
      <c r="G984" s="20"/>
    </row>
    <row r="985" customFormat="false" ht="15" hidden="false" customHeight="false" outlineLevel="0" collapsed="false">
      <c r="A985" s="21"/>
      <c r="B985" s="33" t="n">
        <f aca="false">IF($A985="",0,INT(($A985-Macrociclo!$C$11)/7)+1)</f>
        <v>0</v>
      </c>
      <c r="C985" s="20"/>
      <c r="D985" s="20"/>
      <c r="E985" s="22"/>
      <c r="F985" s="22"/>
      <c r="G985" s="20"/>
    </row>
    <row r="986" customFormat="false" ht="15" hidden="false" customHeight="false" outlineLevel="0" collapsed="false">
      <c r="A986" s="21"/>
      <c r="B986" s="33" t="n">
        <f aca="false">IF($A986="",0,INT(($A986-Macrociclo!$C$11)/7)+1)</f>
        <v>0</v>
      </c>
      <c r="C986" s="20"/>
      <c r="D986" s="20"/>
      <c r="E986" s="22"/>
      <c r="F986" s="22"/>
      <c r="G986" s="20"/>
    </row>
    <row r="987" customFormat="false" ht="15" hidden="false" customHeight="false" outlineLevel="0" collapsed="false">
      <c r="A987" s="21"/>
      <c r="B987" s="33" t="n">
        <f aca="false">IF($A987="",0,INT(($A987-Macrociclo!$C$11)/7)+1)</f>
        <v>0</v>
      </c>
      <c r="C987" s="20"/>
      <c r="D987" s="20"/>
      <c r="E987" s="22"/>
      <c r="F987" s="22"/>
      <c r="G987" s="20"/>
    </row>
    <row r="988" customFormat="false" ht="15" hidden="false" customHeight="false" outlineLevel="0" collapsed="false">
      <c r="A988" s="21"/>
      <c r="B988" s="33" t="n">
        <f aca="false">IF($A988="",0,INT(($A988-Macrociclo!$C$11)/7)+1)</f>
        <v>0</v>
      </c>
      <c r="C988" s="20"/>
      <c r="D988" s="20"/>
      <c r="E988" s="22"/>
      <c r="F988" s="22"/>
      <c r="G988" s="20"/>
    </row>
    <row r="989" customFormat="false" ht="15" hidden="false" customHeight="false" outlineLevel="0" collapsed="false">
      <c r="A989" s="21"/>
      <c r="B989" s="33" t="n">
        <f aca="false">IF($A989="",0,INT(($A989-Macrociclo!$C$11)/7)+1)</f>
        <v>0</v>
      </c>
      <c r="C989" s="20"/>
      <c r="D989" s="20"/>
      <c r="E989" s="22"/>
      <c r="F989" s="22"/>
      <c r="G989" s="20"/>
    </row>
    <row r="990" customFormat="false" ht="15" hidden="false" customHeight="false" outlineLevel="0" collapsed="false">
      <c r="A990" s="21"/>
      <c r="B990" s="33" t="n">
        <f aca="false">IF($A990="",0,INT(($A990-Macrociclo!$C$11)/7)+1)</f>
        <v>0</v>
      </c>
      <c r="C990" s="20"/>
      <c r="D990" s="20"/>
      <c r="E990" s="22"/>
      <c r="F990" s="22"/>
      <c r="G990" s="20"/>
    </row>
    <row r="991" customFormat="false" ht="15" hidden="false" customHeight="false" outlineLevel="0" collapsed="false">
      <c r="A991" s="21"/>
      <c r="B991" s="33" t="n">
        <f aca="false">IF($A991="",0,INT(($A991-Macrociclo!$C$11)/7)+1)</f>
        <v>0</v>
      </c>
      <c r="C991" s="20"/>
      <c r="D991" s="20"/>
      <c r="E991" s="22"/>
      <c r="F991" s="22"/>
      <c r="G991" s="20"/>
    </row>
    <row r="992" customFormat="false" ht="15" hidden="false" customHeight="false" outlineLevel="0" collapsed="false">
      <c r="A992" s="21"/>
      <c r="B992" s="33" t="n">
        <f aca="false">IF($A992="",0,INT(($A992-Macrociclo!$C$11)/7)+1)</f>
        <v>0</v>
      </c>
      <c r="C992" s="20"/>
      <c r="D992" s="20"/>
      <c r="E992" s="22"/>
      <c r="F992" s="22"/>
      <c r="G992" s="20"/>
    </row>
    <row r="993" customFormat="false" ht="15" hidden="false" customHeight="false" outlineLevel="0" collapsed="false">
      <c r="A993" s="21"/>
      <c r="B993" s="33" t="n">
        <f aca="false">IF($A993="",0,INT(($A993-Macrociclo!$C$11)/7)+1)</f>
        <v>0</v>
      </c>
      <c r="C993" s="20"/>
      <c r="D993" s="20"/>
      <c r="E993" s="22"/>
      <c r="F993" s="22"/>
      <c r="G993" s="20"/>
    </row>
    <row r="994" customFormat="false" ht="15" hidden="false" customHeight="false" outlineLevel="0" collapsed="false">
      <c r="A994" s="21"/>
      <c r="B994" s="33" t="n">
        <f aca="false">IF($A994="",0,INT(($A994-Macrociclo!$C$11)/7)+1)</f>
        <v>0</v>
      </c>
      <c r="C994" s="20"/>
      <c r="D994" s="20"/>
      <c r="E994" s="22"/>
      <c r="F994" s="22"/>
      <c r="G994" s="20"/>
    </row>
    <row r="995" customFormat="false" ht="15" hidden="false" customHeight="false" outlineLevel="0" collapsed="false">
      <c r="A995" s="21"/>
      <c r="B995" s="33" t="n">
        <f aca="false">IF($A995="",0,INT(($A995-Macrociclo!$C$11)/7)+1)</f>
        <v>0</v>
      </c>
      <c r="C995" s="20"/>
      <c r="D995" s="20"/>
      <c r="E995" s="22"/>
      <c r="F995" s="22"/>
      <c r="G995" s="20"/>
    </row>
    <row r="996" customFormat="false" ht="15" hidden="false" customHeight="false" outlineLevel="0" collapsed="false">
      <c r="A996" s="21"/>
      <c r="B996" s="33" t="n">
        <f aca="false">IF($A996="",0,INT(($A996-Macrociclo!$C$11)/7)+1)</f>
        <v>0</v>
      </c>
      <c r="C996" s="20"/>
      <c r="D996" s="20"/>
      <c r="E996" s="22"/>
      <c r="F996" s="22"/>
      <c r="G996" s="20"/>
    </row>
    <row r="997" customFormat="false" ht="15" hidden="false" customHeight="false" outlineLevel="0" collapsed="false">
      <c r="A997" s="21"/>
      <c r="B997" s="33" t="n">
        <f aca="false">IF($A997="",0,INT(($A997-Macrociclo!$C$11)/7)+1)</f>
        <v>0</v>
      </c>
      <c r="C997" s="20"/>
      <c r="D997" s="20"/>
      <c r="E997" s="22"/>
      <c r="F997" s="22"/>
      <c r="G997" s="20"/>
    </row>
    <row r="998" customFormat="false" ht="15" hidden="false" customHeight="false" outlineLevel="0" collapsed="false">
      <c r="A998" s="21"/>
      <c r="B998" s="33" t="n">
        <f aca="false">IF($A998="",0,INT(($A998-Macrociclo!$C$11)/7)+1)</f>
        <v>0</v>
      </c>
      <c r="C998" s="20"/>
      <c r="D998" s="20"/>
      <c r="E998" s="22"/>
      <c r="F998" s="22"/>
      <c r="G998" s="20"/>
    </row>
    <row r="999" customFormat="false" ht="15" hidden="false" customHeight="false" outlineLevel="0" collapsed="false">
      <c r="A999" s="21"/>
      <c r="B999" s="33" t="n">
        <f aca="false">IF($A999="",0,INT(($A999-Macrociclo!$C$11)/7)+1)</f>
        <v>0</v>
      </c>
      <c r="C999" s="20"/>
      <c r="D999" s="20"/>
      <c r="E999" s="22"/>
      <c r="F999" s="22"/>
      <c r="G999" s="20"/>
    </row>
    <row r="1000" customFormat="false" ht="15" hidden="false" customHeight="false" outlineLevel="0" collapsed="false">
      <c r="A1000" s="21"/>
      <c r="B1000" s="33" t="n">
        <f aca="false">IF($A1000="",0,INT(($A1000-Macrociclo!$C$11)/7)+1)</f>
        <v>0</v>
      </c>
      <c r="C1000" s="20"/>
      <c r="D1000" s="20"/>
      <c r="E1000" s="22"/>
      <c r="F1000" s="22"/>
      <c r="G1000" s="20"/>
    </row>
    <row r="1001" customFormat="false" ht="15" hidden="false" customHeight="false" outlineLevel="0" collapsed="false">
      <c r="A1001" s="21"/>
      <c r="B1001" s="33" t="n">
        <f aca="false">IF($A1001="",0,INT(($A1001-Macrociclo!$C$11)/7)+1)</f>
        <v>0</v>
      </c>
      <c r="C1001" s="20"/>
      <c r="D1001" s="20"/>
      <c r="E1001" s="22"/>
      <c r="F1001" s="22"/>
      <c r="G1001" s="20"/>
    </row>
    <row r="1002" customFormat="false" ht="15" hidden="false" customHeight="false" outlineLevel="0" collapsed="false">
      <c r="A1002" s="21"/>
      <c r="B1002" s="33" t="n">
        <f aca="false">IF($A1002="",0,INT(($A1002-Macrociclo!$C$11)/7)+1)</f>
        <v>0</v>
      </c>
      <c r="C1002" s="20"/>
      <c r="D1002" s="20"/>
      <c r="E1002" s="22"/>
      <c r="F1002" s="22"/>
      <c r="G1002" s="20"/>
    </row>
    <row r="1003" customFormat="false" ht="15" hidden="false" customHeight="false" outlineLevel="0" collapsed="false">
      <c r="A1003" s="21"/>
      <c r="B1003" s="33" t="n">
        <f aca="false">IF($A1003="",0,INT(($A1003-Macrociclo!$C$11)/7)+1)</f>
        <v>0</v>
      </c>
      <c r="C1003" s="20"/>
      <c r="D1003" s="20"/>
      <c r="E1003" s="22"/>
      <c r="F1003" s="22"/>
      <c r="G1003" s="20"/>
    </row>
    <row r="1004" customFormat="false" ht="15" hidden="false" customHeight="false" outlineLevel="0" collapsed="false">
      <c r="A1004" s="21"/>
      <c r="B1004" s="33" t="n">
        <f aca="false">IF($A1004="",0,INT(($A1004-Macrociclo!$C$11)/7)+1)</f>
        <v>0</v>
      </c>
      <c r="C1004" s="20"/>
      <c r="D1004" s="20"/>
      <c r="E1004" s="22"/>
      <c r="F1004" s="22"/>
      <c r="G1004" s="20"/>
    </row>
    <row r="1005" customFormat="false" ht="15" hidden="false" customHeight="false" outlineLevel="0" collapsed="false">
      <c r="A1005" s="21"/>
      <c r="B1005" s="33" t="n">
        <f aca="false">IF($A1005="",0,INT(($A1005-Macrociclo!$C$11)/7)+1)</f>
        <v>0</v>
      </c>
      <c r="C1005" s="20"/>
      <c r="D1005" s="20"/>
      <c r="E1005" s="22"/>
      <c r="F1005" s="22"/>
      <c r="G1005" s="20"/>
    </row>
    <row r="1006" customFormat="false" ht="15" hidden="false" customHeight="false" outlineLevel="0" collapsed="false">
      <c r="A1006" s="21"/>
      <c r="B1006" s="33" t="n">
        <f aca="false">IF($A1006="",0,INT(($A1006-Macrociclo!$C$11)/7)+1)</f>
        <v>0</v>
      </c>
      <c r="C1006" s="20"/>
      <c r="D1006" s="20"/>
      <c r="E1006" s="22"/>
      <c r="F1006" s="22"/>
      <c r="G1006" s="20"/>
    </row>
    <row r="1007" customFormat="false" ht="15" hidden="false" customHeight="false" outlineLevel="0" collapsed="false">
      <c r="A1007" s="21"/>
      <c r="B1007" s="33" t="n">
        <f aca="false">IF($A1007="",0,INT(($A1007-Macrociclo!$C$11)/7)+1)</f>
        <v>0</v>
      </c>
      <c r="C1007" s="20"/>
      <c r="D1007" s="20"/>
      <c r="E1007" s="22"/>
      <c r="F1007" s="22"/>
      <c r="G1007" s="20"/>
    </row>
  </sheetData>
  <mergeCells count="3">
    <mergeCell ref="A1:P1"/>
    <mergeCell ref="A2:P2"/>
    <mergeCell ref="I5:P5"/>
  </mergeCells>
  <conditionalFormatting sqref="E8:E1007">
    <cfRule type="cellIs" priority="2" operator="equal" aboveAverage="0" equalAverage="0" bottom="0" percent="0" rank="0" text="" dxfId="6">
      <formula>"Presente"</formula>
    </cfRule>
    <cfRule type="cellIs" priority="3" operator="equal" aboveAverage="0" equalAverage="0" bottom="0" percent="0" rank="0" text="" dxfId="7">
      <formula>"Falta Não Justificada"</formula>
    </cfRule>
    <cfRule type="cellIs" priority="4" operator="equal" aboveAverage="0" equalAverage="0" bottom="0" percent="0" rank="0" text="" dxfId="7">
      <formula>"Lesionado"</formula>
    </cfRule>
    <cfRule type="cellIs" priority="5" operator="equal" aboveAverage="0" equalAverage="0" bottom="0" percent="0" rank="0" text="" dxfId="7">
      <formula>"Departamento Médico"</formula>
    </cfRule>
    <cfRule type="cellIs" priority="6" operator="equal" aboveAverage="0" equalAverage="0" bottom="0" percent="0" rank="0" text="" dxfId="8">
      <formula>"Falta Justificada"</formula>
    </cfRule>
  </conditionalFormatting>
  <conditionalFormatting sqref="L8:L67">
    <cfRule type="colorScale" priority="7">
      <colorScale>
        <cfvo type="num" val="0.5"/>
        <cfvo type="num" val="0.8"/>
        <cfvo type="num" val="1"/>
        <color rgb="FFFFC7CE"/>
        <color rgb="FFFFEB9C"/>
        <color rgb="FFC6EFCE"/>
      </colorScale>
    </cfRule>
  </conditionalFormatting>
  <dataValidations count="3">
    <dataValidation allowBlank="true" errorStyle="stop" operator="between" showDropDown="false" showErrorMessage="false" showInputMessage="false" sqref="D8:D1007" type="list">
      <formula1>Cadastro!$B$7:$B$66</formula1>
      <formula2>0</formula2>
    </dataValidation>
    <dataValidation allowBlank="true" errorStyle="stop" operator="between" showDropDown="false" showErrorMessage="false" showInputMessage="false" sqref="E8:E1007" type="list">
      <formula1>Listas!$L$5:$L$15</formula1>
      <formula2>0</formula2>
    </dataValidation>
    <dataValidation allowBlank="true" errorStyle="stop" operator="between" showDropDown="false" showErrorMessage="false" showInputMessage="false" sqref="C8:C1007" type="list">
      <formula1>Listas!$Q$5:$Q$15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00"/>
    <pageSetUpPr fitToPage="true"/>
  </sheetPr>
  <dimension ref="A1:R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10" min="9" style="0" width="15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28"/>
  </cols>
  <sheetData>
    <row r="1" customFormat="false" ht="30" hidden="false" customHeight="true" outlineLevel="0" collapsed="false">
      <c r="A1" s="1" t="s">
        <v>415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416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true" outlineLevel="0" collapsed="false">
      <c r="A4" s="17" t="s">
        <v>417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7" customFormat="false" ht="31.5" hidden="false" customHeight="true" outlineLevel="0" collapsed="false">
      <c r="A7" s="18" t="s">
        <v>339</v>
      </c>
      <c r="B7" s="18" t="s">
        <v>386</v>
      </c>
      <c r="C7" s="18" t="s">
        <v>418</v>
      </c>
      <c r="D7" s="18" t="s">
        <v>67</v>
      </c>
      <c r="E7" s="18" t="s">
        <v>419</v>
      </c>
      <c r="F7" s="18" t="s">
        <v>420</v>
      </c>
      <c r="G7" s="18" t="s">
        <v>421</v>
      </c>
      <c r="H7" s="18" t="s">
        <v>422</v>
      </c>
      <c r="I7" s="18" t="s">
        <v>71</v>
      </c>
      <c r="J7" s="18" t="s">
        <v>72</v>
      </c>
      <c r="K7" s="18" t="s">
        <v>73</v>
      </c>
      <c r="L7" s="18" t="s">
        <v>423</v>
      </c>
      <c r="M7" s="18" t="s">
        <v>424</v>
      </c>
      <c r="N7" s="18" t="s">
        <v>425</v>
      </c>
      <c r="O7" s="18" t="s">
        <v>426</v>
      </c>
      <c r="P7" s="18" t="s">
        <v>427</v>
      </c>
      <c r="Q7" s="18" t="s">
        <v>428</v>
      </c>
      <c r="R7" s="18" t="s">
        <v>78</v>
      </c>
    </row>
    <row r="8" customFormat="false" ht="15" hidden="false" customHeight="false" outlineLevel="0" collapsed="false">
      <c r="A8" s="21"/>
      <c r="B8" s="20"/>
      <c r="C8" s="22"/>
      <c r="D8" s="75"/>
      <c r="E8" s="75"/>
      <c r="F8" s="75"/>
      <c r="G8" s="75"/>
      <c r="H8" s="75"/>
      <c r="I8" s="22"/>
      <c r="J8" s="22"/>
      <c r="K8" s="19" t="str">
        <f aca="false">IFERROR($I8-INDEX(Cadastro!$N$7:$N$66,MATCH($B8,Cadastro!$B$7:$B$66,0)),"")</f>
        <v/>
      </c>
      <c r="L8" s="76"/>
      <c r="M8" s="76"/>
      <c r="N8" s="75"/>
      <c r="O8" s="22"/>
      <c r="P8" s="75"/>
      <c r="Q8" s="75"/>
      <c r="R8" s="20"/>
    </row>
    <row r="9" customFormat="false" ht="15" hidden="false" customHeight="false" outlineLevel="0" collapsed="false">
      <c r="A9" s="21"/>
      <c r="B9" s="20"/>
      <c r="C9" s="22"/>
      <c r="D9" s="75"/>
      <c r="E9" s="75"/>
      <c r="F9" s="75"/>
      <c r="G9" s="75"/>
      <c r="H9" s="75"/>
      <c r="I9" s="22"/>
      <c r="J9" s="22"/>
      <c r="K9" s="19" t="str">
        <f aca="false">IFERROR($I9-INDEX(Cadastro!$N$7:$N$66,MATCH($B9,Cadastro!$B$7:$B$66,0)),"")</f>
        <v/>
      </c>
      <c r="L9" s="76"/>
      <c r="M9" s="76"/>
      <c r="N9" s="75"/>
      <c r="O9" s="22"/>
      <c r="P9" s="75"/>
      <c r="Q9" s="75"/>
      <c r="R9" s="20"/>
    </row>
    <row r="10" customFormat="false" ht="15" hidden="false" customHeight="false" outlineLevel="0" collapsed="false">
      <c r="A10" s="21"/>
      <c r="B10" s="20"/>
      <c r="C10" s="22"/>
      <c r="D10" s="75"/>
      <c r="E10" s="75"/>
      <c r="F10" s="75"/>
      <c r="G10" s="75"/>
      <c r="H10" s="75"/>
      <c r="I10" s="22"/>
      <c r="J10" s="22"/>
      <c r="K10" s="19" t="str">
        <f aca="false">IFERROR($I10-INDEX(Cadastro!$N$7:$N$66,MATCH($B10,Cadastro!$B$7:$B$66,0)),"")</f>
        <v/>
      </c>
      <c r="L10" s="76"/>
      <c r="M10" s="76"/>
      <c r="N10" s="75"/>
      <c r="O10" s="22"/>
      <c r="P10" s="75"/>
      <c r="Q10" s="75"/>
      <c r="R10" s="20"/>
    </row>
    <row r="11" customFormat="false" ht="15" hidden="false" customHeight="false" outlineLevel="0" collapsed="false">
      <c r="A11" s="21"/>
      <c r="B11" s="20"/>
      <c r="C11" s="22"/>
      <c r="D11" s="75"/>
      <c r="E11" s="75"/>
      <c r="F11" s="75"/>
      <c r="G11" s="75"/>
      <c r="H11" s="75"/>
      <c r="I11" s="22"/>
      <c r="J11" s="22"/>
      <c r="K11" s="19" t="str">
        <f aca="false">IFERROR($I11-INDEX(Cadastro!$N$7:$N$66,MATCH($B11,Cadastro!$B$7:$B$66,0)),"")</f>
        <v/>
      </c>
      <c r="L11" s="76"/>
      <c r="M11" s="76"/>
      <c r="N11" s="75"/>
      <c r="O11" s="22"/>
      <c r="P11" s="75"/>
      <c r="Q11" s="75"/>
      <c r="R11" s="20"/>
    </row>
    <row r="12" customFormat="false" ht="15" hidden="false" customHeight="false" outlineLevel="0" collapsed="false">
      <c r="A12" s="21"/>
      <c r="B12" s="20"/>
      <c r="C12" s="22"/>
      <c r="D12" s="75"/>
      <c r="E12" s="75"/>
      <c r="F12" s="75"/>
      <c r="G12" s="75"/>
      <c r="H12" s="75"/>
      <c r="I12" s="22"/>
      <c r="J12" s="22"/>
      <c r="K12" s="19" t="str">
        <f aca="false">IFERROR($I12-INDEX(Cadastro!$N$7:$N$66,MATCH($B12,Cadastro!$B$7:$B$66,0)),"")</f>
        <v/>
      </c>
      <c r="L12" s="76"/>
      <c r="M12" s="76"/>
      <c r="N12" s="75"/>
      <c r="O12" s="22"/>
      <c r="P12" s="75"/>
      <c r="Q12" s="75"/>
      <c r="R12" s="20"/>
    </row>
    <row r="13" customFormat="false" ht="15" hidden="false" customHeight="false" outlineLevel="0" collapsed="false">
      <c r="A13" s="21"/>
      <c r="B13" s="20"/>
      <c r="C13" s="22"/>
      <c r="D13" s="75"/>
      <c r="E13" s="75"/>
      <c r="F13" s="75"/>
      <c r="G13" s="75"/>
      <c r="H13" s="75"/>
      <c r="I13" s="22"/>
      <c r="J13" s="22"/>
      <c r="K13" s="19" t="str">
        <f aca="false">IFERROR($I13-INDEX(Cadastro!$N$7:$N$66,MATCH($B13,Cadastro!$B$7:$B$66,0)),"")</f>
        <v/>
      </c>
      <c r="L13" s="76"/>
      <c r="M13" s="76"/>
      <c r="N13" s="75"/>
      <c r="O13" s="22"/>
      <c r="P13" s="75"/>
      <c r="Q13" s="75"/>
      <c r="R13" s="20"/>
    </row>
    <row r="14" customFormat="false" ht="15" hidden="false" customHeight="false" outlineLevel="0" collapsed="false">
      <c r="A14" s="21"/>
      <c r="B14" s="20"/>
      <c r="C14" s="22"/>
      <c r="D14" s="75"/>
      <c r="E14" s="75"/>
      <c r="F14" s="75"/>
      <c r="G14" s="75"/>
      <c r="H14" s="75"/>
      <c r="I14" s="22"/>
      <c r="J14" s="22"/>
      <c r="K14" s="19" t="str">
        <f aca="false">IFERROR($I14-INDEX(Cadastro!$N$7:$N$66,MATCH($B14,Cadastro!$B$7:$B$66,0)),"")</f>
        <v/>
      </c>
      <c r="L14" s="76"/>
      <c r="M14" s="76"/>
      <c r="N14" s="75"/>
      <c r="O14" s="22"/>
      <c r="P14" s="75"/>
      <c r="Q14" s="75"/>
      <c r="R14" s="20"/>
    </row>
    <row r="15" customFormat="false" ht="15" hidden="false" customHeight="false" outlineLevel="0" collapsed="false">
      <c r="A15" s="21"/>
      <c r="B15" s="20"/>
      <c r="C15" s="22"/>
      <c r="D15" s="75"/>
      <c r="E15" s="75"/>
      <c r="F15" s="75"/>
      <c r="G15" s="75"/>
      <c r="H15" s="75"/>
      <c r="I15" s="22"/>
      <c r="J15" s="22"/>
      <c r="K15" s="19" t="str">
        <f aca="false">IFERROR($I15-INDEX(Cadastro!$N$7:$N$66,MATCH($B15,Cadastro!$B$7:$B$66,0)),"")</f>
        <v/>
      </c>
      <c r="L15" s="76"/>
      <c r="M15" s="76"/>
      <c r="N15" s="75"/>
      <c r="O15" s="22"/>
      <c r="P15" s="75"/>
      <c r="Q15" s="75"/>
      <c r="R15" s="20"/>
    </row>
    <row r="16" customFormat="false" ht="15" hidden="false" customHeight="false" outlineLevel="0" collapsed="false">
      <c r="A16" s="21"/>
      <c r="B16" s="20"/>
      <c r="C16" s="22"/>
      <c r="D16" s="75"/>
      <c r="E16" s="75"/>
      <c r="F16" s="75"/>
      <c r="G16" s="75"/>
      <c r="H16" s="75"/>
      <c r="I16" s="22"/>
      <c r="J16" s="22"/>
      <c r="K16" s="19" t="str">
        <f aca="false">IFERROR($I16-INDEX(Cadastro!$N$7:$N$66,MATCH($B16,Cadastro!$B$7:$B$66,0)),"")</f>
        <v/>
      </c>
      <c r="L16" s="76"/>
      <c r="M16" s="76"/>
      <c r="N16" s="75"/>
      <c r="O16" s="22"/>
      <c r="P16" s="75"/>
      <c r="Q16" s="75"/>
      <c r="R16" s="20"/>
    </row>
    <row r="17" customFormat="false" ht="15" hidden="false" customHeight="false" outlineLevel="0" collapsed="false">
      <c r="A17" s="21"/>
      <c r="B17" s="20"/>
      <c r="C17" s="22"/>
      <c r="D17" s="75"/>
      <c r="E17" s="75"/>
      <c r="F17" s="75"/>
      <c r="G17" s="75"/>
      <c r="H17" s="75"/>
      <c r="I17" s="22"/>
      <c r="J17" s="22"/>
      <c r="K17" s="19" t="str">
        <f aca="false">IFERROR($I17-INDEX(Cadastro!$N$7:$N$66,MATCH($B17,Cadastro!$B$7:$B$66,0)),"")</f>
        <v/>
      </c>
      <c r="L17" s="76"/>
      <c r="M17" s="76"/>
      <c r="N17" s="75"/>
      <c r="O17" s="22"/>
      <c r="P17" s="75"/>
      <c r="Q17" s="75"/>
      <c r="R17" s="20"/>
    </row>
    <row r="18" customFormat="false" ht="15" hidden="false" customHeight="false" outlineLevel="0" collapsed="false">
      <c r="A18" s="21"/>
      <c r="B18" s="20"/>
      <c r="C18" s="22"/>
      <c r="D18" s="75"/>
      <c r="E18" s="75"/>
      <c r="F18" s="75"/>
      <c r="G18" s="75"/>
      <c r="H18" s="75"/>
      <c r="I18" s="22"/>
      <c r="J18" s="22"/>
      <c r="K18" s="19" t="str">
        <f aca="false">IFERROR($I18-INDEX(Cadastro!$N$7:$N$66,MATCH($B18,Cadastro!$B$7:$B$66,0)),"")</f>
        <v/>
      </c>
      <c r="L18" s="76"/>
      <c r="M18" s="76"/>
      <c r="N18" s="75"/>
      <c r="O18" s="22"/>
      <c r="P18" s="75"/>
      <c r="Q18" s="75"/>
      <c r="R18" s="20"/>
    </row>
    <row r="19" customFormat="false" ht="15" hidden="false" customHeight="false" outlineLevel="0" collapsed="false">
      <c r="A19" s="21"/>
      <c r="B19" s="20"/>
      <c r="C19" s="22"/>
      <c r="D19" s="75"/>
      <c r="E19" s="75"/>
      <c r="F19" s="75"/>
      <c r="G19" s="75"/>
      <c r="H19" s="75"/>
      <c r="I19" s="22"/>
      <c r="J19" s="22"/>
      <c r="K19" s="19" t="str">
        <f aca="false">IFERROR($I19-INDEX(Cadastro!$N$7:$N$66,MATCH($B19,Cadastro!$B$7:$B$66,0)),"")</f>
        <v/>
      </c>
      <c r="L19" s="76"/>
      <c r="M19" s="76"/>
      <c r="N19" s="75"/>
      <c r="O19" s="22"/>
      <c r="P19" s="75"/>
      <c r="Q19" s="75"/>
      <c r="R19" s="20"/>
    </row>
    <row r="20" customFormat="false" ht="15" hidden="false" customHeight="false" outlineLevel="0" collapsed="false">
      <c r="A20" s="21"/>
      <c r="B20" s="20"/>
      <c r="C20" s="22"/>
      <c r="D20" s="75"/>
      <c r="E20" s="75"/>
      <c r="F20" s="75"/>
      <c r="G20" s="75"/>
      <c r="H20" s="75"/>
      <c r="I20" s="22"/>
      <c r="J20" s="22"/>
      <c r="K20" s="19" t="str">
        <f aca="false">IFERROR($I20-INDEX(Cadastro!$N$7:$N$66,MATCH($B20,Cadastro!$B$7:$B$66,0)),"")</f>
        <v/>
      </c>
      <c r="L20" s="76"/>
      <c r="M20" s="76"/>
      <c r="N20" s="75"/>
      <c r="O20" s="22"/>
      <c r="P20" s="75"/>
      <c r="Q20" s="75"/>
      <c r="R20" s="20"/>
    </row>
    <row r="21" customFormat="false" ht="15" hidden="false" customHeight="false" outlineLevel="0" collapsed="false">
      <c r="A21" s="21"/>
      <c r="B21" s="20"/>
      <c r="C21" s="22"/>
      <c r="D21" s="75"/>
      <c r="E21" s="75"/>
      <c r="F21" s="75"/>
      <c r="G21" s="75"/>
      <c r="H21" s="75"/>
      <c r="I21" s="22"/>
      <c r="J21" s="22"/>
      <c r="K21" s="19" t="str">
        <f aca="false">IFERROR($I21-INDEX(Cadastro!$N$7:$N$66,MATCH($B21,Cadastro!$B$7:$B$66,0)),"")</f>
        <v/>
      </c>
      <c r="L21" s="76"/>
      <c r="M21" s="76"/>
      <c r="N21" s="75"/>
      <c r="O21" s="22"/>
      <c r="P21" s="75"/>
      <c r="Q21" s="75"/>
      <c r="R21" s="20"/>
    </row>
    <row r="22" customFormat="false" ht="15" hidden="false" customHeight="false" outlineLevel="0" collapsed="false">
      <c r="A22" s="21"/>
      <c r="B22" s="20"/>
      <c r="C22" s="22"/>
      <c r="D22" s="75"/>
      <c r="E22" s="75"/>
      <c r="F22" s="75"/>
      <c r="G22" s="75"/>
      <c r="H22" s="75"/>
      <c r="I22" s="22"/>
      <c r="J22" s="22"/>
      <c r="K22" s="19" t="str">
        <f aca="false">IFERROR($I22-INDEX(Cadastro!$N$7:$N$66,MATCH($B22,Cadastro!$B$7:$B$66,0)),"")</f>
        <v/>
      </c>
      <c r="L22" s="76"/>
      <c r="M22" s="76"/>
      <c r="N22" s="75"/>
      <c r="O22" s="22"/>
      <c r="P22" s="75"/>
      <c r="Q22" s="75"/>
      <c r="R22" s="20"/>
    </row>
    <row r="23" customFormat="false" ht="15" hidden="false" customHeight="false" outlineLevel="0" collapsed="false">
      <c r="A23" s="21"/>
      <c r="B23" s="20"/>
      <c r="C23" s="22"/>
      <c r="D23" s="75"/>
      <c r="E23" s="75"/>
      <c r="F23" s="75"/>
      <c r="G23" s="75"/>
      <c r="H23" s="75"/>
      <c r="I23" s="22"/>
      <c r="J23" s="22"/>
      <c r="K23" s="19" t="str">
        <f aca="false">IFERROR($I23-INDEX(Cadastro!$N$7:$N$66,MATCH($B23,Cadastro!$B$7:$B$66,0)),"")</f>
        <v/>
      </c>
      <c r="L23" s="76"/>
      <c r="M23" s="76"/>
      <c r="N23" s="75"/>
      <c r="O23" s="22"/>
      <c r="P23" s="75"/>
      <c r="Q23" s="75"/>
      <c r="R23" s="20"/>
    </row>
    <row r="24" customFormat="false" ht="15" hidden="false" customHeight="false" outlineLevel="0" collapsed="false">
      <c r="A24" s="21"/>
      <c r="B24" s="20"/>
      <c r="C24" s="22"/>
      <c r="D24" s="75"/>
      <c r="E24" s="75"/>
      <c r="F24" s="75"/>
      <c r="G24" s="75"/>
      <c r="H24" s="75"/>
      <c r="I24" s="22"/>
      <c r="J24" s="22"/>
      <c r="K24" s="19" t="str">
        <f aca="false">IFERROR($I24-INDEX(Cadastro!$N$7:$N$66,MATCH($B24,Cadastro!$B$7:$B$66,0)),"")</f>
        <v/>
      </c>
      <c r="L24" s="76"/>
      <c r="M24" s="76"/>
      <c r="N24" s="75"/>
      <c r="O24" s="22"/>
      <c r="P24" s="75"/>
      <c r="Q24" s="75"/>
      <c r="R24" s="20"/>
    </row>
    <row r="25" customFormat="false" ht="15" hidden="false" customHeight="false" outlineLevel="0" collapsed="false">
      <c r="A25" s="21"/>
      <c r="B25" s="20"/>
      <c r="C25" s="22"/>
      <c r="D25" s="75"/>
      <c r="E25" s="75"/>
      <c r="F25" s="75"/>
      <c r="G25" s="75"/>
      <c r="H25" s="75"/>
      <c r="I25" s="22"/>
      <c r="J25" s="22"/>
      <c r="K25" s="19" t="str">
        <f aca="false">IFERROR($I25-INDEX(Cadastro!$N$7:$N$66,MATCH($B25,Cadastro!$B$7:$B$66,0)),"")</f>
        <v/>
      </c>
      <c r="L25" s="76"/>
      <c r="M25" s="76"/>
      <c r="N25" s="75"/>
      <c r="O25" s="22"/>
      <c r="P25" s="75"/>
      <c r="Q25" s="75"/>
      <c r="R25" s="20"/>
    </row>
    <row r="26" customFormat="false" ht="15" hidden="false" customHeight="false" outlineLevel="0" collapsed="false">
      <c r="A26" s="21"/>
      <c r="B26" s="20"/>
      <c r="C26" s="22"/>
      <c r="D26" s="75"/>
      <c r="E26" s="75"/>
      <c r="F26" s="75"/>
      <c r="G26" s="75"/>
      <c r="H26" s="75"/>
      <c r="I26" s="22"/>
      <c r="J26" s="22"/>
      <c r="K26" s="19" t="str">
        <f aca="false">IFERROR($I26-INDEX(Cadastro!$N$7:$N$66,MATCH($B26,Cadastro!$B$7:$B$66,0)),"")</f>
        <v/>
      </c>
      <c r="L26" s="76"/>
      <c r="M26" s="76"/>
      <c r="N26" s="75"/>
      <c r="O26" s="22"/>
      <c r="P26" s="75"/>
      <c r="Q26" s="75"/>
      <c r="R26" s="20"/>
    </row>
    <row r="27" customFormat="false" ht="15" hidden="false" customHeight="false" outlineLevel="0" collapsed="false">
      <c r="A27" s="21"/>
      <c r="B27" s="20"/>
      <c r="C27" s="22"/>
      <c r="D27" s="75"/>
      <c r="E27" s="75"/>
      <c r="F27" s="75"/>
      <c r="G27" s="75"/>
      <c r="H27" s="75"/>
      <c r="I27" s="22"/>
      <c r="J27" s="22"/>
      <c r="K27" s="19" t="str">
        <f aca="false">IFERROR($I27-INDEX(Cadastro!$N$7:$N$66,MATCH($B27,Cadastro!$B$7:$B$66,0)),"")</f>
        <v/>
      </c>
      <c r="L27" s="76"/>
      <c r="M27" s="76"/>
      <c r="N27" s="75"/>
      <c r="O27" s="22"/>
      <c r="P27" s="75"/>
      <c r="Q27" s="75"/>
      <c r="R27" s="20"/>
    </row>
    <row r="28" customFormat="false" ht="15" hidden="false" customHeight="false" outlineLevel="0" collapsed="false">
      <c r="A28" s="21"/>
      <c r="B28" s="20"/>
      <c r="C28" s="22"/>
      <c r="D28" s="75"/>
      <c r="E28" s="75"/>
      <c r="F28" s="75"/>
      <c r="G28" s="75"/>
      <c r="H28" s="75"/>
      <c r="I28" s="22"/>
      <c r="J28" s="22"/>
      <c r="K28" s="19" t="str">
        <f aca="false">IFERROR($I28-INDEX(Cadastro!$N$7:$N$66,MATCH($B28,Cadastro!$B$7:$B$66,0)),"")</f>
        <v/>
      </c>
      <c r="L28" s="76"/>
      <c r="M28" s="76"/>
      <c r="N28" s="75"/>
      <c r="O28" s="22"/>
      <c r="P28" s="75"/>
      <c r="Q28" s="75"/>
      <c r="R28" s="20"/>
    </row>
    <row r="29" customFormat="false" ht="15" hidden="false" customHeight="false" outlineLevel="0" collapsed="false">
      <c r="A29" s="21"/>
      <c r="B29" s="20"/>
      <c r="C29" s="22"/>
      <c r="D29" s="75"/>
      <c r="E29" s="75"/>
      <c r="F29" s="75"/>
      <c r="G29" s="75"/>
      <c r="H29" s="75"/>
      <c r="I29" s="22"/>
      <c r="J29" s="22"/>
      <c r="K29" s="19" t="str">
        <f aca="false">IFERROR($I29-INDEX(Cadastro!$N$7:$N$66,MATCH($B29,Cadastro!$B$7:$B$66,0)),"")</f>
        <v/>
      </c>
      <c r="L29" s="76"/>
      <c r="M29" s="76"/>
      <c r="N29" s="75"/>
      <c r="O29" s="22"/>
      <c r="P29" s="75"/>
      <c r="Q29" s="75"/>
      <c r="R29" s="20"/>
    </row>
    <row r="30" customFormat="false" ht="15" hidden="false" customHeight="false" outlineLevel="0" collapsed="false">
      <c r="A30" s="21"/>
      <c r="B30" s="20"/>
      <c r="C30" s="22"/>
      <c r="D30" s="75"/>
      <c r="E30" s="75"/>
      <c r="F30" s="75"/>
      <c r="G30" s="75"/>
      <c r="H30" s="75"/>
      <c r="I30" s="22"/>
      <c r="J30" s="22"/>
      <c r="K30" s="19" t="str">
        <f aca="false">IFERROR($I30-INDEX(Cadastro!$N$7:$N$66,MATCH($B30,Cadastro!$B$7:$B$66,0)),"")</f>
        <v/>
      </c>
      <c r="L30" s="76"/>
      <c r="M30" s="76"/>
      <c r="N30" s="75"/>
      <c r="O30" s="22"/>
      <c r="P30" s="75"/>
      <c r="Q30" s="75"/>
      <c r="R30" s="20"/>
    </row>
    <row r="31" customFormat="false" ht="15" hidden="false" customHeight="false" outlineLevel="0" collapsed="false">
      <c r="A31" s="21"/>
      <c r="B31" s="20"/>
      <c r="C31" s="22"/>
      <c r="D31" s="75"/>
      <c r="E31" s="75"/>
      <c r="F31" s="75"/>
      <c r="G31" s="75"/>
      <c r="H31" s="75"/>
      <c r="I31" s="22"/>
      <c r="J31" s="22"/>
      <c r="K31" s="19" t="str">
        <f aca="false">IFERROR($I31-INDEX(Cadastro!$N$7:$N$66,MATCH($B31,Cadastro!$B$7:$B$66,0)),"")</f>
        <v/>
      </c>
      <c r="L31" s="76"/>
      <c r="M31" s="76"/>
      <c r="N31" s="75"/>
      <c r="O31" s="22"/>
      <c r="P31" s="75"/>
      <c r="Q31" s="75"/>
      <c r="R31" s="20"/>
    </row>
    <row r="32" customFormat="false" ht="15" hidden="false" customHeight="false" outlineLevel="0" collapsed="false">
      <c r="A32" s="21"/>
      <c r="B32" s="20"/>
      <c r="C32" s="22"/>
      <c r="D32" s="75"/>
      <c r="E32" s="75"/>
      <c r="F32" s="75"/>
      <c r="G32" s="75"/>
      <c r="H32" s="75"/>
      <c r="I32" s="22"/>
      <c r="J32" s="22"/>
      <c r="K32" s="19" t="str">
        <f aca="false">IFERROR($I32-INDEX(Cadastro!$N$7:$N$66,MATCH($B32,Cadastro!$B$7:$B$66,0)),"")</f>
        <v/>
      </c>
      <c r="L32" s="76"/>
      <c r="M32" s="76"/>
      <c r="N32" s="75"/>
      <c r="O32" s="22"/>
      <c r="P32" s="75"/>
      <c r="Q32" s="75"/>
      <c r="R32" s="20"/>
    </row>
    <row r="33" customFormat="false" ht="15" hidden="false" customHeight="false" outlineLevel="0" collapsed="false">
      <c r="A33" s="21"/>
      <c r="B33" s="20"/>
      <c r="C33" s="22"/>
      <c r="D33" s="75"/>
      <c r="E33" s="75"/>
      <c r="F33" s="75"/>
      <c r="G33" s="75"/>
      <c r="H33" s="75"/>
      <c r="I33" s="22"/>
      <c r="J33" s="22"/>
      <c r="K33" s="19" t="str">
        <f aca="false">IFERROR($I33-INDEX(Cadastro!$N$7:$N$66,MATCH($B33,Cadastro!$B$7:$B$66,0)),"")</f>
        <v/>
      </c>
      <c r="L33" s="76"/>
      <c r="M33" s="76"/>
      <c r="N33" s="75"/>
      <c r="O33" s="22"/>
      <c r="P33" s="75"/>
      <c r="Q33" s="75"/>
      <c r="R33" s="20"/>
    </row>
    <row r="34" customFormat="false" ht="15" hidden="false" customHeight="false" outlineLevel="0" collapsed="false">
      <c r="A34" s="21"/>
      <c r="B34" s="20"/>
      <c r="C34" s="22"/>
      <c r="D34" s="75"/>
      <c r="E34" s="75"/>
      <c r="F34" s="75"/>
      <c r="G34" s="75"/>
      <c r="H34" s="75"/>
      <c r="I34" s="22"/>
      <c r="J34" s="22"/>
      <c r="K34" s="19" t="str">
        <f aca="false">IFERROR($I34-INDEX(Cadastro!$N$7:$N$66,MATCH($B34,Cadastro!$B$7:$B$66,0)),"")</f>
        <v/>
      </c>
      <c r="L34" s="76"/>
      <c r="M34" s="76"/>
      <c r="N34" s="75"/>
      <c r="O34" s="22"/>
      <c r="P34" s="75"/>
      <c r="Q34" s="75"/>
      <c r="R34" s="20"/>
    </row>
    <row r="35" customFormat="false" ht="15" hidden="false" customHeight="false" outlineLevel="0" collapsed="false">
      <c r="A35" s="21"/>
      <c r="B35" s="20"/>
      <c r="C35" s="22"/>
      <c r="D35" s="75"/>
      <c r="E35" s="75"/>
      <c r="F35" s="75"/>
      <c r="G35" s="75"/>
      <c r="H35" s="75"/>
      <c r="I35" s="22"/>
      <c r="J35" s="22"/>
      <c r="K35" s="19" t="str">
        <f aca="false">IFERROR($I35-INDEX(Cadastro!$N$7:$N$66,MATCH($B35,Cadastro!$B$7:$B$66,0)),"")</f>
        <v/>
      </c>
      <c r="L35" s="76"/>
      <c r="M35" s="76"/>
      <c r="N35" s="75"/>
      <c r="O35" s="22"/>
      <c r="P35" s="75"/>
      <c r="Q35" s="75"/>
      <c r="R35" s="20"/>
    </row>
    <row r="36" customFormat="false" ht="15" hidden="false" customHeight="false" outlineLevel="0" collapsed="false">
      <c r="A36" s="21"/>
      <c r="B36" s="20"/>
      <c r="C36" s="22"/>
      <c r="D36" s="75"/>
      <c r="E36" s="75"/>
      <c r="F36" s="75"/>
      <c r="G36" s="75"/>
      <c r="H36" s="75"/>
      <c r="I36" s="22"/>
      <c r="J36" s="22"/>
      <c r="K36" s="19" t="str">
        <f aca="false">IFERROR($I36-INDEX(Cadastro!$N$7:$N$66,MATCH($B36,Cadastro!$B$7:$B$66,0)),"")</f>
        <v/>
      </c>
      <c r="L36" s="76"/>
      <c r="M36" s="76"/>
      <c r="N36" s="75"/>
      <c r="O36" s="22"/>
      <c r="P36" s="75"/>
      <c r="Q36" s="75"/>
      <c r="R36" s="20"/>
    </row>
    <row r="37" customFormat="false" ht="15" hidden="false" customHeight="false" outlineLevel="0" collapsed="false">
      <c r="A37" s="21"/>
      <c r="B37" s="20"/>
      <c r="C37" s="22"/>
      <c r="D37" s="75"/>
      <c r="E37" s="75"/>
      <c r="F37" s="75"/>
      <c r="G37" s="75"/>
      <c r="H37" s="75"/>
      <c r="I37" s="22"/>
      <c r="J37" s="22"/>
      <c r="K37" s="19" t="str">
        <f aca="false">IFERROR($I37-INDEX(Cadastro!$N$7:$N$66,MATCH($B37,Cadastro!$B$7:$B$66,0)),"")</f>
        <v/>
      </c>
      <c r="L37" s="76"/>
      <c r="M37" s="76"/>
      <c r="N37" s="75"/>
      <c r="O37" s="22"/>
      <c r="P37" s="75"/>
      <c r="Q37" s="75"/>
      <c r="R37" s="20"/>
    </row>
    <row r="38" customFormat="false" ht="15" hidden="false" customHeight="false" outlineLevel="0" collapsed="false">
      <c r="A38" s="21"/>
      <c r="B38" s="20"/>
      <c r="C38" s="22"/>
      <c r="D38" s="75"/>
      <c r="E38" s="75"/>
      <c r="F38" s="75"/>
      <c r="G38" s="75"/>
      <c r="H38" s="75"/>
      <c r="I38" s="22"/>
      <c r="J38" s="22"/>
      <c r="K38" s="19" t="str">
        <f aca="false">IFERROR($I38-INDEX(Cadastro!$N$7:$N$66,MATCH($B38,Cadastro!$B$7:$B$66,0)),"")</f>
        <v/>
      </c>
      <c r="L38" s="76"/>
      <c r="M38" s="76"/>
      <c r="N38" s="75"/>
      <c r="O38" s="22"/>
      <c r="P38" s="75"/>
      <c r="Q38" s="75"/>
      <c r="R38" s="20"/>
    </row>
    <row r="39" customFormat="false" ht="15" hidden="false" customHeight="false" outlineLevel="0" collapsed="false">
      <c r="A39" s="21"/>
      <c r="B39" s="20"/>
      <c r="C39" s="22"/>
      <c r="D39" s="75"/>
      <c r="E39" s="75"/>
      <c r="F39" s="75"/>
      <c r="G39" s="75"/>
      <c r="H39" s="75"/>
      <c r="I39" s="22"/>
      <c r="J39" s="22"/>
      <c r="K39" s="19" t="str">
        <f aca="false">IFERROR($I39-INDEX(Cadastro!$N$7:$N$66,MATCH($B39,Cadastro!$B$7:$B$66,0)),"")</f>
        <v/>
      </c>
      <c r="L39" s="76"/>
      <c r="M39" s="76"/>
      <c r="N39" s="75"/>
      <c r="O39" s="22"/>
      <c r="P39" s="75"/>
      <c r="Q39" s="75"/>
      <c r="R39" s="20"/>
    </row>
    <row r="40" customFormat="false" ht="15" hidden="false" customHeight="false" outlineLevel="0" collapsed="false">
      <c r="A40" s="21"/>
      <c r="B40" s="20"/>
      <c r="C40" s="22"/>
      <c r="D40" s="75"/>
      <c r="E40" s="75"/>
      <c r="F40" s="75"/>
      <c r="G40" s="75"/>
      <c r="H40" s="75"/>
      <c r="I40" s="22"/>
      <c r="J40" s="22"/>
      <c r="K40" s="19" t="str">
        <f aca="false">IFERROR($I40-INDEX(Cadastro!$N$7:$N$66,MATCH($B40,Cadastro!$B$7:$B$66,0)),"")</f>
        <v/>
      </c>
      <c r="L40" s="76"/>
      <c r="M40" s="76"/>
      <c r="N40" s="75"/>
      <c r="O40" s="22"/>
      <c r="P40" s="75"/>
      <c r="Q40" s="75"/>
      <c r="R40" s="20"/>
    </row>
    <row r="41" customFormat="false" ht="15" hidden="false" customHeight="false" outlineLevel="0" collapsed="false">
      <c r="A41" s="21"/>
      <c r="B41" s="20"/>
      <c r="C41" s="22"/>
      <c r="D41" s="75"/>
      <c r="E41" s="75"/>
      <c r="F41" s="75"/>
      <c r="G41" s="75"/>
      <c r="H41" s="75"/>
      <c r="I41" s="22"/>
      <c r="J41" s="22"/>
      <c r="K41" s="19" t="str">
        <f aca="false">IFERROR($I41-INDEX(Cadastro!$N$7:$N$66,MATCH($B41,Cadastro!$B$7:$B$66,0)),"")</f>
        <v/>
      </c>
      <c r="L41" s="76"/>
      <c r="M41" s="76"/>
      <c r="N41" s="75"/>
      <c r="O41" s="22"/>
      <c r="P41" s="75"/>
      <c r="Q41" s="75"/>
      <c r="R41" s="20"/>
    </row>
    <row r="42" customFormat="false" ht="15" hidden="false" customHeight="false" outlineLevel="0" collapsed="false">
      <c r="A42" s="21"/>
      <c r="B42" s="20"/>
      <c r="C42" s="22"/>
      <c r="D42" s="75"/>
      <c r="E42" s="75"/>
      <c r="F42" s="75"/>
      <c r="G42" s="75"/>
      <c r="H42" s="75"/>
      <c r="I42" s="22"/>
      <c r="J42" s="22"/>
      <c r="K42" s="19" t="str">
        <f aca="false">IFERROR($I42-INDEX(Cadastro!$N$7:$N$66,MATCH($B42,Cadastro!$B$7:$B$66,0)),"")</f>
        <v/>
      </c>
      <c r="L42" s="76"/>
      <c r="M42" s="76"/>
      <c r="N42" s="75"/>
      <c r="O42" s="22"/>
      <c r="P42" s="75"/>
      <c r="Q42" s="75"/>
      <c r="R42" s="20"/>
    </row>
    <row r="43" customFormat="false" ht="15" hidden="false" customHeight="false" outlineLevel="0" collapsed="false">
      <c r="A43" s="21"/>
      <c r="B43" s="20"/>
      <c r="C43" s="22"/>
      <c r="D43" s="75"/>
      <c r="E43" s="75"/>
      <c r="F43" s="75"/>
      <c r="G43" s="75"/>
      <c r="H43" s="75"/>
      <c r="I43" s="22"/>
      <c r="J43" s="22"/>
      <c r="K43" s="19" t="str">
        <f aca="false">IFERROR($I43-INDEX(Cadastro!$N$7:$N$66,MATCH($B43,Cadastro!$B$7:$B$66,0)),"")</f>
        <v/>
      </c>
      <c r="L43" s="76"/>
      <c r="M43" s="76"/>
      <c r="N43" s="75"/>
      <c r="O43" s="22"/>
      <c r="P43" s="75"/>
      <c r="Q43" s="75"/>
      <c r="R43" s="20"/>
    </row>
    <row r="44" customFormat="false" ht="15" hidden="false" customHeight="false" outlineLevel="0" collapsed="false">
      <c r="A44" s="21"/>
      <c r="B44" s="20"/>
      <c r="C44" s="22"/>
      <c r="D44" s="75"/>
      <c r="E44" s="75"/>
      <c r="F44" s="75"/>
      <c r="G44" s="75"/>
      <c r="H44" s="75"/>
      <c r="I44" s="22"/>
      <c r="J44" s="22"/>
      <c r="K44" s="19" t="str">
        <f aca="false">IFERROR($I44-INDEX(Cadastro!$N$7:$N$66,MATCH($B44,Cadastro!$B$7:$B$66,0)),"")</f>
        <v/>
      </c>
      <c r="L44" s="76"/>
      <c r="M44" s="76"/>
      <c r="N44" s="75"/>
      <c r="O44" s="22"/>
      <c r="P44" s="75"/>
      <c r="Q44" s="75"/>
      <c r="R44" s="20"/>
    </row>
    <row r="45" customFormat="false" ht="15" hidden="false" customHeight="false" outlineLevel="0" collapsed="false">
      <c r="A45" s="21"/>
      <c r="B45" s="20"/>
      <c r="C45" s="22"/>
      <c r="D45" s="75"/>
      <c r="E45" s="75"/>
      <c r="F45" s="75"/>
      <c r="G45" s="75"/>
      <c r="H45" s="75"/>
      <c r="I45" s="22"/>
      <c r="J45" s="22"/>
      <c r="K45" s="19" t="str">
        <f aca="false">IFERROR($I45-INDEX(Cadastro!$N$7:$N$66,MATCH($B45,Cadastro!$B$7:$B$66,0)),"")</f>
        <v/>
      </c>
      <c r="L45" s="76"/>
      <c r="M45" s="76"/>
      <c r="N45" s="75"/>
      <c r="O45" s="22"/>
      <c r="P45" s="75"/>
      <c r="Q45" s="75"/>
      <c r="R45" s="20"/>
    </row>
    <row r="46" customFormat="false" ht="15" hidden="false" customHeight="false" outlineLevel="0" collapsed="false">
      <c r="A46" s="21"/>
      <c r="B46" s="20"/>
      <c r="C46" s="22"/>
      <c r="D46" s="75"/>
      <c r="E46" s="75"/>
      <c r="F46" s="75"/>
      <c r="G46" s="75"/>
      <c r="H46" s="75"/>
      <c r="I46" s="22"/>
      <c r="J46" s="22"/>
      <c r="K46" s="19" t="str">
        <f aca="false">IFERROR($I46-INDEX(Cadastro!$N$7:$N$66,MATCH($B46,Cadastro!$B$7:$B$66,0)),"")</f>
        <v/>
      </c>
      <c r="L46" s="76"/>
      <c r="M46" s="76"/>
      <c r="N46" s="75"/>
      <c r="O46" s="22"/>
      <c r="P46" s="75"/>
      <c r="Q46" s="75"/>
      <c r="R46" s="20"/>
    </row>
    <row r="47" customFormat="false" ht="15" hidden="false" customHeight="false" outlineLevel="0" collapsed="false">
      <c r="A47" s="21"/>
      <c r="B47" s="20"/>
      <c r="C47" s="22"/>
      <c r="D47" s="75"/>
      <c r="E47" s="75"/>
      <c r="F47" s="75"/>
      <c r="G47" s="75"/>
      <c r="H47" s="75"/>
      <c r="I47" s="22"/>
      <c r="J47" s="22"/>
      <c r="K47" s="19" t="str">
        <f aca="false">IFERROR($I47-INDEX(Cadastro!$N$7:$N$66,MATCH($B47,Cadastro!$B$7:$B$66,0)),"")</f>
        <v/>
      </c>
      <c r="L47" s="76"/>
      <c r="M47" s="76"/>
      <c r="N47" s="75"/>
      <c r="O47" s="22"/>
      <c r="P47" s="75"/>
      <c r="Q47" s="75"/>
      <c r="R47" s="20"/>
    </row>
    <row r="48" customFormat="false" ht="15" hidden="false" customHeight="false" outlineLevel="0" collapsed="false">
      <c r="A48" s="21"/>
      <c r="B48" s="20"/>
      <c r="C48" s="22"/>
      <c r="D48" s="75"/>
      <c r="E48" s="75"/>
      <c r="F48" s="75"/>
      <c r="G48" s="75"/>
      <c r="H48" s="75"/>
      <c r="I48" s="22"/>
      <c r="J48" s="22"/>
      <c r="K48" s="19" t="str">
        <f aca="false">IFERROR($I48-INDEX(Cadastro!$N$7:$N$66,MATCH($B48,Cadastro!$B$7:$B$66,0)),"")</f>
        <v/>
      </c>
      <c r="L48" s="76"/>
      <c r="M48" s="76"/>
      <c r="N48" s="75"/>
      <c r="O48" s="22"/>
      <c r="P48" s="75"/>
      <c r="Q48" s="75"/>
      <c r="R48" s="20"/>
    </row>
    <row r="49" customFormat="false" ht="15" hidden="false" customHeight="false" outlineLevel="0" collapsed="false">
      <c r="A49" s="21"/>
      <c r="B49" s="20"/>
      <c r="C49" s="22"/>
      <c r="D49" s="75"/>
      <c r="E49" s="75"/>
      <c r="F49" s="75"/>
      <c r="G49" s="75"/>
      <c r="H49" s="75"/>
      <c r="I49" s="22"/>
      <c r="J49" s="22"/>
      <c r="K49" s="19" t="str">
        <f aca="false">IFERROR($I49-INDEX(Cadastro!$N$7:$N$66,MATCH($B49,Cadastro!$B$7:$B$66,0)),"")</f>
        <v/>
      </c>
      <c r="L49" s="76"/>
      <c r="M49" s="76"/>
      <c r="N49" s="75"/>
      <c r="O49" s="22"/>
      <c r="P49" s="75"/>
      <c r="Q49" s="75"/>
      <c r="R49" s="20"/>
    </row>
    <row r="50" customFormat="false" ht="15" hidden="false" customHeight="false" outlineLevel="0" collapsed="false">
      <c r="A50" s="21"/>
      <c r="B50" s="20"/>
      <c r="C50" s="22"/>
      <c r="D50" s="75"/>
      <c r="E50" s="75"/>
      <c r="F50" s="75"/>
      <c r="G50" s="75"/>
      <c r="H50" s="75"/>
      <c r="I50" s="22"/>
      <c r="J50" s="22"/>
      <c r="K50" s="19" t="str">
        <f aca="false">IFERROR($I50-INDEX(Cadastro!$N$7:$N$66,MATCH($B50,Cadastro!$B$7:$B$66,0)),"")</f>
        <v/>
      </c>
      <c r="L50" s="76"/>
      <c r="M50" s="76"/>
      <c r="N50" s="75"/>
      <c r="O50" s="22"/>
      <c r="P50" s="75"/>
      <c r="Q50" s="75"/>
      <c r="R50" s="20"/>
    </row>
    <row r="51" customFormat="false" ht="15" hidden="false" customHeight="false" outlineLevel="0" collapsed="false">
      <c r="A51" s="21"/>
      <c r="B51" s="20"/>
      <c r="C51" s="22"/>
      <c r="D51" s="75"/>
      <c r="E51" s="75"/>
      <c r="F51" s="75"/>
      <c r="G51" s="75"/>
      <c r="H51" s="75"/>
      <c r="I51" s="22"/>
      <c r="J51" s="22"/>
      <c r="K51" s="19" t="str">
        <f aca="false">IFERROR($I51-INDEX(Cadastro!$N$7:$N$66,MATCH($B51,Cadastro!$B$7:$B$66,0)),"")</f>
        <v/>
      </c>
      <c r="L51" s="76"/>
      <c r="M51" s="76"/>
      <c r="N51" s="75"/>
      <c r="O51" s="22"/>
      <c r="P51" s="75"/>
      <c r="Q51" s="75"/>
      <c r="R51" s="20"/>
    </row>
    <row r="52" customFormat="false" ht="15" hidden="false" customHeight="false" outlineLevel="0" collapsed="false">
      <c r="A52" s="21"/>
      <c r="B52" s="20"/>
      <c r="C52" s="22"/>
      <c r="D52" s="75"/>
      <c r="E52" s="75"/>
      <c r="F52" s="75"/>
      <c r="G52" s="75"/>
      <c r="H52" s="75"/>
      <c r="I52" s="22"/>
      <c r="J52" s="22"/>
      <c r="K52" s="19" t="str">
        <f aca="false">IFERROR($I52-INDEX(Cadastro!$N$7:$N$66,MATCH($B52,Cadastro!$B$7:$B$66,0)),"")</f>
        <v/>
      </c>
      <c r="L52" s="76"/>
      <c r="M52" s="76"/>
      <c r="N52" s="75"/>
      <c r="O52" s="22"/>
      <c r="P52" s="75"/>
      <c r="Q52" s="75"/>
      <c r="R52" s="20"/>
    </row>
    <row r="53" customFormat="false" ht="15" hidden="false" customHeight="false" outlineLevel="0" collapsed="false">
      <c r="A53" s="21"/>
      <c r="B53" s="20"/>
      <c r="C53" s="22"/>
      <c r="D53" s="75"/>
      <c r="E53" s="75"/>
      <c r="F53" s="75"/>
      <c r="G53" s="75"/>
      <c r="H53" s="75"/>
      <c r="I53" s="22"/>
      <c r="J53" s="22"/>
      <c r="K53" s="19" t="str">
        <f aca="false">IFERROR($I53-INDEX(Cadastro!$N$7:$N$66,MATCH($B53,Cadastro!$B$7:$B$66,0)),"")</f>
        <v/>
      </c>
      <c r="L53" s="76"/>
      <c r="M53" s="76"/>
      <c r="N53" s="75"/>
      <c r="O53" s="22"/>
      <c r="P53" s="75"/>
      <c r="Q53" s="75"/>
      <c r="R53" s="20"/>
    </row>
    <row r="54" customFormat="false" ht="15" hidden="false" customHeight="false" outlineLevel="0" collapsed="false">
      <c r="A54" s="21"/>
      <c r="B54" s="20"/>
      <c r="C54" s="22"/>
      <c r="D54" s="75"/>
      <c r="E54" s="75"/>
      <c r="F54" s="75"/>
      <c r="G54" s="75"/>
      <c r="H54" s="75"/>
      <c r="I54" s="22"/>
      <c r="J54" s="22"/>
      <c r="K54" s="19" t="str">
        <f aca="false">IFERROR($I54-INDEX(Cadastro!$N$7:$N$66,MATCH($B54,Cadastro!$B$7:$B$66,0)),"")</f>
        <v/>
      </c>
      <c r="L54" s="76"/>
      <c r="M54" s="76"/>
      <c r="N54" s="75"/>
      <c r="O54" s="22"/>
      <c r="P54" s="75"/>
      <c r="Q54" s="75"/>
      <c r="R54" s="20"/>
    </row>
    <row r="55" customFormat="false" ht="15" hidden="false" customHeight="false" outlineLevel="0" collapsed="false">
      <c r="A55" s="21"/>
      <c r="B55" s="20"/>
      <c r="C55" s="22"/>
      <c r="D55" s="75"/>
      <c r="E55" s="75"/>
      <c r="F55" s="75"/>
      <c r="G55" s="75"/>
      <c r="H55" s="75"/>
      <c r="I55" s="22"/>
      <c r="J55" s="22"/>
      <c r="K55" s="19" t="str">
        <f aca="false">IFERROR($I55-INDEX(Cadastro!$N$7:$N$66,MATCH($B55,Cadastro!$B$7:$B$66,0)),"")</f>
        <v/>
      </c>
      <c r="L55" s="76"/>
      <c r="M55" s="76"/>
      <c r="N55" s="75"/>
      <c r="O55" s="22"/>
      <c r="P55" s="75"/>
      <c r="Q55" s="75"/>
      <c r="R55" s="20"/>
    </row>
    <row r="56" customFormat="false" ht="15" hidden="false" customHeight="false" outlineLevel="0" collapsed="false">
      <c r="A56" s="21"/>
      <c r="B56" s="20"/>
      <c r="C56" s="22"/>
      <c r="D56" s="75"/>
      <c r="E56" s="75"/>
      <c r="F56" s="75"/>
      <c r="G56" s="75"/>
      <c r="H56" s="75"/>
      <c r="I56" s="22"/>
      <c r="J56" s="22"/>
      <c r="K56" s="19" t="str">
        <f aca="false">IFERROR($I56-INDEX(Cadastro!$N$7:$N$66,MATCH($B56,Cadastro!$B$7:$B$66,0)),"")</f>
        <v/>
      </c>
      <c r="L56" s="76"/>
      <c r="M56" s="76"/>
      <c r="N56" s="75"/>
      <c r="O56" s="22"/>
      <c r="P56" s="75"/>
      <c r="Q56" s="75"/>
      <c r="R56" s="20"/>
    </row>
    <row r="57" customFormat="false" ht="15" hidden="false" customHeight="false" outlineLevel="0" collapsed="false">
      <c r="A57" s="21"/>
      <c r="B57" s="20"/>
      <c r="C57" s="22"/>
      <c r="D57" s="75"/>
      <c r="E57" s="75"/>
      <c r="F57" s="75"/>
      <c r="G57" s="75"/>
      <c r="H57" s="75"/>
      <c r="I57" s="22"/>
      <c r="J57" s="22"/>
      <c r="K57" s="19" t="str">
        <f aca="false">IFERROR($I57-INDEX(Cadastro!$N$7:$N$66,MATCH($B57,Cadastro!$B$7:$B$66,0)),"")</f>
        <v/>
      </c>
      <c r="L57" s="76"/>
      <c r="M57" s="76"/>
      <c r="N57" s="75"/>
      <c r="O57" s="22"/>
      <c r="P57" s="75"/>
      <c r="Q57" s="75"/>
      <c r="R57" s="20"/>
    </row>
    <row r="58" customFormat="false" ht="15" hidden="false" customHeight="false" outlineLevel="0" collapsed="false">
      <c r="A58" s="21"/>
      <c r="B58" s="20"/>
      <c r="C58" s="22"/>
      <c r="D58" s="75"/>
      <c r="E58" s="75"/>
      <c r="F58" s="75"/>
      <c r="G58" s="75"/>
      <c r="H58" s="75"/>
      <c r="I58" s="22"/>
      <c r="J58" s="22"/>
      <c r="K58" s="19" t="str">
        <f aca="false">IFERROR($I58-INDEX(Cadastro!$N$7:$N$66,MATCH($B58,Cadastro!$B$7:$B$66,0)),"")</f>
        <v/>
      </c>
      <c r="L58" s="76"/>
      <c r="M58" s="76"/>
      <c r="N58" s="75"/>
      <c r="O58" s="22"/>
      <c r="P58" s="75"/>
      <c r="Q58" s="75"/>
      <c r="R58" s="20"/>
    </row>
    <row r="59" customFormat="false" ht="15" hidden="false" customHeight="false" outlineLevel="0" collapsed="false">
      <c r="A59" s="21"/>
      <c r="B59" s="20"/>
      <c r="C59" s="22"/>
      <c r="D59" s="75"/>
      <c r="E59" s="75"/>
      <c r="F59" s="75"/>
      <c r="G59" s="75"/>
      <c r="H59" s="75"/>
      <c r="I59" s="22"/>
      <c r="J59" s="22"/>
      <c r="K59" s="19" t="str">
        <f aca="false">IFERROR($I59-INDEX(Cadastro!$N$7:$N$66,MATCH($B59,Cadastro!$B$7:$B$66,0)),"")</f>
        <v/>
      </c>
      <c r="L59" s="76"/>
      <c r="M59" s="76"/>
      <c r="N59" s="75"/>
      <c r="O59" s="22"/>
      <c r="P59" s="75"/>
      <c r="Q59" s="75"/>
      <c r="R59" s="20"/>
    </row>
    <row r="60" customFormat="false" ht="15" hidden="false" customHeight="false" outlineLevel="0" collapsed="false">
      <c r="A60" s="21"/>
      <c r="B60" s="20"/>
      <c r="C60" s="22"/>
      <c r="D60" s="75"/>
      <c r="E60" s="75"/>
      <c r="F60" s="75"/>
      <c r="G60" s="75"/>
      <c r="H60" s="75"/>
      <c r="I60" s="22"/>
      <c r="J60" s="22"/>
      <c r="K60" s="19" t="str">
        <f aca="false">IFERROR($I60-INDEX(Cadastro!$N$7:$N$66,MATCH($B60,Cadastro!$B$7:$B$66,0)),"")</f>
        <v/>
      </c>
      <c r="L60" s="76"/>
      <c r="M60" s="76"/>
      <c r="N60" s="75"/>
      <c r="O60" s="22"/>
      <c r="P60" s="75"/>
      <c r="Q60" s="75"/>
      <c r="R60" s="20"/>
    </row>
    <row r="61" customFormat="false" ht="15" hidden="false" customHeight="false" outlineLevel="0" collapsed="false">
      <c r="A61" s="21"/>
      <c r="B61" s="20"/>
      <c r="C61" s="22"/>
      <c r="D61" s="75"/>
      <c r="E61" s="75"/>
      <c r="F61" s="75"/>
      <c r="G61" s="75"/>
      <c r="H61" s="75"/>
      <c r="I61" s="22"/>
      <c r="J61" s="22"/>
      <c r="K61" s="19" t="str">
        <f aca="false">IFERROR($I61-INDEX(Cadastro!$N$7:$N$66,MATCH($B61,Cadastro!$B$7:$B$66,0)),"")</f>
        <v/>
      </c>
      <c r="L61" s="76"/>
      <c r="M61" s="76"/>
      <c r="N61" s="75"/>
      <c r="O61" s="22"/>
      <c r="P61" s="75"/>
      <c r="Q61" s="75"/>
      <c r="R61" s="20"/>
    </row>
    <row r="62" customFormat="false" ht="15" hidden="false" customHeight="false" outlineLevel="0" collapsed="false">
      <c r="A62" s="21"/>
      <c r="B62" s="20"/>
      <c r="C62" s="22"/>
      <c r="D62" s="75"/>
      <c r="E62" s="75"/>
      <c r="F62" s="75"/>
      <c r="G62" s="75"/>
      <c r="H62" s="75"/>
      <c r="I62" s="22"/>
      <c r="J62" s="22"/>
      <c r="K62" s="19" t="str">
        <f aca="false">IFERROR($I62-INDEX(Cadastro!$N$7:$N$66,MATCH($B62,Cadastro!$B$7:$B$66,0)),"")</f>
        <v/>
      </c>
      <c r="L62" s="76"/>
      <c r="M62" s="76"/>
      <c r="N62" s="75"/>
      <c r="O62" s="22"/>
      <c r="P62" s="75"/>
      <c r="Q62" s="75"/>
      <c r="R62" s="20"/>
    </row>
    <row r="63" customFormat="false" ht="15" hidden="false" customHeight="false" outlineLevel="0" collapsed="false">
      <c r="A63" s="21"/>
      <c r="B63" s="20"/>
      <c r="C63" s="22"/>
      <c r="D63" s="75"/>
      <c r="E63" s="75"/>
      <c r="F63" s="75"/>
      <c r="G63" s="75"/>
      <c r="H63" s="75"/>
      <c r="I63" s="22"/>
      <c r="J63" s="22"/>
      <c r="K63" s="19" t="str">
        <f aca="false">IFERROR($I63-INDEX(Cadastro!$N$7:$N$66,MATCH($B63,Cadastro!$B$7:$B$66,0)),"")</f>
        <v/>
      </c>
      <c r="L63" s="76"/>
      <c r="M63" s="76"/>
      <c r="N63" s="75"/>
      <c r="O63" s="22"/>
      <c r="P63" s="75"/>
      <c r="Q63" s="75"/>
      <c r="R63" s="20"/>
    </row>
    <row r="64" customFormat="false" ht="15" hidden="false" customHeight="false" outlineLevel="0" collapsed="false">
      <c r="A64" s="21"/>
      <c r="B64" s="20"/>
      <c r="C64" s="22"/>
      <c r="D64" s="75"/>
      <c r="E64" s="75"/>
      <c r="F64" s="75"/>
      <c r="G64" s="75"/>
      <c r="H64" s="75"/>
      <c r="I64" s="22"/>
      <c r="J64" s="22"/>
      <c r="K64" s="19" t="str">
        <f aca="false">IFERROR($I64-INDEX(Cadastro!$N$7:$N$66,MATCH($B64,Cadastro!$B$7:$B$66,0)),"")</f>
        <v/>
      </c>
      <c r="L64" s="76"/>
      <c r="M64" s="76"/>
      <c r="N64" s="75"/>
      <c r="O64" s="22"/>
      <c r="P64" s="75"/>
      <c r="Q64" s="75"/>
      <c r="R64" s="20"/>
    </row>
    <row r="65" customFormat="false" ht="15" hidden="false" customHeight="false" outlineLevel="0" collapsed="false">
      <c r="A65" s="21"/>
      <c r="B65" s="20"/>
      <c r="C65" s="22"/>
      <c r="D65" s="75"/>
      <c r="E65" s="75"/>
      <c r="F65" s="75"/>
      <c r="G65" s="75"/>
      <c r="H65" s="75"/>
      <c r="I65" s="22"/>
      <c r="J65" s="22"/>
      <c r="K65" s="19" t="str">
        <f aca="false">IFERROR($I65-INDEX(Cadastro!$N$7:$N$66,MATCH($B65,Cadastro!$B$7:$B$66,0)),"")</f>
        <v/>
      </c>
      <c r="L65" s="76"/>
      <c r="M65" s="76"/>
      <c r="N65" s="75"/>
      <c r="O65" s="22"/>
      <c r="P65" s="75"/>
      <c r="Q65" s="75"/>
      <c r="R65" s="20"/>
    </row>
    <row r="66" customFormat="false" ht="15" hidden="false" customHeight="false" outlineLevel="0" collapsed="false">
      <c r="A66" s="21"/>
      <c r="B66" s="20"/>
      <c r="C66" s="22"/>
      <c r="D66" s="75"/>
      <c r="E66" s="75"/>
      <c r="F66" s="75"/>
      <c r="G66" s="75"/>
      <c r="H66" s="75"/>
      <c r="I66" s="22"/>
      <c r="J66" s="22"/>
      <c r="K66" s="19" t="str">
        <f aca="false">IFERROR($I66-INDEX(Cadastro!$N$7:$N$66,MATCH($B66,Cadastro!$B$7:$B$66,0)),"")</f>
        <v/>
      </c>
      <c r="L66" s="76"/>
      <c r="M66" s="76"/>
      <c r="N66" s="75"/>
      <c r="O66" s="22"/>
      <c r="P66" s="75"/>
      <c r="Q66" s="75"/>
      <c r="R66" s="20"/>
    </row>
    <row r="67" customFormat="false" ht="15" hidden="false" customHeight="false" outlineLevel="0" collapsed="false">
      <c r="A67" s="21"/>
      <c r="B67" s="20"/>
      <c r="C67" s="22"/>
      <c r="D67" s="75"/>
      <c r="E67" s="75"/>
      <c r="F67" s="75"/>
      <c r="G67" s="75"/>
      <c r="H67" s="75"/>
      <c r="I67" s="22"/>
      <c r="J67" s="22"/>
      <c r="K67" s="19" t="str">
        <f aca="false">IFERROR($I67-INDEX(Cadastro!$N$7:$N$66,MATCH($B67,Cadastro!$B$7:$B$66,0)),"")</f>
        <v/>
      </c>
      <c r="L67" s="76"/>
      <c r="M67" s="76"/>
      <c r="N67" s="75"/>
      <c r="O67" s="22"/>
      <c r="P67" s="75"/>
      <c r="Q67" s="75"/>
      <c r="R67" s="20"/>
    </row>
    <row r="68" customFormat="false" ht="15" hidden="false" customHeight="false" outlineLevel="0" collapsed="false">
      <c r="A68" s="21"/>
      <c r="B68" s="20"/>
      <c r="C68" s="22"/>
      <c r="D68" s="75"/>
      <c r="E68" s="75"/>
      <c r="F68" s="75"/>
      <c r="G68" s="75"/>
      <c r="H68" s="75"/>
      <c r="I68" s="22"/>
      <c r="J68" s="22"/>
      <c r="K68" s="19" t="str">
        <f aca="false">IFERROR($I68-INDEX(Cadastro!$N$7:$N$66,MATCH($B68,Cadastro!$B$7:$B$66,0)),"")</f>
        <v/>
      </c>
      <c r="L68" s="76"/>
      <c r="M68" s="76"/>
      <c r="N68" s="75"/>
      <c r="O68" s="22"/>
      <c r="P68" s="75"/>
      <c r="Q68" s="75"/>
      <c r="R68" s="20"/>
    </row>
    <row r="69" customFormat="false" ht="15" hidden="false" customHeight="false" outlineLevel="0" collapsed="false">
      <c r="A69" s="21"/>
      <c r="B69" s="20"/>
      <c r="C69" s="22"/>
      <c r="D69" s="75"/>
      <c r="E69" s="75"/>
      <c r="F69" s="75"/>
      <c r="G69" s="75"/>
      <c r="H69" s="75"/>
      <c r="I69" s="22"/>
      <c r="J69" s="22"/>
      <c r="K69" s="19" t="str">
        <f aca="false">IFERROR($I69-INDEX(Cadastro!$N$7:$N$66,MATCH($B69,Cadastro!$B$7:$B$66,0)),"")</f>
        <v/>
      </c>
      <c r="L69" s="76"/>
      <c r="M69" s="76"/>
      <c r="N69" s="75"/>
      <c r="O69" s="22"/>
      <c r="P69" s="75"/>
      <c r="Q69" s="75"/>
      <c r="R69" s="20"/>
    </row>
    <row r="70" customFormat="false" ht="15" hidden="false" customHeight="false" outlineLevel="0" collapsed="false">
      <c r="A70" s="21"/>
      <c r="B70" s="20"/>
      <c r="C70" s="22"/>
      <c r="D70" s="75"/>
      <c r="E70" s="75"/>
      <c r="F70" s="75"/>
      <c r="G70" s="75"/>
      <c r="H70" s="75"/>
      <c r="I70" s="22"/>
      <c r="J70" s="22"/>
      <c r="K70" s="19" t="str">
        <f aca="false">IFERROR($I70-INDEX(Cadastro!$N$7:$N$66,MATCH($B70,Cadastro!$B$7:$B$66,0)),"")</f>
        <v/>
      </c>
      <c r="L70" s="76"/>
      <c r="M70" s="76"/>
      <c r="N70" s="75"/>
      <c r="O70" s="22"/>
      <c r="P70" s="75"/>
      <c r="Q70" s="75"/>
      <c r="R70" s="20"/>
    </row>
    <row r="71" customFormat="false" ht="15" hidden="false" customHeight="false" outlineLevel="0" collapsed="false">
      <c r="A71" s="21"/>
      <c r="B71" s="20"/>
      <c r="C71" s="22"/>
      <c r="D71" s="75"/>
      <c r="E71" s="75"/>
      <c r="F71" s="75"/>
      <c r="G71" s="75"/>
      <c r="H71" s="75"/>
      <c r="I71" s="22"/>
      <c r="J71" s="22"/>
      <c r="K71" s="19" t="str">
        <f aca="false">IFERROR($I71-INDEX(Cadastro!$N$7:$N$66,MATCH($B71,Cadastro!$B$7:$B$66,0)),"")</f>
        <v/>
      </c>
      <c r="L71" s="76"/>
      <c r="M71" s="76"/>
      <c r="N71" s="75"/>
      <c r="O71" s="22"/>
      <c r="P71" s="75"/>
      <c r="Q71" s="75"/>
      <c r="R71" s="20"/>
    </row>
    <row r="72" customFormat="false" ht="15" hidden="false" customHeight="false" outlineLevel="0" collapsed="false">
      <c r="A72" s="21"/>
      <c r="B72" s="20"/>
      <c r="C72" s="22"/>
      <c r="D72" s="75"/>
      <c r="E72" s="75"/>
      <c r="F72" s="75"/>
      <c r="G72" s="75"/>
      <c r="H72" s="75"/>
      <c r="I72" s="22"/>
      <c r="J72" s="22"/>
      <c r="K72" s="19" t="str">
        <f aca="false">IFERROR($I72-INDEX(Cadastro!$N$7:$N$66,MATCH($B72,Cadastro!$B$7:$B$66,0)),"")</f>
        <v/>
      </c>
      <c r="L72" s="76"/>
      <c r="M72" s="76"/>
      <c r="N72" s="75"/>
      <c r="O72" s="22"/>
      <c r="P72" s="75"/>
      <c r="Q72" s="75"/>
      <c r="R72" s="20"/>
    </row>
    <row r="73" customFormat="false" ht="15" hidden="false" customHeight="false" outlineLevel="0" collapsed="false">
      <c r="A73" s="21"/>
      <c r="B73" s="20"/>
      <c r="C73" s="22"/>
      <c r="D73" s="75"/>
      <c r="E73" s="75"/>
      <c r="F73" s="75"/>
      <c r="G73" s="75"/>
      <c r="H73" s="75"/>
      <c r="I73" s="22"/>
      <c r="J73" s="22"/>
      <c r="K73" s="19" t="str">
        <f aca="false">IFERROR($I73-INDEX(Cadastro!$N$7:$N$66,MATCH($B73,Cadastro!$B$7:$B$66,0)),"")</f>
        <v/>
      </c>
      <c r="L73" s="76"/>
      <c r="M73" s="76"/>
      <c r="N73" s="75"/>
      <c r="O73" s="22"/>
      <c r="P73" s="75"/>
      <c r="Q73" s="75"/>
      <c r="R73" s="20"/>
    </row>
    <row r="74" customFormat="false" ht="15" hidden="false" customHeight="false" outlineLevel="0" collapsed="false">
      <c r="A74" s="21"/>
      <c r="B74" s="20"/>
      <c r="C74" s="22"/>
      <c r="D74" s="75"/>
      <c r="E74" s="75"/>
      <c r="F74" s="75"/>
      <c r="G74" s="75"/>
      <c r="H74" s="75"/>
      <c r="I74" s="22"/>
      <c r="J74" s="22"/>
      <c r="K74" s="19" t="str">
        <f aca="false">IFERROR($I74-INDEX(Cadastro!$N$7:$N$66,MATCH($B74,Cadastro!$B$7:$B$66,0)),"")</f>
        <v/>
      </c>
      <c r="L74" s="76"/>
      <c r="M74" s="76"/>
      <c r="N74" s="75"/>
      <c r="O74" s="22"/>
      <c r="P74" s="75"/>
      <c r="Q74" s="75"/>
      <c r="R74" s="20"/>
    </row>
    <row r="75" customFormat="false" ht="15" hidden="false" customHeight="false" outlineLevel="0" collapsed="false">
      <c r="A75" s="21"/>
      <c r="B75" s="20"/>
      <c r="C75" s="22"/>
      <c r="D75" s="75"/>
      <c r="E75" s="75"/>
      <c r="F75" s="75"/>
      <c r="G75" s="75"/>
      <c r="H75" s="75"/>
      <c r="I75" s="22"/>
      <c r="J75" s="22"/>
      <c r="K75" s="19" t="str">
        <f aca="false">IFERROR($I75-INDEX(Cadastro!$N$7:$N$66,MATCH($B75,Cadastro!$B$7:$B$66,0)),"")</f>
        <v/>
      </c>
      <c r="L75" s="76"/>
      <c r="M75" s="76"/>
      <c r="N75" s="75"/>
      <c r="O75" s="22"/>
      <c r="P75" s="75"/>
      <c r="Q75" s="75"/>
      <c r="R75" s="20"/>
    </row>
    <row r="76" customFormat="false" ht="15" hidden="false" customHeight="false" outlineLevel="0" collapsed="false">
      <c r="A76" s="21"/>
      <c r="B76" s="20"/>
      <c r="C76" s="22"/>
      <c r="D76" s="75"/>
      <c r="E76" s="75"/>
      <c r="F76" s="75"/>
      <c r="G76" s="75"/>
      <c r="H76" s="75"/>
      <c r="I76" s="22"/>
      <c r="J76" s="22"/>
      <c r="K76" s="19" t="str">
        <f aca="false">IFERROR($I76-INDEX(Cadastro!$N$7:$N$66,MATCH($B76,Cadastro!$B$7:$B$66,0)),"")</f>
        <v/>
      </c>
      <c r="L76" s="76"/>
      <c r="M76" s="76"/>
      <c r="N76" s="75"/>
      <c r="O76" s="22"/>
      <c r="P76" s="75"/>
      <c r="Q76" s="75"/>
      <c r="R76" s="20"/>
    </row>
    <row r="77" customFormat="false" ht="15" hidden="false" customHeight="false" outlineLevel="0" collapsed="false">
      <c r="A77" s="21"/>
      <c r="B77" s="20"/>
      <c r="C77" s="22"/>
      <c r="D77" s="75"/>
      <c r="E77" s="75"/>
      <c r="F77" s="75"/>
      <c r="G77" s="75"/>
      <c r="H77" s="75"/>
      <c r="I77" s="22"/>
      <c r="J77" s="22"/>
      <c r="K77" s="19" t="str">
        <f aca="false">IFERROR($I77-INDEX(Cadastro!$N$7:$N$66,MATCH($B77,Cadastro!$B$7:$B$66,0)),"")</f>
        <v/>
      </c>
      <c r="L77" s="76"/>
      <c r="M77" s="76"/>
      <c r="N77" s="75"/>
      <c r="O77" s="22"/>
      <c r="P77" s="75"/>
      <c r="Q77" s="75"/>
      <c r="R77" s="20"/>
    </row>
    <row r="78" customFormat="false" ht="15" hidden="false" customHeight="false" outlineLevel="0" collapsed="false">
      <c r="A78" s="21"/>
      <c r="B78" s="20"/>
      <c r="C78" s="22"/>
      <c r="D78" s="75"/>
      <c r="E78" s="75"/>
      <c r="F78" s="75"/>
      <c r="G78" s="75"/>
      <c r="H78" s="75"/>
      <c r="I78" s="22"/>
      <c r="J78" s="22"/>
      <c r="K78" s="19" t="str">
        <f aca="false">IFERROR($I78-INDEX(Cadastro!$N$7:$N$66,MATCH($B78,Cadastro!$B$7:$B$66,0)),"")</f>
        <v/>
      </c>
      <c r="L78" s="76"/>
      <c r="M78" s="76"/>
      <c r="N78" s="75"/>
      <c r="O78" s="22"/>
      <c r="P78" s="75"/>
      <c r="Q78" s="75"/>
      <c r="R78" s="20"/>
    </row>
    <row r="79" customFormat="false" ht="15" hidden="false" customHeight="false" outlineLevel="0" collapsed="false">
      <c r="A79" s="21"/>
      <c r="B79" s="20"/>
      <c r="C79" s="22"/>
      <c r="D79" s="75"/>
      <c r="E79" s="75"/>
      <c r="F79" s="75"/>
      <c r="G79" s="75"/>
      <c r="H79" s="75"/>
      <c r="I79" s="22"/>
      <c r="J79" s="22"/>
      <c r="K79" s="19" t="str">
        <f aca="false">IFERROR($I79-INDEX(Cadastro!$N$7:$N$66,MATCH($B79,Cadastro!$B$7:$B$66,0)),"")</f>
        <v/>
      </c>
      <c r="L79" s="76"/>
      <c r="M79" s="76"/>
      <c r="N79" s="75"/>
      <c r="O79" s="22"/>
      <c r="P79" s="75"/>
      <c r="Q79" s="75"/>
      <c r="R79" s="20"/>
    </row>
    <row r="80" customFormat="false" ht="15" hidden="false" customHeight="false" outlineLevel="0" collapsed="false">
      <c r="A80" s="21"/>
      <c r="B80" s="20"/>
      <c r="C80" s="22"/>
      <c r="D80" s="75"/>
      <c r="E80" s="75"/>
      <c r="F80" s="75"/>
      <c r="G80" s="75"/>
      <c r="H80" s="75"/>
      <c r="I80" s="22"/>
      <c r="J80" s="22"/>
      <c r="K80" s="19" t="str">
        <f aca="false">IFERROR($I80-INDEX(Cadastro!$N$7:$N$66,MATCH($B80,Cadastro!$B$7:$B$66,0)),"")</f>
        <v/>
      </c>
      <c r="L80" s="76"/>
      <c r="M80" s="76"/>
      <c r="N80" s="75"/>
      <c r="O80" s="22"/>
      <c r="P80" s="75"/>
      <c r="Q80" s="75"/>
      <c r="R80" s="20"/>
    </row>
    <row r="81" customFormat="false" ht="15" hidden="false" customHeight="false" outlineLevel="0" collapsed="false">
      <c r="A81" s="21"/>
      <c r="B81" s="20"/>
      <c r="C81" s="22"/>
      <c r="D81" s="75"/>
      <c r="E81" s="75"/>
      <c r="F81" s="75"/>
      <c r="G81" s="75"/>
      <c r="H81" s="75"/>
      <c r="I81" s="22"/>
      <c r="J81" s="22"/>
      <c r="K81" s="19" t="str">
        <f aca="false">IFERROR($I81-INDEX(Cadastro!$N$7:$N$66,MATCH($B81,Cadastro!$B$7:$B$66,0)),"")</f>
        <v/>
      </c>
      <c r="L81" s="76"/>
      <c r="M81" s="76"/>
      <c r="N81" s="75"/>
      <c r="O81" s="22"/>
      <c r="P81" s="75"/>
      <c r="Q81" s="75"/>
      <c r="R81" s="20"/>
    </row>
    <row r="82" customFormat="false" ht="15" hidden="false" customHeight="false" outlineLevel="0" collapsed="false">
      <c r="A82" s="21"/>
      <c r="B82" s="20"/>
      <c r="C82" s="22"/>
      <c r="D82" s="75"/>
      <c r="E82" s="75"/>
      <c r="F82" s="75"/>
      <c r="G82" s="75"/>
      <c r="H82" s="75"/>
      <c r="I82" s="22"/>
      <c r="J82" s="22"/>
      <c r="K82" s="19" t="str">
        <f aca="false">IFERROR($I82-INDEX(Cadastro!$N$7:$N$66,MATCH($B82,Cadastro!$B$7:$B$66,0)),"")</f>
        <v/>
      </c>
      <c r="L82" s="76"/>
      <c r="M82" s="76"/>
      <c r="N82" s="75"/>
      <c r="O82" s="22"/>
      <c r="P82" s="75"/>
      <c r="Q82" s="75"/>
      <c r="R82" s="20"/>
    </row>
    <row r="83" customFormat="false" ht="15" hidden="false" customHeight="false" outlineLevel="0" collapsed="false">
      <c r="A83" s="21"/>
      <c r="B83" s="20"/>
      <c r="C83" s="22"/>
      <c r="D83" s="75"/>
      <c r="E83" s="75"/>
      <c r="F83" s="75"/>
      <c r="G83" s="75"/>
      <c r="H83" s="75"/>
      <c r="I83" s="22"/>
      <c r="J83" s="22"/>
      <c r="K83" s="19" t="str">
        <f aca="false">IFERROR($I83-INDEX(Cadastro!$N$7:$N$66,MATCH($B83,Cadastro!$B$7:$B$66,0)),"")</f>
        <v/>
      </c>
      <c r="L83" s="76"/>
      <c r="M83" s="76"/>
      <c r="N83" s="75"/>
      <c r="O83" s="22"/>
      <c r="P83" s="75"/>
      <c r="Q83" s="75"/>
      <c r="R83" s="20"/>
    </row>
    <row r="84" customFormat="false" ht="15" hidden="false" customHeight="false" outlineLevel="0" collapsed="false">
      <c r="A84" s="21"/>
      <c r="B84" s="20"/>
      <c r="C84" s="22"/>
      <c r="D84" s="75"/>
      <c r="E84" s="75"/>
      <c r="F84" s="75"/>
      <c r="G84" s="75"/>
      <c r="H84" s="75"/>
      <c r="I84" s="22"/>
      <c r="J84" s="22"/>
      <c r="K84" s="19" t="str">
        <f aca="false">IFERROR($I84-INDEX(Cadastro!$N$7:$N$66,MATCH($B84,Cadastro!$B$7:$B$66,0)),"")</f>
        <v/>
      </c>
      <c r="L84" s="76"/>
      <c r="M84" s="76"/>
      <c r="N84" s="75"/>
      <c r="O84" s="22"/>
      <c r="P84" s="75"/>
      <c r="Q84" s="75"/>
      <c r="R84" s="20"/>
    </row>
    <row r="85" customFormat="false" ht="15" hidden="false" customHeight="false" outlineLevel="0" collapsed="false">
      <c r="A85" s="21"/>
      <c r="B85" s="20"/>
      <c r="C85" s="22"/>
      <c r="D85" s="75"/>
      <c r="E85" s="75"/>
      <c r="F85" s="75"/>
      <c r="G85" s="75"/>
      <c r="H85" s="75"/>
      <c r="I85" s="22"/>
      <c r="J85" s="22"/>
      <c r="K85" s="19" t="str">
        <f aca="false">IFERROR($I85-INDEX(Cadastro!$N$7:$N$66,MATCH($B85,Cadastro!$B$7:$B$66,0)),"")</f>
        <v/>
      </c>
      <c r="L85" s="76"/>
      <c r="M85" s="76"/>
      <c r="N85" s="75"/>
      <c r="O85" s="22"/>
      <c r="P85" s="75"/>
      <c r="Q85" s="75"/>
      <c r="R85" s="20"/>
    </row>
    <row r="86" customFormat="false" ht="15" hidden="false" customHeight="false" outlineLevel="0" collapsed="false">
      <c r="A86" s="21"/>
      <c r="B86" s="20"/>
      <c r="C86" s="22"/>
      <c r="D86" s="75"/>
      <c r="E86" s="75"/>
      <c r="F86" s="75"/>
      <c r="G86" s="75"/>
      <c r="H86" s="75"/>
      <c r="I86" s="22"/>
      <c r="J86" s="22"/>
      <c r="K86" s="19" t="str">
        <f aca="false">IFERROR($I86-INDEX(Cadastro!$N$7:$N$66,MATCH($B86,Cadastro!$B$7:$B$66,0)),"")</f>
        <v/>
      </c>
      <c r="L86" s="76"/>
      <c r="M86" s="76"/>
      <c r="N86" s="75"/>
      <c r="O86" s="22"/>
      <c r="P86" s="75"/>
      <c r="Q86" s="75"/>
      <c r="R86" s="20"/>
    </row>
    <row r="87" customFormat="false" ht="15" hidden="false" customHeight="false" outlineLevel="0" collapsed="false">
      <c r="A87" s="21"/>
      <c r="B87" s="20"/>
      <c r="C87" s="22"/>
      <c r="D87" s="75"/>
      <c r="E87" s="75"/>
      <c r="F87" s="75"/>
      <c r="G87" s="75"/>
      <c r="H87" s="75"/>
      <c r="I87" s="22"/>
      <c r="J87" s="22"/>
      <c r="K87" s="19" t="str">
        <f aca="false">IFERROR($I87-INDEX(Cadastro!$N$7:$N$66,MATCH($B87,Cadastro!$B$7:$B$66,0)),"")</f>
        <v/>
      </c>
      <c r="L87" s="76"/>
      <c r="M87" s="76"/>
      <c r="N87" s="75"/>
      <c r="O87" s="22"/>
      <c r="P87" s="75"/>
      <c r="Q87" s="75"/>
      <c r="R87" s="20"/>
    </row>
    <row r="88" customFormat="false" ht="15" hidden="false" customHeight="false" outlineLevel="0" collapsed="false">
      <c r="A88" s="21"/>
      <c r="B88" s="20"/>
      <c r="C88" s="22"/>
      <c r="D88" s="75"/>
      <c r="E88" s="75"/>
      <c r="F88" s="75"/>
      <c r="G88" s="75"/>
      <c r="H88" s="75"/>
      <c r="I88" s="22"/>
      <c r="J88" s="22"/>
      <c r="K88" s="19" t="str">
        <f aca="false">IFERROR($I88-INDEX(Cadastro!$N$7:$N$66,MATCH($B88,Cadastro!$B$7:$B$66,0)),"")</f>
        <v/>
      </c>
      <c r="L88" s="76"/>
      <c r="M88" s="76"/>
      <c r="N88" s="75"/>
      <c r="O88" s="22"/>
      <c r="P88" s="75"/>
      <c r="Q88" s="75"/>
      <c r="R88" s="20"/>
    </row>
    <row r="89" customFormat="false" ht="15" hidden="false" customHeight="false" outlineLevel="0" collapsed="false">
      <c r="A89" s="21"/>
      <c r="B89" s="20"/>
      <c r="C89" s="22"/>
      <c r="D89" s="75"/>
      <c r="E89" s="75"/>
      <c r="F89" s="75"/>
      <c r="G89" s="75"/>
      <c r="H89" s="75"/>
      <c r="I89" s="22"/>
      <c r="J89" s="22"/>
      <c r="K89" s="19" t="str">
        <f aca="false">IFERROR($I89-INDEX(Cadastro!$N$7:$N$66,MATCH($B89,Cadastro!$B$7:$B$66,0)),"")</f>
        <v/>
      </c>
      <c r="L89" s="76"/>
      <c r="M89" s="76"/>
      <c r="N89" s="75"/>
      <c r="O89" s="22"/>
      <c r="P89" s="75"/>
      <c r="Q89" s="75"/>
      <c r="R89" s="20"/>
    </row>
    <row r="90" customFormat="false" ht="15" hidden="false" customHeight="false" outlineLevel="0" collapsed="false">
      <c r="A90" s="21"/>
      <c r="B90" s="20"/>
      <c r="C90" s="22"/>
      <c r="D90" s="75"/>
      <c r="E90" s="75"/>
      <c r="F90" s="75"/>
      <c r="G90" s="75"/>
      <c r="H90" s="75"/>
      <c r="I90" s="22"/>
      <c r="J90" s="22"/>
      <c r="K90" s="19" t="str">
        <f aca="false">IFERROR($I90-INDEX(Cadastro!$N$7:$N$66,MATCH($B90,Cadastro!$B$7:$B$66,0)),"")</f>
        <v/>
      </c>
      <c r="L90" s="76"/>
      <c r="M90" s="76"/>
      <c r="N90" s="75"/>
      <c r="O90" s="22"/>
      <c r="P90" s="75"/>
      <c r="Q90" s="75"/>
      <c r="R90" s="20"/>
    </row>
    <row r="91" customFormat="false" ht="15" hidden="false" customHeight="false" outlineLevel="0" collapsed="false">
      <c r="A91" s="21"/>
      <c r="B91" s="20"/>
      <c r="C91" s="22"/>
      <c r="D91" s="75"/>
      <c r="E91" s="75"/>
      <c r="F91" s="75"/>
      <c r="G91" s="75"/>
      <c r="H91" s="75"/>
      <c r="I91" s="22"/>
      <c r="J91" s="22"/>
      <c r="K91" s="19" t="str">
        <f aca="false">IFERROR($I91-INDEX(Cadastro!$N$7:$N$66,MATCH($B91,Cadastro!$B$7:$B$66,0)),"")</f>
        <v/>
      </c>
      <c r="L91" s="76"/>
      <c r="M91" s="76"/>
      <c r="N91" s="75"/>
      <c r="O91" s="22"/>
      <c r="P91" s="75"/>
      <c r="Q91" s="75"/>
      <c r="R91" s="20"/>
    </row>
    <row r="92" customFormat="false" ht="15" hidden="false" customHeight="false" outlineLevel="0" collapsed="false">
      <c r="A92" s="21"/>
      <c r="B92" s="20"/>
      <c r="C92" s="22"/>
      <c r="D92" s="75"/>
      <c r="E92" s="75"/>
      <c r="F92" s="75"/>
      <c r="G92" s="75"/>
      <c r="H92" s="75"/>
      <c r="I92" s="22"/>
      <c r="J92" s="22"/>
      <c r="K92" s="19" t="str">
        <f aca="false">IFERROR($I92-INDEX(Cadastro!$N$7:$N$66,MATCH($B92,Cadastro!$B$7:$B$66,0)),"")</f>
        <v/>
      </c>
      <c r="L92" s="76"/>
      <c r="M92" s="76"/>
      <c r="N92" s="75"/>
      <c r="O92" s="22"/>
      <c r="P92" s="75"/>
      <c r="Q92" s="75"/>
      <c r="R92" s="20"/>
    </row>
    <row r="93" customFormat="false" ht="15" hidden="false" customHeight="false" outlineLevel="0" collapsed="false">
      <c r="A93" s="21"/>
      <c r="B93" s="20"/>
      <c r="C93" s="22"/>
      <c r="D93" s="75"/>
      <c r="E93" s="75"/>
      <c r="F93" s="75"/>
      <c r="G93" s="75"/>
      <c r="H93" s="75"/>
      <c r="I93" s="22"/>
      <c r="J93" s="22"/>
      <c r="K93" s="19" t="str">
        <f aca="false">IFERROR($I93-INDEX(Cadastro!$N$7:$N$66,MATCH($B93,Cadastro!$B$7:$B$66,0)),"")</f>
        <v/>
      </c>
      <c r="L93" s="76"/>
      <c r="M93" s="76"/>
      <c r="N93" s="75"/>
      <c r="O93" s="22"/>
      <c r="P93" s="75"/>
      <c r="Q93" s="75"/>
      <c r="R93" s="20"/>
    </row>
    <row r="94" customFormat="false" ht="15" hidden="false" customHeight="false" outlineLevel="0" collapsed="false">
      <c r="A94" s="21"/>
      <c r="B94" s="20"/>
      <c r="C94" s="22"/>
      <c r="D94" s="75"/>
      <c r="E94" s="75"/>
      <c r="F94" s="75"/>
      <c r="G94" s="75"/>
      <c r="H94" s="75"/>
      <c r="I94" s="22"/>
      <c r="J94" s="22"/>
      <c r="K94" s="19" t="str">
        <f aca="false">IFERROR($I94-INDEX(Cadastro!$N$7:$N$66,MATCH($B94,Cadastro!$B$7:$B$66,0)),"")</f>
        <v/>
      </c>
      <c r="L94" s="76"/>
      <c r="M94" s="76"/>
      <c r="N94" s="75"/>
      <c r="O94" s="22"/>
      <c r="P94" s="75"/>
      <c r="Q94" s="75"/>
      <c r="R94" s="20"/>
    </row>
    <row r="95" customFormat="false" ht="15" hidden="false" customHeight="false" outlineLevel="0" collapsed="false">
      <c r="A95" s="21"/>
      <c r="B95" s="20"/>
      <c r="C95" s="22"/>
      <c r="D95" s="75"/>
      <c r="E95" s="75"/>
      <c r="F95" s="75"/>
      <c r="G95" s="75"/>
      <c r="H95" s="75"/>
      <c r="I95" s="22"/>
      <c r="J95" s="22"/>
      <c r="K95" s="19" t="str">
        <f aca="false">IFERROR($I95-INDEX(Cadastro!$N$7:$N$66,MATCH($B95,Cadastro!$B$7:$B$66,0)),"")</f>
        <v/>
      </c>
      <c r="L95" s="76"/>
      <c r="M95" s="76"/>
      <c r="N95" s="75"/>
      <c r="O95" s="22"/>
      <c r="P95" s="75"/>
      <c r="Q95" s="75"/>
      <c r="R95" s="20"/>
    </row>
    <row r="96" customFormat="false" ht="15" hidden="false" customHeight="false" outlineLevel="0" collapsed="false">
      <c r="A96" s="21"/>
      <c r="B96" s="20"/>
      <c r="C96" s="22"/>
      <c r="D96" s="75"/>
      <c r="E96" s="75"/>
      <c r="F96" s="75"/>
      <c r="G96" s="75"/>
      <c r="H96" s="75"/>
      <c r="I96" s="22"/>
      <c r="J96" s="22"/>
      <c r="K96" s="19" t="str">
        <f aca="false">IFERROR($I96-INDEX(Cadastro!$N$7:$N$66,MATCH($B96,Cadastro!$B$7:$B$66,0)),"")</f>
        <v/>
      </c>
      <c r="L96" s="76"/>
      <c r="M96" s="76"/>
      <c r="N96" s="75"/>
      <c r="O96" s="22"/>
      <c r="P96" s="75"/>
      <c r="Q96" s="75"/>
      <c r="R96" s="20"/>
    </row>
    <row r="97" customFormat="false" ht="15" hidden="false" customHeight="false" outlineLevel="0" collapsed="false">
      <c r="A97" s="21"/>
      <c r="B97" s="20"/>
      <c r="C97" s="22"/>
      <c r="D97" s="75"/>
      <c r="E97" s="75"/>
      <c r="F97" s="75"/>
      <c r="G97" s="75"/>
      <c r="H97" s="75"/>
      <c r="I97" s="22"/>
      <c r="J97" s="22"/>
      <c r="K97" s="19" t="str">
        <f aca="false">IFERROR($I97-INDEX(Cadastro!$N$7:$N$66,MATCH($B97,Cadastro!$B$7:$B$66,0)),"")</f>
        <v/>
      </c>
      <c r="L97" s="76"/>
      <c r="M97" s="76"/>
      <c r="N97" s="75"/>
      <c r="O97" s="22"/>
      <c r="P97" s="75"/>
      <c r="Q97" s="75"/>
      <c r="R97" s="20"/>
    </row>
    <row r="98" customFormat="false" ht="15" hidden="false" customHeight="false" outlineLevel="0" collapsed="false">
      <c r="A98" s="21"/>
      <c r="B98" s="20"/>
      <c r="C98" s="22"/>
      <c r="D98" s="75"/>
      <c r="E98" s="75"/>
      <c r="F98" s="75"/>
      <c r="G98" s="75"/>
      <c r="H98" s="75"/>
      <c r="I98" s="22"/>
      <c r="J98" s="22"/>
      <c r="K98" s="19" t="str">
        <f aca="false">IFERROR($I98-INDEX(Cadastro!$N$7:$N$66,MATCH($B98,Cadastro!$B$7:$B$66,0)),"")</f>
        <v/>
      </c>
      <c r="L98" s="76"/>
      <c r="M98" s="76"/>
      <c r="N98" s="75"/>
      <c r="O98" s="22"/>
      <c r="P98" s="75"/>
      <c r="Q98" s="75"/>
      <c r="R98" s="20"/>
    </row>
    <row r="99" customFormat="false" ht="15" hidden="false" customHeight="false" outlineLevel="0" collapsed="false">
      <c r="A99" s="21"/>
      <c r="B99" s="20"/>
      <c r="C99" s="22"/>
      <c r="D99" s="75"/>
      <c r="E99" s="75"/>
      <c r="F99" s="75"/>
      <c r="G99" s="75"/>
      <c r="H99" s="75"/>
      <c r="I99" s="22"/>
      <c r="J99" s="22"/>
      <c r="K99" s="19" t="str">
        <f aca="false">IFERROR($I99-INDEX(Cadastro!$N$7:$N$66,MATCH($B99,Cadastro!$B$7:$B$66,0)),"")</f>
        <v/>
      </c>
      <c r="L99" s="76"/>
      <c r="M99" s="76"/>
      <c r="N99" s="75"/>
      <c r="O99" s="22"/>
      <c r="P99" s="75"/>
      <c r="Q99" s="75"/>
      <c r="R99" s="20"/>
    </row>
    <row r="100" customFormat="false" ht="15" hidden="false" customHeight="false" outlineLevel="0" collapsed="false">
      <c r="A100" s="21"/>
      <c r="B100" s="20"/>
      <c r="C100" s="22"/>
      <c r="D100" s="75"/>
      <c r="E100" s="75"/>
      <c r="F100" s="75"/>
      <c r="G100" s="75"/>
      <c r="H100" s="75"/>
      <c r="I100" s="22"/>
      <c r="J100" s="22"/>
      <c r="K100" s="19" t="str">
        <f aca="false">IFERROR($I100-INDEX(Cadastro!$N$7:$N$66,MATCH($B100,Cadastro!$B$7:$B$66,0)),"")</f>
        <v/>
      </c>
      <c r="L100" s="76"/>
      <c r="M100" s="76"/>
      <c r="N100" s="75"/>
      <c r="O100" s="22"/>
      <c r="P100" s="75"/>
      <c r="Q100" s="75"/>
      <c r="R100" s="20"/>
    </row>
    <row r="101" customFormat="false" ht="15" hidden="false" customHeight="false" outlineLevel="0" collapsed="false">
      <c r="A101" s="21"/>
      <c r="B101" s="20"/>
      <c r="C101" s="22"/>
      <c r="D101" s="75"/>
      <c r="E101" s="75"/>
      <c r="F101" s="75"/>
      <c r="G101" s="75"/>
      <c r="H101" s="75"/>
      <c r="I101" s="22"/>
      <c r="J101" s="22"/>
      <c r="K101" s="19" t="str">
        <f aca="false">IFERROR($I101-INDEX(Cadastro!$N$7:$N$66,MATCH($B101,Cadastro!$B$7:$B$66,0)),"")</f>
        <v/>
      </c>
      <c r="L101" s="76"/>
      <c r="M101" s="76"/>
      <c r="N101" s="75"/>
      <c r="O101" s="22"/>
      <c r="P101" s="75"/>
      <c r="Q101" s="75"/>
      <c r="R101" s="20"/>
    </row>
    <row r="102" customFormat="false" ht="15" hidden="false" customHeight="false" outlineLevel="0" collapsed="false">
      <c r="A102" s="21"/>
      <c r="B102" s="20"/>
      <c r="C102" s="22"/>
      <c r="D102" s="75"/>
      <c r="E102" s="75"/>
      <c r="F102" s="75"/>
      <c r="G102" s="75"/>
      <c r="H102" s="75"/>
      <c r="I102" s="22"/>
      <c r="J102" s="22"/>
      <c r="K102" s="19" t="str">
        <f aca="false">IFERROR($I102-INDEX(Cadastro!$N$7:$N$66,MATCH($B102,Cadastro!$B$7:$B$66,0)),"")</f>
        <v/>
      </c>
      <c r="L102" s="76"/>
      <c r="M102" s="76"/>
      <c r="N102" s="75"/>
      <c r="O102" s="22"/>
      <c r="P102" s="75"/>
      <c r="Q102" s="75"/>
      <c r="R102" s="20"/>
    </row>
    <row r="103" customFormat="false" ht="15" hidden="false" customHeight="false" outlineLevel="0" collapsed="false">
      <c r="A103" s="21"/>
      <c r="B103" s="20"/>
      <c r="C103" s="22"/>
      <c r="D103" s="75"/>
      <c r="E103" s="75"/>
      <c r="F103" s="75"/>
      <c r="G103" s="75"/>
      <c r="H103" s="75"/>
      <c r="I103" s="22"/>
      <c r="J103" s="22"/>
      <c r="K103" s="19" t="str">
        <f aca="false">IFERROR($I103-INDEX(Cadastro!$N$7:$N$66,MATCH($B103,Cadastro!$B$7:$B$66,0)),"")</f>
        <v/>
      </c>
      <c r="L103" s="76"/>
      <c r="M103" s="76"/>
      <c r="N103" s="75"/>
      <c r="O103" s="22"/>
      <c r="P103" s="75"/>
      <c r="Q103" s="75"/>
      <c r="R103" s="20"/>
    </row>
    <row r="104" customFormat="false" ht="15" hidden="false" customHeight="false" outlineLevel="0" collapsed="false">
      <c r="A104" s="21"/>
      <c r="B104" s="20"/>
      <c r="C104" s="22"/>
      <c r="D104" s="75"/>
      <c r="E104" s="75"/>
      <c r="F104" s="75"/>
      <c r="G104" s="75"/>
      <c r="H104" s="75"/>
      <c r="I104" s="22"/>
      <c r="J104" s="22"/>
      <c r="K104" s="19" t="str">
        <f aca="false">IFERROR($I104-INDEX(Cadastro!$N$7:$N$66,MATCH($B104,Cadastro!$B$7:$B$66,0)),"")</f>
        <v/>
      </c>
      <c r="L104" s="76"/>
      <c r="M104" s="76"/>
      <c r="N104" s="75"/>
      <c r="O104" s="22"/>
      <c r="P104" s="75"/>
      <c r="Q104" s="75"/>
      <c r="R104" s="20"/>
    </row>
    <row r="105" customFormat="false" ht="15" hidden="false" customHeight="false" outlineLevel="0" collapsed="false">
      <c r="A105" s="21"/>
      <c r="B105" s="20"/>
      <c r="C105" s="22"/>
      <c r="D105" s="75"/>
      <c r="E105" s="75"/>
      <c r="F105" s="75"/>
      <c r="G105" s="75"/>
      <c r="H105" s="75"/>
      <c r="I105" s="22"/>
      <c r="J105" s="22"/>
      <c r="K105" s="19" t="str">
        <f aca="false">IFERROR($I105-INDEX(Cadastro!$N$7:$N$66,MATCH($B105,Cadastro!$B$7:$B$66,0)),"")</f>
        <v/>
      </c>
      <c r="L105" s="76"/>
      <c r="M105" s="76"/>
      <c r="N105" s="75"/>
      <c r="O105" s="22"/>
      <c r="P105" s="75"/>
      <c r="Q105" s="75"/>
      <c r="R105" s="20"/>
    </row>
    <row r="106" customFormat="false" ht="15" hidden="false" customHeight="false" outlineLevel="0" collapsed="false">
      <c r="A106" s="21"/>
      <c r="B106" s="20"/>
      <c r="C106" s="22"/>
      <c r="D106" s="75"/>
      <c r="E106" s="75"/>
      <c r="F106" s="75"/>
      <c r="G106" s="75"/>
      <c r="H106" s="75"/>
      <c r="I106" s="22"/>
      <c r="J106" s="22"/>
      <c r="K106" s="19" t="str">
        <f aca="false">IFERROR($I106-INDEX(Cadastro!$N$7:$N$66,MATCH($B106,Cadastro!$B$7:$B$66,0)),"")</f>
        <v/>
      </c>
      <c r="L106" s="76"/>
      <c r="M106" s="76"/>
      <c r="N106" s="75"/>
      <c r="O106" s="22"/>
      <c r="P106" s="75"/>
      <c r="Q106" s="75"/>
      <c r="R106" s="20"/>
    </row>
    <row r="107" customFormat="false" ht="15" hidden="false" customHeight="false" outlineLevel="0" collapsed="false">
      <c r="A107" s="21"/>
      <c r="B107" s="20"/>
      <c r="C107" s="22"/>
      <c r="D107" s="75"/>
      <c r="E107" s="75"/>
      <c r="F107" s="75"/>
      <c r="G107" s="75"/>
      <c r="H107" s="75"/>
      <c r="I107" s="22"/>
      <c r="J107" s="22"/>
      <c r="K107" s="19" t="str">
        <f aca="false">IFERROR($I107-INDEX(Cadastro!$N$7:$N$66,MATCH($B107,Cadastro!$B$7:$B$66,0)),"")</f>
        <v/>
      </c>
      <c r="L107" s="76"/>
      <c r="M107" s="76"/>
      <c r="N107" s="75"/>
      <c r="O107" s="22"/>
      <c r="P107" s="75"/>
      <c r="Q107" s="75"/>
      <c r="R107" s="20"/>
    </row>
    <row r="108" customFormat="false" ht="15" hidden="false" customHeight="false" outlineLevel="0" collapsed="false">
      <c r="A108" s="21"/>
      <c r="B108" s="20"/>
      <c r="C108" s="22"/>
      <c r="D108" s="75"/>
      <c r="E108" s="75"/>
      <c r="F108" s="75"/>
      <c r="G108" s="75"/>
      <c r="H108" s="75"/>
      <c r="I108" s="22"/>
      <c r="J108" s="22"/>
      <c r="K108" s="19" t="str">
        <f aca="false">IFERROR($I108-INDEX(Cadastro!$N$7:$N$66,MATCH($B108,Cadastro!$B$7:$B$66,0)),"")</f>
        <v/>
      </c>
      <c r="L108" s="76"/>
      <c r="M108" s="76"/>
      <c r="N108" s="75"/>
      <c r="O108" s="22"/>
      <c r="P108" s="75"/>
      <c r="Q108" s="75"/>
      <c r="R108" s="20"/>
    </row>
    <row r="109" customFormat="false" ht="15" hidden="false" customHeight="false" outlineLevel="0" collapsed="false">
      <c r="A109" s="21"/>
      <c r="B109" s="20"/>
      <c r="C109" s="22"/>
      <c r="D109" s="75"/>
      <c r="E109" s="75"/>
      <c r="F109" s="75"/>
      <c r="G109" s="75"/>
      <c r="H109" s="75"/>
      <c r="I109" s="22"/>
      <c r="J109" s="22"/>
      <c r="K109" s="19" t="str">
        <f aca="false">IFERROR($I109-INDEX(Cadastro!$N$7:$N$66,MATCH($B109,Cadastro!$B$7:$B$66,0)),"")</f>
        <v/>
      </c>
      <c r="L109" s="76"/>
      <c r="M109" s="76"/>
      <c r="N109" s="75"/>
      <c r="O109" s="22"/>
      <c r="P109" s="75"/>
      <c r="Q109" s="75"/>
      <c r="R109" s="20"/>
    </row>
    <row r="110" customFormat="false" ht="15" hidden="false" customHeight="false" outlineLevel="0" collapsed="false">
      <c r="A110" s="21"/>
      <c r="B110" s="20"/>
      <c r="C110" s="22"/>
      <c r="D110" s="75"/>
      <c r="E110" s="75"/>
      <c r="F110" s="75"/>
      <c r="G110" s="75"/>
      <c r="H110" s="75"/>
      <c r="I110" s="22"/>
      <c r="J110" s="22"/>
      <c r="K110" s="19" t="str">
        <f aca="false">IFERROR($I110-INDEX(Cadastro!$N$7:$N$66,MATCH($B110,Cadastro!$B$7:$B$66,0)),"")</f>
        <v/>
      </c>
      <c r="L110" s="76"/>
      <c r="M110" s="76"/>
      <c r="N110" s="75"/>
      <c r="O110" s="22"/>
      <c r="P110" s="75"/>
      <c r="Q110" s="75"/>
      <c r="R110" s="20"/>
    </row>
    <row r="111" customFormat="false" ht="15" hidden="false" customHeight="false" outlineLevel="0" collapsed="false">
      <c r="A111" s="21"/>
      <c r="B111" s="20"/>
      <c r="C111" s="22"/>
      <c r="D111" s="75"/>
      <c r="E111" s="75"/>
      <c r="F111" s="75"/>
      <c r="G111" s="75"/>
      <c r="H111" s="75"/>
      <c r="I111" s="22"/>
      <c r="J111" s="22"/>
      <c r="K111" s="19" t="str">
        <f aca="false">IFERROR($I111-INDEX(Cadastro!$N$7:$N$66,MATCH($B111,Cadastro!$B$7:$B$66,0)),"")</f>
        <v/>
      </c>
      <c r="L111" s="76"/>
      <c r="M111" s="76"/>
      <c r="N111" s="75"/>
      <c r="O111" s="22"/>
      <c r="P111" s="75"/>
      <c r="Q111" s="75"/>
      <c r="R111" s="20"/>
    </row>
    <row r="112" customFormat="false" ht="15" hidden="false" customHeight="false" outlineLevel="0" collapsed="false">
      <c r="A112" s="21"/>
      <c r="B112" s="20"/>
      <c r="C112" s="22"/>
      <c r="D112" s="75"/>
      <c r="E112" s="75"/>
      <c r="F112" s="75"/>
      <c r="G112" s="75"/>
      <c r="H112" s="75"/>
      <c r="I112" s="22"/>
      <c r="J112" s="22"/>
      <c r="K112" s="19" t="str">
        <f aca="false">IFERROR($I112-INDEX(Cadastro!$N$7:$N$66,MATCH($B112,Cadastro!$B$7:$B$66,0)),"")</f>
        <v/>
      </c>
      <c r="L112" s="76"/>
      <c r="M112" s="76"/>
      <c r="N112" s="75"/>
      <c r="O112" s="22"/>
      <c r="P112" s="75"/>
      <c r="Q112" s="75"/>
      <c r="R112" s="20"/>
    </row>
    <row r="113" customFormat="false" ht="15" hidden="false" customHeight="false" outlineLevel="0" collapsed="false">
      <c r="A113" s="21"/>
      <c r="B113" s="20"/>
      <c r="C113" s="22"/>
      <c r="D113" s="75"/>
      <c r="E113" s="75"/>
      <c r="F113" s="75"/>
      <c r="G113" s="75"/>
      <c r="H113" s="75"/>
      <c r="I113" s="22"/>
      <c r="J113" s="22"/>
      <c r="K113" s="19" t="str">
        <f aca="false">IFERROR($I113-INDEX(Cadastro!$N$7:$N$66,MATCH($B113,Cadastro!$B$7:$B$66,0)),"")</f>
        <v/>
      </c>
      <c r="L113" s="76"/>
      <c r="M113" s="76"/>
      <c r="N113" s="75"/>
      <c r="O113" s="22"/>
      <c r="P113" s="75"/>
      <c r="Q113" s="75"/>
      <c r="R113" s="20"/>
    </row>
    <row r="114" customFormat="false" ht="15" hidden="false" customHeight="false" outlineLevel="0" collapsed="false">
      <c r="A114" s="21"/>
      <c r="B114" s="20"/>
      <c r="C114" s="22"/>
      <c r="D114" s="75"/>
      <c r="E114" s="75"/>
      <c r="F114" s="75"/>
      <c r="G114" s="75"/>
      <c r="H114" s="75"/>
      <c r="I114" s="22"/>
      <c r="J114" s="22"/>
      <c r="K114" s="19" t="str">
        <f aca="false">IFERROR($I114-INDEX(Cadastro!$N$7:$N$66,MATCH($B114,Cadastro!$B$7:$B$66,0)),"")</f>
        <v/>
      </c>
      <c r="L114" s="76"/>
      <c r="M114" s="76"/>
      <c r="N114" s="75"/>
      <c r="O114" s="22"/>
      <c r="P114" s="75"/>
      <c r="Q114" s="75"/>
      <c r="R114" s="20"/>
    </row>
    <row r="115" customFormat="false" ht="15" hidden="false" customHeight="false" outlineLevel="0" collapsed="false">
      <c r="A115" s="21"/>
      <c r="B115" s="20"/>
      <c r="C115" s="22"/>
      <c r="D115" s="75"/>
      <c r="E115" s="75"/>
      <c r="F115" s="75"/>
      <c r="G115" s="75"/>
      <c r="H115" s="75"/>
      <c r="I115" s="22"/>
      <c r="J115" s="22"/>
      <c r="K115" s="19" t="str">
        <f aca="false">IFERROR($I115-INDEX(Cadastro!$N$7:$N$66,MATCH($B115,Cadastro!$B$7:$B$66,0)),"")</f>
        <v/>
      </c>
      <c r="L115" s="76"/>
      <c r="M115" s="76"/>
      <c r="N115" s="75"/>
      <c r="O115" s="22"/>
      <c r="P115" s="75"/>
      <c r="Q115" s="75"/>
      <c r="R115" s="20"/>
    </row>
    <row r="116" customFormat="false" ht="15" hidden="false" customHeight="false" outlineLevel="0" collapsed="false">
      <c r="A116" s="21"/>
      <c r="B116" s="20"/>
      <c r="C116" s="22"/>
      <c r="D116" s="75"/>
      <c r="E116" s="75"/>
      <c r="F116" s="75"/>
      <c r="G116" s="75"/>
      <c r="H116" s="75"/>
      <c r="I116" s="22"/>
      <c r="J116" s="22"/>
      <c r="K116" s="19" t="str">
        <f aca="false">IFERROR($I116-INDEX(Cadastro!$N$7:$N$66,MATCH($B116,Cadastro!$B$7:$B$66,0)),"")</f>
        <v/>
      </c>
      <c r="L116" s="76"/>
      <c r="M116" s="76"/>
      <c r="N116" s="75"/>
      <c r="O116" s="22"/>
      <c r="P116" s="75"/>
      <c r="Q116" s="75"/>
      <c r="R116" s="20"/>
    </row>
    <row r="117" customFormat="false" ht="15" hidden="false" customHeight="false" outlineLevel="0" collapsed="false">
      <c r="A117" s="21"/>
      <c r="B117" s="20"/>
      <c r="C117" s="22"/>
      <c r="D117" s="75"/>
      <c r="E117" s="75"/>
      <c r="F117" s="75"/>
      <c r="G117" s="75"/>
      <c r="H117" s="75"/>
      <c r="I117" s="22"/>
      <c r="J117" s="22"/>
      <c r="K117" s="19" t="str">
        <f aca="false">IFERROR($I117-INDEX(Cadastro!$N$7:$N$66,MATCH($B117,Cadastro!$B$7:$B$66,0)),"")</f>
        <v/>
      </c>
      <c r="L117" s="76"/>
      <c r="M117" s="76"/>
      <c r="N117" s="75"/>
      <c r="O117" s="22"/>
      <c r="P117" s="75"/>
      <c r="Q117" s="75"/>
      <c r="R117" s="20"/>
    </row>
    <row r="118" customFormat="false" ht="15" hidden="false" customHeight="false" outlineLevel="0" collapsed="false">
      <c r="A118" s="21"/>
      <c r="B118" s="20"/>
      <c r="C118" s="22"/>
      <c r="D118" s="75"/>
      <c r="E118" s="75"/>
      <c r="F118" s="75"/>
      <c r="G118" s="75"/>
      <c r="H118" s="75"/>
      <c r="I118" s="22"/>
      <c r="J118" s="22"/>
      <c r="K118" s="19" t="str">
        <f aca="false">IFERROR($I118-INDEX(Cadastro!$N$7:$N$66,MATCH($B118,Cadastro!$B$7:$B$66,0)),"")</f>
        <v/>
      </c>
      <c r="L118" s="76"/>
      <c r="M118" s="76"/>
      <c r="N118" s="75"/>
      <c r="O118" s="22"/>
      <c r="P118" s="75"/>
      <c r="Q118" s="75"/>
      <c r="R118" s="20"/>
    </row>
    <row r="119" customFormat="false" ht="15" hidden="false" customHeight="false" outlineLevel="0" collapsed="false">
      <c r="A119" s="21"/>
      <c r="B119" s="20"/>
      <c r="C119" s="22"/>
      <c r="D119" s="75"/>
      <c r="E119" s="75"/>
      <c r="F119" s="75"/>
      <c r="G119" s="75"/>
      <c r="H119" s="75"/>
      <c r="I119" s="22"/>
      <c r="J119" s="22"/>
      <c r="K119" s="19" t="str">
        <f aca="false">IFERROR($I119-INDEX(Cadastro!$N$7:$N$66,MATCH($B119,Cadastro!$B$7:$B$66,0)),"")</f>
        <v/>
      </c>
      <c r="L119" s="76"/>
      <c r="M119" s="76"/>
      <c r="N119" s="75"/>
      <c r="O119" s="22"/>
      <c r="P119" s="75"/>
      <c r="Q119" s="75"/>
      <c r="R119" s="20"/>
    </row>
    <row r="120" customFormat="false" ht="15" hidden="false" customHeight="false" outlineLevel="0" collapsed="false">
      <c r="A120" s="21"/>
      <c r="B120" s="20"/>
      <c r="C120" s="22"/>
      <c r="D120" s="75"/>
      <c r="E120" s="75"/>
      <c r="F120" s="75"/>
      <c r="G120" s="75"/>
      <c r="H120" s="75"/>
      <c r="I120" s="22"/>
      <c r="J120" s="22"/>
      <c r="K120" s="19" t="str">
        <f aca="false">IFERROR($I120-INDEX(Cadastro!$N$7:$N$66,MATCH($B120,Cadastro!$B$7:$B$66,0)),"")</f>
        <v/>
      </c>
      <c r="L120" s="76"/>
      <c r="M120" s="76"/>
      <c r="N120" s="75"/>
      <c r="O120" s="22"/>
      <c r="P120" s="75"/>
      <c r="Q120" s="75"/>
      <c r="R120" s="20"/>
    </row>
    <row r="121" customFormat="false" ht="15" hidden="false" customHeight="false" outlineLevel="0" collapsed="false">
      <c r="A121" s="21"/>
      <c r="B121" s="20"/>
      <c r="C121" s="22"/>
      <c r="D121" s="75"/>
      <c r="E121" s="75"/>
      <c r="F121" s="75"/>
      <c r="G121" s="75"/>
      <c r="H121" s="75"/>
      <c r="I121" s="22"/>
      <c r="J121" s="22"/>
      <c r="K121" s="19" t="str">
        <f aca="false">IFERROR($I121-INDEX(Cadastro!$N$7:$N$66,MATCH($B121,Cadastro!$B$7:$B$66,0)),"")</f>
        <v/>
      </c>
      <c r="L121" s="76"/>
      <c r="M121" s="76"/>
      <c r="N121" s="75"/>
      <c r="O121" s="22"/>
      <c r="P121" s="75"/>
      <c r="Q121" s="75"/>
      <c r="R121" s="20"/>
    </row>
    <row r="122" customFormat="false" ht="15" hidden="false" customHeight="false" outlineLevel="0" collapsed="false">
      <c r="A122" s="21"/>
      <c r="B122" s="20"/>
      <c r="C122" s="22"/>
      <c r="D122" s="75"/>
      <c r="E122" s="75"/>
      <c r="F122" s="75"/>
      <c r="G122" s="75"/>
      <c r="H122" s="75"/>
      <c r="I122" s="22"/>
      <c r="J122" s="22"/>
      <c r="K122" s="19" t="str">
        <f aca="false">IFERROR($I122-INDEX(Cadastro!$N$7:$N$66,MATCH($B122,Cadastro!$B$7:$B$66,0)),"")</f>
        <v/>
      </c>
      <c r="L122" s="76"/>
      <c r="M122" s="76"/>
      <c r="N122" s="75"/>
      <c r="O122" s="22"/>
      <c r="P122" s="75"/>
      <c r="Q122" s="75"/>
      <c r="R122" s="20"/>
    </row>
    <row r="123" customFormat="false" ht="15" hidden="false" customHeight="false" outlineLevel="0" collapsed="false">
      <c r="A123" s="21"/>
      <c r="B123" s="20"/>
      <c r="C123" s="22"/>
      <c r="D123" s="75"/>
      <c r="E123" s="75"/>
      <c r="F123" s="75"/>
      <c r="G123" s="75"/>
      <c r="H123" s="75"/>
      <c r="I123" s="22"/>
      <c r="J123" s="22"/>
      <c r="K123" s="19" t="str">
        <f aca="false">IFERROR($I123-INDEX(Cadastro!$N$7:$N$66,MATCH($B123,Cadastro!$B$7:$B$66,0)),"")</f>
        <v/>
      </c>
      <c r="L123" s="76"/>
      <c r="M123" s="76"/>
      <c r="N123" s="75"/>
      <c r="O123" s="22"/>
      <c r="P123" s="75"/>
      <c r="Q123" s="75"/>
      <c r="R123" s="20"/>
    </row>
    <row r="124" customFormat="false" ht="15" hidden="false" customHeight="false" outlineLevel="0" collapsed="false">
      <c r="A124" s="21"/>
      <c r="B124" s="20"/>
      <c r="C124" s="22"/>
      <c r="D124" s="75"/>
      <c r="E124" s="75"/>
      <c r="F124" s="75"/>
      <c r="G124" s="75"/>
      <c r="H124" s="75"/>
      <c r="I124" s="22"/>
      <c r="J124" s="22"/>
      <c r="K124" s="19" t="str">
        <f aca="false">IFERROR($I124-INDEX(Cadastro!$N$7:$N$66,MATCH($B124,Cadastro!$B$7:$B$66,0)),"")</f>
        <v/>
      </c>
      <c r="L124" s="76"/>
      <c r="M124" s="76"/>
      <c r="N124" s="75"/>
      <c r="O124" s="22"/>
      <c r="P124" s="75"/>
      <c r="Q124" s="75"/>
      <c r="R124" s="20"/>
    </row>
    <row r="125" customFormat="false" ht="15" hidden="false" customHeight="false" outlineLevel="0" collapsed="false">
      <c r="A125" s="21"/>
      <c r="B125" s="20"/>
      <c r="C125" s="22"/>
      <c r="D125" s="75"/>
      <c r="E125" s="75"/>
      <c r="F125" s="75"/>
      <c r="G125" s="75"/>
      <c r="H125" s="75"/>
      <c r="I125" s="22"/>
      <c r="J125" s="22"/>
      <c r="K125" s="19" t="str">
        <f aca="false">IFERROR($I125-INDEX(Cadastro!$N$7:$N$66,MATCH($B125,Cadastro!$B$7:$B$66,0)),"")</f>
        <v/>
      </c>
      <c r="L125" s="76"/>
      <c r="M125" s="76"/>
      <c r="N125" s="75"/>
      <c r="O125" s="22"/>
      <c r="P125" s="75"/>
      <c r="Q125" s="75"/>
      <c r="R125" s="20"/>
    </row>
    <row r="126" customFormat="false" ht="15" hidden="false" customHeight="false" outlineLevel="0" collapsed="false">
      <c r="A126" s="21"/>
      <c r="B126" s="20"/>
      <c r="C126" s="22"/>
      <c r="D126" s="75"/>
      <c r="E126" s="75"/>
      <c r="F126" s="75"/>
      <c r="G126" s="75"/>
      <c r="H126" s="75"/>
      <c r="I126" s="22"/>
      <c r="J126" s="22"/>
      <c r="K126" s="19" t="str">
        <f aca="false">IFERROR($I126-INDEX(Cadastro!$N$7:$N$66,MATCH($B126,Cadastro!$B$7:$B$66,0)),"")</f>
        <v/>
      </c>
      <c r="L126" s="76"/>
      <c r="M126" s="76"/>
      <c r="N126" s="75"/>
      <c r="O126" s="22"/>
      <c r="P126" s="75"/>
      <c r="Q126" s="75"/>
      <c r="R126" s="20"/>
    </row>
    <row r="127" customFormat="false" ht="15" hidden="false" customHeight="false" outlineLevel="0" collapsed="false">
      <c r="A127" s="21"/>
      <c r="B127" s="20"/>
      <c r="C127" s="22"/>
      <c r="D127" s="75"/>
      <c r="E127" s="75"/>
      <c r="F127" s="75"/>
      <c r="G127" s="75"/>
      <c r="H127" s="75"/>
      <c r="I127" s="22"/>
      <c r="J127" s="22"/>
      <c r="K127" s="19" t="str">
        <f aca="false">IFERROR($I127-INDEX(Cadastro!$N$7:$N$66,MATCH($B127,Cadastro!$B$7:$B$66,0)),"")</f>
        <v/>
      </c>
      <c r="L127" s="76"/>
      <c r="M127" s="76"/>
      <c r="N127" s="75"/>
      <c r="O127" s="22"/>
      <c r="P127" s="75"/>
      <c r="Q127" s="75"/>
      <c r="R127" s="20"/>
    </row>
    <row r="128" customFormat="false" ht="15" hidden="false" customHeight="false" outlineLevel="0" collapsed="false">
      <c r="A128" s="21"/>
      <c r="B128" s="20"/>
      <c r="C128" s="22"/>
      <c r="D128" s="75"/>
      <c r="E128" s="75"/>
      <c r="F128" s="75"/>
      <c r="G128" s="75"/>
      <c r="H128" s="75"/>
      <c r="I128" s="22"/>
      <c r="J128" s="22"/>
      <c r="K128" s="19" t="str">
        <f aca="false">IFERROR($I128-INDEX(Cadastro!$N$7:$N$66,MATCH($B128,Cadastro!$B$7:$B$66,0)),"")</f>
        <v/>
      </c>
      <c r="L128" s="76"/>
      <c r="M128" s="76"/>
      <c r="N128" s="75"/>
      <c r="O128" s="22"/>
      <c r="P128" s="75"/>
      <c r="Q128" s="75"/>
      <c r="R128" s="20"/>
    </row>
    <row r="129" customFormat="false" ht="15" hidden="false" customHeight="false" outlineLevel="0" collapsed="false">
      <c r="A129" s="21"/>
      <c r="B129" s="20"/>
      <c r="C129" s="22"/>
      <c r="D129" s="75"/>
      <c r="E129" s="75"/>
      <c r="F129" s="75"/>
      <c r="G129" s="75"/>
      <c r="H129" s="75"/>
      <c r="I129" s="22"/>
      <c r="J129" s="22"/>
      <c r="K129" s="19" t="str">
        <f aca="false">IFERROR($I129-INDEX(Cadastro!$N$7:$N$66,MATCH($B129,Cadastro!$B$7:$B$66,0)),"")</f>
        <v/>
      </c>
      <c r="L129" s="76"/>
      <c r="M129" s="76"/>
      <c r="N129" s="75"/>
      <c r="O129" s="22"/>
      <c r="P129" s="75"/>
      <c r="Q129" s="75"/>
      <c r="R129" s="20"/>
    </row>
    <row r="130" customFormat="false" ht="15" hidden="false" customHeight="false" outlineLevel="0" collapsed="false">
      <c r="A130" s="21"/>
      <c r="B130" s="20"/>
      <c r="C130" s="22"/>
      <c r="D130" s="75"/>
      <c r="E130" s="75"/>
      <c r="F130" s="75"/>
      <c r="G130" s="75"/>
      <c r="H130" s="75"/>
      <c r="I130" s="22"/>
      <c r="J130" s="22"/>
      <c r="K130" s="19" t="str">
        <f aca="false">IFERROR($I130-INDEX(Cadastro!$N$7:$N$66,MATCH($B130,Cadastro!$B$7:$B$66,0)),"")</f>
        <v/>
      </c>
      <c r="L130" s="76"/>
      <c r="M130" s="76"/>
      <c r="N130" s="75"/>
      <c r="O130" s="22"/>
      <c r="P130" s="75"/>
      <c r="Q130" s="75"/>
      <c r="R130" s="20"/>
    </row>
    <row r="131" customFormat="false" ht="15" hidden="false" customHeight="false" outlineLevel="0" collapsed="false">
      <c r="A131" s="21"/>
      <c r="B131" s="20"/>
      <c r="C131" s="22"/>
      <c r="D131" s="75"/>
      <c r="E131" s="75"/>
      <c r="F131" s="75"/>
      <c r="G131" s="75"/>
      <c r="H131" s="75"/>
      <c r="I131" s="22"/>
      <c r="J131" s="22"/>
      <c r="K131" s="19" t="str">
        <f aca="false">IFERROR($I131-INDEX(Cadastro!$N$7:$N$66,MATCH($B131,Cadastro!$B$7:$B$66,0)),"")</f>
        <v/>
      </c>
      <c r="L131" s="76"/>
      <c r="M131" s="76"/>
      <c r="N131" s="75"/>
      <c r="O131" s="22"/>
      <c r="P131" s="75"/>
      <c r="Q131" s="75"/>
      <c r="R131" s="20"/>
    </row>
    <row r="132" customFormat="false" ht="15" hidden="false" customHeight="false" outlineLevel="0" collapsed="false">
      <c r="A132" s="21"/>
      <c r="B132" s="20"/>
      <c r="C132" s="22"/>
      <c r="D132" s="75"/>
      <c r="E132" s="75"/>
      <c r="F132" s="75"/>
      <c r="G132" s="75"/>
      <c r="H132" s="75"/>
      <c r="I132" s="22"/>
      <c r="J132" s="22"/>
      <c r="K132" s="19" t="str">
        <f aca="false">IFERROR($I132-INDEX(Cadastro!$N$7:$N$66,MATCH($B132,Cadastro!$B$7:$B$66,0)),"")</f>
        <v/>
      </c>
      <c r="L132" s="76"/>
      <c r="M132" s="76"/>
      <c r="N132" s="75"/>
      <c r="O132" s="22"/>
      <c r="P132" s="75"/>
      <c r="Q132" s="75"/>
      <c r="R132" s="20"/>
    </row>
    <row r="133" customFormat="false" ht="15" hidden="false" customHeight="false" outlineLevel="0" collapsed="false">
      <c r="A133" s="21"/>
      <c r="B133" s="20"/>
      <c r="C133" s="22"/>
      <c r="D133" s="75"/>
      <c r="E133" s="75"/>
      <c r="F133" s="75"/>
      <c r="G133" s="75"/>
      <c r="H133" s="75"/>
      <c r="I133" s="22"/>
      <c r="J133" s="22"/>
      <c r="K133" s="19" t="str">
        <f aca="false">IFERROR($I133-INDEX(Cadastro!$N$7:$N$66,MATCH($B133,Cadastro!$B$7:$B$66,0)),"")</f>
        <v/>
      </c>
      <c r="L133" s="76"/>
      <c r="M133" s="76"/>
      <c r="N133" s="75"/>
      <c r="O133" s="22"/>
      <c r="P133" s="75"/>
      <c r="Q133" s="75"/>
      <c r="R133" s="20"/>
    </row>
    <row r="134" customFormat="false" ht="15" hidden="false" customHeight="false" outlineLevel="0" collapsed="false">
      <c r="A134" s="21"/>
      <c r="B134" s="20"/>
      <c r="C134" s="22"/>
      <c r="D134" s="75"/>
      <c r="E134" s="75"/>
      <c r="F134" s="75"/>
      <c r="G134" s="75"/>
      <c r="H134" s="75"/>
      <c r="I134" s="22"/>
      <c r="J134" s="22"/>
      <c r="K134" s="19" t="str">
        <f aca="false">IFERROR($I134-INDEX(Cadastro!$N$7:$N$66,MATCH($B134,Cadastro!$B$7:$B$66,0)),"")</f>
        <v/>
      </c>
      <c r="L134" s="76"/>
      <c r="M134" s="76"/>
      <c r="N134" s="75"/>
      <c r="O134" s="22"/>
      <c r="P134" s="75"/>
      <c r="Q134" s="75"/>
      <c r="R134" s="20"/>
    </row>
    <row r="135" customFormat="false" ht="15" hidden="false" customHeight="false" outlineLevel="0" collapsed="false">
      <c r="A135" s="21"/>
      <c r="B135" s="20"/>
      <c r="C135" s="22"/>
      <c r="D135" s="75"/>
      <c r="E135" s="75"/>
      <c r="F135" s="75"/>
      <c r="G135" s="75"/>
      <c r="H135" s="75"/>
      <c r="I135" s="22"/>
      <c r="J135" s="22"/>
      <c r="K135" s="19" t="str">
        <f aca="false">IFERROR($I135-INDEX(Cadastro!$N$7:$N$66,MATCH($B135,Cadastro!$B$7:$B$66,0)),"")</f>
        <v/>
      </c>
      <c r="L135" s="76"/>
      <c r="M135" s="76"/>
      <c r="N135" s="75"/>
      <c r="O135" s="22"/>
      <c r="P135" s="75"/>
      <c r="Q135" s="75"/>
      <c r="R135" s="20"/>
    </row>
    <row r="136" customFormat="false" ht="15" hidden="false" customHeight="false" outlineLevel="0" collapsed="false">
      <c r="A136" s="21"/>
      <c r="B136" s="20"/>
      <c r="C136" s="22"/>
      <c r="D136" s="75"/>
      <c r="E136" s="75"/>
      <c r="F136" s="75"/>
      <c r="G136" s="75"/>
      <c r="H136" s="75"/>
      <c r="I136" s="22"/>
      <c r="J136" s="22"/>
      <c r="K136" s="19" t="str">
        <f aca="false">IFERROR($I136-INDEX(Cadastro!$N$7:$N$66,MATCH($B136,Cadastro!$B$7:$B$66,0)),"")</f>
        <v/>
      </c>
      <c r="L136" s="76"/>
      <c r="M136" s="76"/>
      <c r="N136" s="75"/>
      <c r="O136" s="22"/>
      <c r="P136" s="75"/>
      <c r="Q136" s="75"/>
      <c r="R136" s="20"/>
    </row>
    <row r="137" customFormat="false" ht="15" hidden="false" customHeight="false" outlineLevel="0" collapsed="false">
      <c r="A137" s="21"/>
      <c r="B137" s="20"/>
      <c r="C137" s="22"/>
      <c r="D137" s="75"/>
      <c r="E137" s="75"/>
      <c r="F137" s="75"/>
      <c r="G137" s="75"/>
      <c r="H137" s="75"/>
      <c r="I137" s="22"/>
      <c r="J137" s="22"/>
      <c r="K137" s="19" t="str">
        <f aca="false">IFERROR($I137-INDEX(Cadastro!$N$7:$N$66,MATCH($B137,Cadastro!$B$7:$B$66,0)),"")</f>
        <v/>
      </c>
      <c r="L137" s="76"/>
      <c r="M137" s="76"/>
      <c r="N137" s="75"/>
      <c r="O137" s="22"/>
      <c r="P137" s="75"/>
      <c r="Q137" s="75"/>
      <c r="R137" s="20"/>
    </row>
    <row r="138" customFormat="false" ht="15" hidden="false" customHeight="false" outlineLevel="0" collapsed="false">
      <c r="A138" s="21"/>
      <c r="B138" s="20"/>
      <c r="C138" s="22"/>
      <c r="D138" s="75"/>
      <c r="E138" s="75"/>
      <c r="F138" s="75"/>
      <c r="G138" s="75"/>
      <c r="H138" s="75"/>
      <c r="I138" s="22"/>
      <c r="J138" s="22"/>
      <c r="K138" s="19" t="str">
        <f aca="false">IFERROR($I138-INDEX(Cadastro!$N$7:$N$66,MATCH($B138,Cadastro!$B$7:$B$66,0)),"")</f>
        <v/>
      </c>
      <c r="L138" s="76"/>
      <c r="M138" s="76"/>
      <c r="N138" s="75"/>
      <c r="O138" s="22"/>
      <c r="P138" s="75"/>
      <c r="Q138" s="75"/>
      <c r="R138" s="20"/>
    </row>
    <row r="139" customFormat="false" ht="15" hidden="false" customHeight="false" outlineLevel="0" collapsed="false">
      <c r="A139" s="21"/>
      <c r="B139" s="20"/>
      <c r="C139" s="22"/>
      <c r="D139" s="75"/>
      <c r="E139" s="75"/>
      <c r="F139" s="75"/>
      <c r="G139" s="75"/>
      <c r="H139" s="75"/>
      <c r="I139" s="22"/>
      <c r="J139" s="22"/>
      <c r="K139" s="19" t="str">
        <f aca="false">IFERROR($I139-INDEX(Cadastro!$N$7:$N$66,MATCH($B139,Cadastro!$B$7:$B$66,0)),"")</f>
        <v/>
      </c>
      <c r="L139" s="76"/>
      <c r="M139" s="76"/>
      <c r="N139" s="75"/>
      <c r="O139" s="22"/>
      <c r="P139" s="75"/>
      <c r="Q139" s="75"/>
      <c r="R139" s="20"/>
    </row>
    <row r="140" customFormat="false" ht="15" hidden="false" customHeight="false" outlineLevel="0" collapsed="false">
      <c r="A140" s="21"/>
      <c r="B140" s="20"/>
      <c r="C140" s="22"/>
      <c r="D140" s="75"/>
      <c r="E140" s="75"/>
      <c r="F140" s="75"/>
      <c r="G140" s="75"/>
      <c r="H140" s="75"/>
      <c r="I140" s="22"/>
      <c r="J140" s="22"/>
      <c r="K140" s="19" t="str">
        <f aca="false">IFERROR($I140-INDEX(Cadastro!$N$7:$N$66,MATCH($B140,Cadastro!$B$7:$B$66,0)),"")</f>
        <v/>
      </c>
      <c r="L140" s="76"/>
      <c r="M140" s="76"/>
      <c r="N140" s="75"/>
      <c r="O140" s="22"/>
      <c r="P140" s="75"/>
      <c r="Q140" s="75"/>
      <c r="R140" s="20"/>
    </row>
    <row r="141" customFormat="false" ht="15" hidden="false" customHeight="false" outlineLevel="0" collapsed="false">
      <c r="A141" s="21"/>
      <c r="B141" s="20"/>
      <c r="C141" s="22"/>
      <c r="D141" s="75"/>
      <c r="E141" s="75"/>
      <c r="F141" s="75"/>
      <c r="G141" s="75"/>
      <c r="H141" s="75"/>
      <c r="I141" s="22"/>
      <c r="J141" s="22"/>
      <c r="K141" s="19" t="str">
        <f aca="false">IFERROR($I141-INDEX(Cadastro!$N$7:$N$66,MATCH($B141,Cadastro!$B$7:$B$66,0)),"")</f>
        <v/>
      </c>
      <c r="L141" s="76"/>
      <c r="M141" s="76"/>
      <c r="N141" s="75"/>
      <c r="O141" s="22"/>
      <c r="P141" s="75"/>
      <c r="Q141" s="75"/>
      <c r="R141" s="20"/>
    </row>
    <row r="142" customFormat="false" ht="15" hidden="false" customHeight="false" outlineLevel="0" collapsed="false">
      <c r="A142" s="21"/>
      <c r="B142" s="20"/>
      <c r="C142" s="22"/>
      <c r="D142" s="75"/>
      <c r="E142" s="75"/>
      <c r="F142" s="75"/>
      <c r="G142" s="75"/>
      <c r="H142" s="75"/>
      <c r="I142" s="22"/>
      <c r="J142" s="22"/>
      <c r="K142" s="19" t="str">
        <f aca="false">IFERROR($I142-INDEX(Cadastro!$N$7:$N$66,MATCH($B142,Cadastro!$B$7:$B$66,0)),"")</f>
        <v/>
      </c>
      <c r="L142" s="76"/>
      <c r="M142" s="76"/>
      <c r="N142" s="75"/>
      <c r="O142" s="22"/>
      <c r="P142" s="75"/>
      <c r="Q142" s="75"/>
      <c r="R142" s="20"/>
    </row>
    <row r="143" customFormat="false" ht="15" hidden="false" customHeight="false" outlineLevel="0" collapsed="false">
      <c r="A143" s="21"/>
      <c r="B143" s="20"/>
      <c r="C143" s="22"/>
      <c r="D143" s="75"/>
      <c r="E143" s="75"/>
      <c r="F143" s="75"/>
      <c r="G143" s="75"/>
      <c r="H143" s="75"/>
      <c r="I143" s="22"/>
      <c r="J143" s="22"/>
      <c r="K143" s="19" t="str">
        <f aca="false">IFERROR($I143-INDEX(Cadastro!$N$7:$N$66,MATCH($B143,Cadastro!$B$7:$B$66,0)),"")</f>
        <v/>
      </c>
      <c r="L143" s="76"/>
      <c r="M143" s="76"/>
      <c r="N143" s="75"/>
      <c r="O143" s="22"/>
      <c r="P143" s="75"/>
      <c r="Q143" s="75"/>
      <c r="R143" s="20"/>
    </row>
    <row r="144" customFormat="false" ht="15" hidden="false" customHeight="false" outlineLevel="0" collapsed="false">
      <c r="A144" s="21"/>
      <c r="B144" s="20"/>
      <c r="C144" s="22"/>
      <c r="D144" s="75"/>
      <c r="E144" s="75"/>
      <c r="F144" s="75"/>
      <c r="G144" s="75"/>
      <c r="H144" s="75"/>
      <c r="I144" s="22"/>
      <c r="J144" s="22"/>
      <c r="K144" s="19" t="str">
        <f aca="false">IFERROR($I144-INDEX(Cadastro!$N$7:$N$66,MATCH($B144,Cadastro!$B$7:$B$66,0)),"")</f>
        <v/>
      </c>
      <c r="L144" s="76"/>
      <c r="M144" s="76"/>
      <c r="N144" s="75"/>
      <c r="O144" s="22"/>
      <c r="P144" s="75"/>
      <c r="Q144" s="75"/>
      <c r="R144" s="20"/>
    </row>
    <row r="145" customFormat="false" ht="15" hidden="false" customHeight="false" outlineLevel="0" collapsed="false">
      <c r="A145" s="21"/>
      <c r="B145" s="20"/>
      <c r="C145" s="22"/>
      <c r="D145" s="75"/>
      <c r="E145" s="75"/>
      <c r="F145" s="75"/>
      <c r="G145" s="75"/>
      <c r="H145" s="75"/>
      <c r="I145" s="22"/>
      <c r="J145" s="22"/>
      <c r="K145" s="19" t="str">
        <f aca="false">IFERROR($I145-INDEX(Cadastro!$N$7:$N$66,MATCH($B145,Cadastro!$B$7:$B$66,0)),"")</f>
        <v/>
      </c>
      <c r="L145" s="76"/>
      <c r="M145" s="76"/>
      <c r="N145" s="75"/>
      <c r="O145" s="22"/>
      <c r="P145" s="75"/>
      <c r="Q145" s="75"/>
      <c r="R145" s="20"/>
    </row>
    <row r="146" customFormat="false" ht="15" hidden="false" customHeight="false" outlineLevel="0" collapsed="false">
      <c r="A146" s="21"/>
      <c r="B146" s="20"/>
      <c r="C146" s="22"/>
      <c r="D146" s="75"/>
      <c r="E146" s="75"/>
      <c r="F146" s="75"/>
      <c r="G146" s="75"/>
      <c r="H146" s="75"/>
      <c r="I146" s="22"/>
      <c r="J146" s="22"/>
      <c r="K146" s="19" t="str">
        <f aca="false">IFERROR($I146-INDEX(Cadastro!$N$7:$N$66,MATCH($B146,Cadastro!$B$7:$B$66,0)),"")</f>
        <v/>
      </c>
      <c r="L146" s="76"/>
      <c r="M146" s="76"/>
      <c r="N146" s="75"/>
      <c r="O146" s="22"/>
      <c r="P146" s="75"/>
      <c r="Q146" s="75"/>
      <c r="R146" s="20"/>
    </row>
    <row r="147" customFormat="false" ht="15" hidden="false" customHeight="false" outlineLevel="0" collapsed="false">
      <c r="A147" s="21"/>
      <c r="B147" s="20"/>
      <c r="C147" s="22"/>
      <c r="D147" s="75"/>
      <c r="E147" s="75"/>
      <c r="F147" s="75"/>
      <c r="G147" s="75"/>
      <c r="H147" s="75"/>
      <c r="I147" s="22"/>
      <c r="J147" s="22"/>
      <c r="K147" s="19" t="str">
        <f aca="false">IFERROR($I147-INDEX(Cadastro!$N$7:$N$66,MATCH($B147,Cadastro!$B$7:$B$66,0)),"")</f>
        <v/>
      </c>
      <c r="L147" s="76"/>
      <c r="M147" s="76"/>
      <c r="N147" s="75"/>
      <c r="O147" s="22"/>
      <c r="P147" s="75"/>
      <c r="Q147" s="75"/>
      <c r="R147" s="20"/>
    </row>
    <row r="148" customFormat="false" ht="15" hidden="false" customHeight="false" outlineLevel="0" collapsed="false">
      <c r="A148" s="21"/>
      <c r="B148" s="20"/>
      <c r="C148" s="22"/>
      <c r="D148" s="75"/>
      <c r="E148" s="75"/>
      <c r="F148" s="75"/>
      <c r="G148" s="75"/>
      <c r="H148" s="75"/>
      <c r="I148" s="22"/>
      <c r="J148" s="22"/>
      <c r="K148" s="19" t="str">
        <f aca="false">IFERROR($I148-INDEX(Cadastro!$N$7:$N$66,MATCH($B148,Cadastro!$B$7:$B$66,0)),"")</f>
        <v/>
      </c>
      <c r="L148" s="76"/>
      <c r="M148" s="76"/>
      <c r="N148" s="75"/>
      <c r="O148" s="22"/>
      <c r="P148" s="75"/>
      <c r="Q148" s="75"/>
      <c r="R148" s="20"/>
    </row>
    <row r="149" customFormat="false" ht="15" hidden="false" customHeight="false" outlineLevel="0" collapsed="false">
      <c r="A149" s="21"/>
      <c r="B149" s="20"/>
      <c r="C149" s="22"/>
      <c r="D149" s="75"/>
      <c r="E149" s="75"/>
      <c r="F149" s="75"/>
      <c r="G149" s="75"/>
      <c r="H149" s="75"/>
      <c r="I149" s="22"/>
      <c r="J149" s="22"/>
      <c r="K149" s="19" t="str">
        <f aca="false">IFERROR($I149-INDEX(Cadastro!$N$7:$N$66,MATCH($B149,Cadastro!$B$7:$B$66,0)),"")</f>
        <v/>
      </c>
      <c r="L149" s="76"/>
      <c r="M149" s="76"/>
      <c r="N149" s="75"/>
      <c r="O149" s="22"/>
      <c r="P149" s="75"/>
      <c r="Q149" s="75"/>
      <c r="R149" s="20"/>
    </row>
    <row r="150" customFormat="false" ht="15" hidden="false" customHeight="false" outlineLevel="0" collapsed="false">
      <c r="A150" s="21"/>
      <c r="B150" s="20"/>
      <c r="C150" s="22"/>
      <c r="D150" s="75"/>
      <c r="E150" s="75"/>
      <c r="F150" s="75"/>
      <c r="G150" s="75"/>
      <c r="H150" s="75"/>
      <c r="I150" s="22"/>
      <c r="J150" s="22"/>
      <c r="K150" s="19" t="str">
        <f aca="false">IFERROR($I150-INDEX(Cadastro!$N$7:$N$66,MATCH($B150,Cadastro!$B$7:$B$66,0)),"")</f>
        <v/>
      </c>
      <c r="L150" s="76"/>
      <c r="M150" s="76"/>
      <c r="N150" s="75"/>
      <c r="O150" s="22"/>
      <c r="P150" s="75"/>
      <c r="Q150" s="75"/>
      <c r="R150" s="20"/>
    </row>
    <row r="151" customFormat="false" ht="15" hidden="false" customHeight="false" outlineLevel="0" collapsed="false">
      <c r="A151" s="21"/>
      <c r="B151" s="20"/>
      <c r="C151" s="22"/>
      <c r="D151" s="75"/>
      <c r="E151" s="75"/>
      <c r="F151" s="75"/>
      <c r="G151" s="75"/>
      <c r="H151" s="75"/>
      <c r="I151" s="22"/>
      <c r="J151" s="22"/>
      <c r="K151" s="19" t="str">
        <f aca="false">IFERROR($I151-INDEX(Cadastro!$N$7:$N$66,MATCH($B151,Cadastro!$B$7:$B$66,0)),"")</f>
        <v/>
      </c>
      <c r="L151" s="76"/>
      <c r="M151" s="76"/>
      <c r="N151" s="75"/>
      <c r="O151" s="22"/>
      <c r="P151" s="75"/>
      <c r="Q151" s="75"/>
      <c r="R151" s="20"/>
    </row>
    <row r="152" customFormat="false" ht="15" hidden="false" customHeight="false" outlineLevel="0" collapsed="false">
      <c r="A152" s="21"/>
      <c r="B152" s="20"/>
      <c r="C152" s="22"/>
      <c r="D152" s="75"/>
      <c r="E152" s="75"/>
      <c r="F152" s="75"/>
      <c r="G152" s="75"/>
      <c r="H152" s="75"/>
      <c r="I152" s="22"/>
      <c r="J152" s="22"/>
      <c r="K152" s="19" t="str">
        <f aca="false">IFERROR($I152-INDEX(Cadastro!$N$7:$N$66,MATCH($B152,Cadastro!$B$7:$B$66,0)),"")</f>
        <v/>
      </c>
      <c r="L152" s="76"/>
      <c r="M152" s="76"/>
      <c r="N152" s="75"/>
      <c r="O152" s="22"/>
      <c r="P152" s="75"/>
      <c r="Q152" s="75"/>
      <c r="R152" s="20"/>
    </row>
    <row r="153" customFormat="false" ht="15" hidden="false" customHeight="false" outlineLevel="0" collapsed="false">
      <c r="A153" s="21"/>
      <c r="B153" s="20"/>
      <c r="C153" s="22"/>
      <c r="D153" s="75"/>
      <c r="E153" s="75"/>
      <c r="F153" s="75"/>
      <c r="G153" s="75"/>
      <c r="H153" s="75"/>
      <c r="I153" s="22"/>
      <c r="J153" s="22"/>
      <c r="K153" s="19" t="str">
        <f aca="false">IFERROR($I153-INDEX(Cadastro!$N$7:$N$66,MATCH($B153,Cadastro!$B$7:$B$66,0)),"")</f>
        <v/>
      </c>
      <c r="L153" s="76"/>
      <c r="M153" s="76"/>
      <c r="N153" s="75"/>
      <c r="O153" s="22"/>
      <c r="P153" s="75"/>
      <c r="Q153" s="75"/>
      <c r="R153" s="20"/>
    </row>
    <row r="154" customFormat="false" ht="15" hidden="false" customHeight="false" outlineLevel="0" collapsed="false">
      <c r="A154" s="21"/>
      <c r="B154" s="20"/>
      <c r="C154" s="22"/>
      <c r="D154" s="75"/>
      <c r="E154" s="75"/>
      <c r="F154" s="75"/>
      <c r="G154" s="75"/>
      <c r="H154" s="75"/>
      <c r="I154" s="22"/>
      <c r="J154" s="22"/>
      <c r="K154" s="19" t="str">
        <f aca="false">IFERROR($I154-INDEX(Cadastro!$N$7:$N$66,MATCH($B154,Cadastro!$B$7:$B$66,0)),"")</f>
        <v/>
      </c>
      <c r="L154" s="76"/>
      <c r="M154" s="76"/>
      <c r="N154" s="75"/>
      <c r="O154" s="22"/>
      <c r="P154" s="75"/>
      <c r="Q154" s="75"/>
      <c r="R154" s="20"/>
    </row>
    <row r="155" customFormat="false" ht="15" hidden="false" customHeight="false" outlineLevel="0" collapsed="false">
      <c r="A155" s="21"/>
      <c r="B155" s="20"/>
      <c r="C155" s="22"/>
      <c r="D155" s="75"/>
      <c r="E155" s="75"/>
      <c r="F155" s="75"/>
      <c r="G155" s="75"/>
      <c r="H155" s="75"/>
      <c r="I155" s="22"/>
      <c r="J155" s="22"/>
      <c r="K155" s="19" t="str">
        <f aca="false">IFERROR($I155-INDEX(Cadastro!$N$7:$N$66,MATCH($B155,Cadastro!$B$7:$B$66,0)),"")</f>
        <v/>
      </c>
      <c r="L155" s="76"/>
      <c r="M155" s="76"/>
      <c r="N155" s="75"/>
      <c r="O155" s="22"/>
      <c r="P155" s="75"/>
      <c r="Q155" s="75"/>
      <c r="R155" s="20"/>
    </row>
    <row r="156" customFormat="false" ht="15" hidden="false" customHeight="false" outlineLevel="0" collapsed="false">
      <c r="A156" s="21"/>
      <c r="B156" s="20"/>
      <c r="C156" s="22"/>
      <c r="D156" s="75"/>
      <c r="E156" s="75"/>
      <c r="F156" s="75"/>
      <c r="G156" s="75"/>
      <c r="H156" s="75"/>
      <c r="I156" s="22"/>
      <c r="J156" s="22"/>
      <c r="K156" s="19" t="str">
        <f aca="false">IFERROR($I156-INDEX(Cadastro!$N$7:$N$66,MATCH($B156,Cadastro!$B$7:$B$66,0)),"")</f>
        <v/>
      </c>
      <c r="L156" s="76"/>
      <c r="M156" s="76"/>
      <c r="N156" s="75"/>
      <c r="O156" s="22"/>
      <c r="P156" s="75"/>
      <c r="Q156" s="75"/>
      <c r="R156" s="20"/>
    </row>
    <row r="157" customFormat="false" ht="15" hidden="false" customHeight="false" outlineLevel="0" collapsed="false">
      <c r="A157" s="21"/>
      <c r="B157" s="20"/>
      <c r="C157" s="22"/>
      <c r="D157" s="75"/>
      <c r="E157" s="75"/>
      <c r="F157" s="75"/>
      <c r="G157" s="75"/>
      <c r="H157" s="75"/>
      <c r="I157" s="22"/>
      <c r="J157" s="22"/>
      <c r="K157" s="19" t="str">
        <f aca="false">IFERROR($I157-INDEX(Cadastro!$N$7:$N$66,MATCH($B157,Cadastro!$B$7:$B$66,0)),"")</f>
        <v/>
      </c>
      <c r="L157" s="76"/>
      <c r="M157" s="76"/>
      <c r="N157" s="75"/>
      <c r="O157" s="22"/>
      <c r="P157" s="75"/>
      <c r="Q157" s="75"/>
      <c r="R157" s="20"/>
    </row>
    <row r="158" customFormat="false" ht="15" hidden="false" customHeight="false" outlineLevel="0" collapsed="false">
      <c r="A158" s="21"/>
      <c r="B158" s="20"/>
      <c r="C158" s="22"/>
      <c r="D158" s="75"/>
      <c r="E158" s="75"/>
      <c r="F158" s="75"/>
      <c r="G158" s="75"/>
      <c r="H158" s="75"/>
      <c r="I158" s="22"/>
      <c r="J158" s="22"/>
      <c r="K158" s="19" t="str">
        <f aca="false">IFERROR($I158-INDEX(Cadastro!$N$7:$N$66,MATCH($B158,Cadastro!$B$7:$B$66,0)),"")</f>
        <v/>
      </c>
      <c r="L158" s="76"/>
      <c r="M158" s="76"/>
      <c r="N158" s="75"/>
      <c r="O158" s="22"/>
      <c r="P158" s="75"/>
      <c r="Q158" s="75"/>
      <c r="R158" s="20"/>
    </row>
    <row r="159" customFormat="false" ht="15" hidden="false" customHeight="false" outlineLevel="0" collapsed="false">
      <c r="A159" s="21"/>
      <c r="B159" s="20"/>
      <c r="C159" s="22"/>
      <c r="D159" s="75"/>
      <c r="E159" s="75"/>
      <c r="F159" s="75"/>
      <c r="G159" s="75"/>
      <c r="H159" s="75"/>
      <c r="I159" s="22"/>
      <c r="J159" s="22"/>
      <c r="K159" s="19" t="str">
        <f aca="false">IFERROR($I159-INDEX(Cadastro!$N$7:$N$66,MATCH($B159,Cadastro!$B$7:$B$66,0)),"")</f>
        <v/>
      </c>
      <c r="L159" s="76"/>
      <c r="M159" s="76"/>
      <c r="N159" s="75"/>
      <c r="O159" s="22"/>
      <c r="P159" s="75"/>
      <c r="Q159" s="75"/>
      <c r="R159" s="20"/>
    </row>
    <row r="160" customFormat="false" ht="15" hidden="false" customHeight="false" outlineLevel="0" collapsed="false">
      <c r="A160" s="21"/>
      <c r="B160" s="20"/>
      <c r="C160" s="22"/>
      <c r="D160" s="75"/>
      <c r="E160" s="75"/>
      <c r="F160" s="75"/>
      <c r="G160" s="75"/>
      <c r="H160" s="75"/>
      <c r="I160" s="22"/>
      <c r="J160" s="22"/>
      <c r="K160" s="19" t="str">
        <f aca="false">IFERROR($I160-INDEX(Cadastro!$N$7:$N$66,MATCH($B160,Cadastro!$B$7:$B$66,0)),"")</f>
        <v/>
      </c>
      <c r="L160" s="76"/>
      <c r="M160" s="76"/>
      <c r="N160" s="75"/>
      <c r="O160" s="22"/>
      <c r="P160" s="75"/>
      <c r="Q160" s="75"/>
      <c r="R160" s="20"/>
    </row>
    <row r="161" customFormat="false" ht="15" hidden="false" customHeight="false" outlineLevel="0" collapsed="false">
      <c r="A161" s="21"/>
      <c r="B161" s="20"/>
      <c r="C161" s="22"/>
      <c r="D161" s="75"/>
      <c r="E161" s="75"/>
      <c r="F161" s="75"/>
      <c r="G161" s="75"/>
      <c r="H161" s="75"/>
      <c r="I161" s="22"/>
      <c r="J161" s="22"/>
      <c r="K161" s="19" t="str">
        <f aca="false">IFERROR($I161-INDEX(Cadastro!$N$7:$N$66,MATCH($B161,Cadastro!$B$7:$B$66,0)),"")</f>
        <v/>
      </c>
      <c r="L161" s="76"/>
      <c r="M161" s="76"/>
      <c r="N161" s="75"/>
      <c r="O161" s="22"/>
      <c r="P161" s="75"/>
      <c r="Q161" s="75"/>
      <c r="R161" s="20"/>
    </row>
    <row r="162" customFormat="false" ht="15" hidden="false" customHeight="false" outlineLevel="0" collapsed="false">
      <c r="A162" s="21"/>
      <c r="B162" s="20"/>
      <c r="C162" s="22"/>
      <c r="D162" s="75"/>
      <c r="E162" s="75"/>
      <c r="F162" s="75"/>
      <c r="G162" s="75"/>
      <c r="H162" s="75"/>
      <c r="I162" s="22"/>
      <c r="J162" s="22"/>
      <c r="K162" s="19" t="str">
        <f aca="false">IFERROR($I162-INDEX(Cadastro!$N$7:$N$66,MATCH($B162,Cadastro!$B$7:$B$66,0)),"")</f>
        <v/>
      </c>
      <c r="L162" s="76"/>
      <c r="M162" s="76"/>
      <c r="N162" s="75"/>
      <c r="O162" s="22"/>
      <c r="P162" s="75"/>
      <c r="Q162" s="75"/>
      <c r="R162" s="20"/>
    </row>
    <row r="163" customFormat="false" ht="15" hidden="false" customHeight="false" outlineLevel="0" collapsed="false">
      <c r="A163" s="21"/>
      <c r="B163" s="20"/>
      <c r="C163" s="22"/>
      <c r="D163" s="75"/>
      <c r="E163" s="75"/>
      <c r="F163" s="75"/>
      <c r="G163" s="75"/>
      <c r="H163" s="75"/>
      <c r="I163" s="22"/>
      <c r="J163" s="22"/>
      <c r="K163" s="19" t="str">
        <f aca="false">IFERROR($I163-INDEX(Cadastro!$N$7:$N$66,MATCH($B163,Cadastro!$B$7:$B$66,0)),"")</f>
        <v/>
      </c>
      <c r="L163" s="76"/>
      <c r="M163" s="76"/>
      <c r="N163" s="75"/>
      <c r="O163" s="22"/>
      <c r="P163" s="75"/>
      <c r="Q163" s="75"/>
      <c r="R163" s="20"/>
    </row>
    <row r="164" customFormat="false" ht="15" hidden="false" customHeight="false" outlineLevel="0" collapsed="false">
      <c r="A164" s="21"/>
      <c r="B164" s="20"/>
      <c r="C164" s="22"/>
      <c r="D164" s="75"/>
      <c r="E164" s="75"/>
      <c r="F164" s="75"/>
      <c r="G164" s="75"/>
      <c r="H164" s="75"/>
      <c r="I164" s="22"/>
      <c r="J164" s="22"/>
      <c r="K164" s="19" t="str">
        <f aca="false">IFERROR($I164-INDEX(Cadastro!$N$7:$N$66,MATCH($B164,Cadastro!$B$7:$B$66,0)),"")</f>
        <v/>
      </c>
      <c r="L164" s="76"/>
      <c r="M164" s="76"/>
      <c r="N164" s="75"/>
      <c r="O164" s="22"/>
      <c r="P164" s="75"/>
      <c r="Q164" s="75"/>
      <c r="R164" s="20"/>
    </row>
    <row r="165" customFormat="false" ht="15" hidden="false" customHeight="false" outlineLevel="0" collapsed="false">
      <c r="A165" s="21"/>
      <c r="B165" s="20"/>
      <c r="C165" s="22"/>
      <c r="D165" s="75"/>
      <c r="E165" s="75"/>
      <c r="F165" s="75"/>
      <c r="G165" s="75"/>
      <c r="H165" s="75"/>
      <c r="I165" s="22"/>
      <c r="J165" s="22"/>
      <c r="K165" s="19" t="str">
        <f aca="false">IFERROR($I165-INDEX(Cadastro!$N$7:$N$66,MATCH($B165,Cadastro!$B$7:$B$66,0)),"")</f>
        <v/>
      </c>
      <c r="L165" s="76"/>
      <c r="M165" s="76"/>
      <c r="N165" s="75"/>
      <c r="O165" s="22"/>
      <c r="P165" s="75"/>
      <c r="Q165" s="75"/>
      <c r="R165" s="20"/>
    </row>
    <row r="166" customFormat="false" ht="15" hidden="false" customHeight="false" outlineLevel="0" collapsed="false">
      <c r="A166" s="21"/>
      <c r="B166" s="20"/>
      <c r="C166" s="22"/>
      <c r="D166" s="75"/>
      <c r="E166" s="75"/>
      <c r="F166" s="75"/>
      <c r="G166" s="75"/>
      <c r="H166" s="75"/>
      <c r="I166" s="22"/>
      <c r="J166" s="22"/>
      <c r="K166" s="19" t="str">
        <f aca="false">IFERROR($I166-INDEX(Cadastro!$N$7:$N$66,MATCH($B166,Cadastro!$B$7:$B$66,0)),"")</f>
        <v/>
      </c>
      <c r="L166" s="76"/>
      <c r="M166" s="76"/>
      <c r="N166" s="75"/>
      <c r="O166" s="22"/>
      <c r="P166" s="75"/>
      <c r="Q166" s="75"/>
      <c r="R166" s="20"/>
    </row>
    <row r="167" customFormat="false" ht="15" hidden="false" customHeight="false" outlineLevel="0" collapsed="false">
      <c r="A167" s="21"/>
      <c r="B167" s="20"/>
      <c r="C167" s="22"/>
      <c r="D167" s="75"/>
      <c r="E167" s="75"/>
      <c r="F167" s="75"/>
      <c r="G167" s="75"/>
      <c r="H167" s="75"/>
      <c r="I167" s="22"/>
      <c r="J167" s="22"/>
      <c r="K167" s="19" t="str">
        <f aca="false">IFERROR($I167-INDEX(Cadastro!$N$7:$N$66,MATCH($B167,Cadastro!$B$7:$B$66,0)),"")</f>
        <v/>
      </c>
      <c r="L167" s="76"/>
      <c r="M167" s="76"/>
      <c r="N167" s="75"/>
      <c r="O167" s="22"/>
      <c r="P167" s="75"/>
      <c r="Q167" s="75"/>
      <c r="R167" s="20"/>
    </row>
    <row r="168" customFormat="false" ht="15" hidden="false" customHeight="false" outlineLevel="0" collapsed="false">
      <c r="A168" s="21"/>
      <c r="B168" s="20"/>
      <c r="C168" s="22"/>
      <c r="D168" s="75"/>
      <c r="E168" s="75"/>
      <c r="F168" s="75"/>
      <c r="G168" s="75"/>
      <c r="H168" s="75"/>
      <c r="I168" s="22"/>
      <c r="J168" s="22"/>
      <c r="K168" s="19" t="str">
        <f aca="false">IFERROR($I168-INDEX(Cadastro!$N$7:$N$66,MATCH($B168,Cadastro!$B$7:$B$66,0)),"")</f>
        <v/>
      </c>
      <c r="L168" s="76"/>
      <c r="M168" s="76"/>
      <c r="N168" s="75"/>
      <c r="O168" s="22"/>
      <c r="P168" s="75"/>
      <c r="Q168" s="75"/>
      <c r="R168" s="20"/>
    </row>
    <row r="169" customFormat="false" ht="15" hidden="false" customHeight="false" outlineLevel="0" collapsed="false">
      <c r="A169" s="21"/>
      <c r="B169" s="20"/>
      <c r="C169" s="22"/>
      <c r="D169" s="75"/>
      <c r="E169" s="75"/>
      <c r="F169" s="75"/>
      <c r="G169" s="75"/>
      <c r="H169" s="75"/>
      <c r="I169" s="22"/>
      <c r="J169" s="22"/>
      <c r="K169" s="19" t="str">
        <f aca="false">IFERROR($I169-INDEX(Cadastro!$N$7:$N$66,MATCH($B169,Cadastro!$B$7:$B$66,0)),"")</f>
        <v/>
      </c>
      <c r="L169" s="76"/>
      <c r="M169" s="76"/>
      <c r="N169" s="75"/>
      <c r="O169" s="22"/>
      <c r="P169" s="75"/>
      <c r="Q169" s="75"/>
      <c r="R169" s="20"/>
    </row>
    <row r="170" customFormat="false" ht="15" hidden="false" customHeight="false" outlineLevel="0" collapsed="false">
      <c r="A170" s="21"/>
      <c r="B170" s="20"/>
      <c r="C170" s="22"/>
      <c r="D170" s="75"/>
      <c r="E170" s="75"/>
      <c r="F170" s="75"/>
      <c r="G170" s="75"/>
      <c r="H170" s="75"/>
      <c r="I170" s="22"/>
      <c r="J170" s="22"/>
      <c r="K170" s="19" t="str">
        <f aca="false">IFERROR($I170-INDEX(Cadastro!$N$7:$N$66,MATCH($B170,Cadastro!$B$7:$B$66,0)),"")</f>
        <v/>
      </c>
      <c r="L170" s="76"/>
      <c r="M170" s="76"/>
      <c r="N170" s="75"/>
      <c r="O170" s="22"/>
      <c r="P170" s="75"/>
      <c r="Q170" s="75"/>
      <c r="R170" s="20"/>
    </row>
    <row r="171" customFormat="false" ht="15" hidden="false" customHeight="false" outlineLevel="0" collapsed="false">
      <c r="A171" s="21"/>
      <c r="B171" s="20"/>
      <c r="C171" s="22"/>
      <c r="D171" s="75"/>
      <c r="E171" s="75"/>
      <c r="F171" s="75"/>
      <c r="G171" s="75"/>
      <c r="H171" s="75"/>
      <c r="I171" s="22"/>
      <c r="J171" s="22"/>
      <c r="K171" s="19" t="str">
        <f aca="false">IFERROR($I171-INDEX(Cadastro!$N$7:$N$66,MATCH($B171,Cadastro!$B$7:$B$66,0)),"")</f>
        <v/>
      </c>
      <c r="L171" s="76"/>
      <c r="M171" s="76"/>
      <c r="N171" s="75"/>
      <c r="O171" s="22"/>
      <c r="P171" s="75"/>
      <c r="Q171" s="75"/>
      <c r="R171" s="20"/>
    </row>
    <row r="172" customFormat="false" ht="15" hidden="false" customHeight="false" outlineLevel="0" collapsed="false">
      <c r="A172" s="21"/>
      <c r="B172" s="20"/>
      <c r="C172" s="22"/>
      <c r="D172" s="75"/>
      <c r="E172" s="75"/>
      <c r="F172" s="75"/>
      <c r="G172" s="75"/>
      <c r="H172" s="75"/>
      <c r="I172" s="22"/>
      <c r="J172" s="22"/>
      <c r="K172" s="19" t="str">
        <f aca="false">IFERROR($I172-INDEX(Cadastro!$N$7:$N$66,MATCH($B172,Cadastro!$B$7:$B$66,0)),"")</f>
        <v/>
      </c>
      <c r="L172" s="76"/>
      <c r="M172" s="76"/>
      <c r="N172" s="75"/>
      <c r="O172" s="22"/>
      <c r="P172" s="75"/>
      <c r="Q172" s="75"/>
      <c r="R172" s="20"/>
    </row>
    <row r="173" customFormat="false" ht="15" hidden="false" customHeight="false" outlineLevel="0" collapsed="false">
      <c r="A173" s="21"/>
      <c r="B173" s="20"/>
      <c r="C173" s="22"/>
      <c r="D173" s="75"/>
      <c r="E173" s="75"/>
      <c r="F173" s="75"/>
      <c r="G173" s="75"/>
      <c r="H173" s="75"/>
      <c r="I173" s="22"/>
      <c r="J173" s="22"/>
      <c r="K173" s="19" t="str">
        <f aca="false">IFERROR($I173-INDEX(Cadastro!$N$7:$N$66,MATCH($B173,Cadastro!$B$7:$B$66,0)),"")</f>
        <v/>
      </c>
      <c r="L173" s="76"/>
      <c r="M173" s="76"/>
      <c r="N173" s="75"/>
      <c r="O173" s="22"/>
      <c r="P173" s="75"/>
      <c r="Q173" s="75"/>
      <c r="R173" s="20"/>
    </row>
    <row r="174" customFormat="false" ht="15" hidden="false" customHeight="false" outlineLevel="0" collapsed="false">
      <c r="A174" s="21"/>
      <c r="B174" s="20"/>
      <c r="C174" s="22"/>
      <c r="D174" s="75"/>
      <c r="E174" s="75"/>
      <c r="F174" s="75"/>
      <c r="G174" s="75"/>
      <c r="H174" s="75"/>
      <c r="I174" s="22"/>
      <c r="J174" s="22"/>
      <c r="K174" s="19" t="str">
        <f aca="false">IFERROR($I174-INDEX(Cadastro!$N$7:$N$66,MATCH($B174,Cadastro!$B$7:$B$66,0)),"")</f>
        <v/>
      </c>
      <c r="L174" s="76"/>
      <c r="M174" s="76"/>
      <c r="N174" s="75"/>
      <c r="O174" s="22"/>
      <c r="P174" s="75"/>
      <c r="Q174" s="75"/>
      <c r="R174" s="20"/>
    </row>
    <row r="175" customFormat="false" ht="15" hidden="false" customHeight="false" outlineLevel="0" collapsed="false">
      <c r="A175" s="21"/>
      <c r="B175" s="20"/>
      <c r="C175" s="22"/>
      <c r="D175" s="75"/>
      <c r="E175" s="75"/>
      <c r="F175" s="75"/>
      <c r="G175" s="75"/>
      <c r="H175" s="75"/>
      <c r="I175" s="22"/>
      <c r="J175" s="22"/>
      <c r="K175" s="19" t="str">
        <f aca="false">IFERROR($I175-INDEX(Cadastro!$N$7:$N$66,MATCH($B175,Cadastro!$B$7:$B$66,0)),"")</f>
        <v/>
      </c>
      <c r="L175" s="76"/>
      <c r="M175" s="76"/>
      <c r="N175" s="75"/>
      <c r="O175" s="22"/>
      <c r="P175" s="75"/>
      <c r="Q175" s="75"/>
      <c r="R175" s="20"/>
    </row>
    <row r="176" customFormat="false" ht="15" hidden="false" customHeight="false" outlineLevel="0" collapsed="false">
      <c r="A176" s="21"/>
      <c r="B176" s="20"/>
      <c r="C176" s="22"/>
      <c r="D176" s="75"/>
      <c r="E176" s="75"/>
      <c r="F176" s="75"/>
      <c r="G176" s="75"/>
      <c r="H176" s="75"/>
      <c r="I176" s="22"/>
      <c r="J176" s="22"/>
      <c r="K176" s="19" t="str">
        <f aca="false">IFERROR($I176-INDEX(Cadastro!$N$7:$N$66,MATCH($B176,Cadastro!$B$7:$B$66,0)),"")</f>
        <v/>
      </c>
      <c r="L176" s="76"/>
      <c r="M176" s="76"/>
      <c r="N176" s="75"/>
      <c r="O176" s="22"/>
      <c r="P176" s="75"/>
      <c r="Q176" s="75"/>
      <c r="R176" s="20"/>
    </row>
    <row r="177" customFormat="false" ht="15" hidden="false" customHeight="false" outlineLevel="0" collapsed="false">
      <c r="A177" s="21"/>
      <c r="B177" s="20"/>
      <c r="C177" s="22"/>
      <c r="D177" s="75"/>
      <c r="E177" s="75"/>
      <c r="F177" s="75"/>
      <c r="G177" s="75"/>
      <c r="H177" s="75"/>
      <c r="I177" s="22"/>
      <c r="J177" s="22"/>
      <c r="K177" s="19" t="str">
        <f aca="false">IFERROR($I177-INDEX(Cadastro!$N$7:$N$66,MATCH($B177,Cadastro!$B$7:$B$66,0)),"")</f>
        <v/>
      </c>
      <c r="L177" s="76"/>
      <c r="M177" s="76"/>
      <c r="N177" s="75"/>
      <c r="O177" s="22"/>
      <c r="P177" s="75"/>
      <c r="Q177" s="75"/>
      <c r="R177" s="20"/>
    </row>
    <row r="178" customFormat="false" ht="15" hidden="false" customHeight="false" outlineLevel="0" collapsed="false">
      <c r="A178" s="21"/>
      <c r="B178" s="20"/>
      <c r="C178" s="22"/>
      <c r="D178" s="75"/>
      <c r="E178" s="75"/>
      <c r="F178" s="75"/>
      <c r="G178" s="75"/>
      <c r="H178" s="75"/>
      <c r="I178" s="22"/>
      <c r="J178" s="22"/>
      <c r="K178" s="19" t="str">
        <f aca="false">IFERROR($I178-INDEX(Cadastro!$N$7:$N$66,MATCH($B178,Cadastro!$B$7:$B$66,0)),"")</f>
        <v/>
      </c>
      <c r="L178" s="76"/>
      <c r="M178" s="76"/>
      <c r="N178" s="75"/>
      <c r="O178" s="22"/>
      <c r="P178" s="75"/>
      <c r="Q178" s="75"/>
      <c r="R178" s="20"/>
    </row>
    <row r="179" customFormat="false" ht="15" hidden="false" customHeight="false" outlineLevel="0" collapsed="false">
      <c r="A179" s="21"/>
      <c r="B179" s="20"/>
      <c r="C179" s="22"/>
      <c r="D179" s="75"/>
      <c r="E179" s="75"/>
      <c r="F179" s="75"/>
      <c r="G179" s="75"/>
      <c r="H179" s="75"/>
      <c r="I179" s="22"/>
      <c r="J179" s="22"/>
      <c r="K179" s="19" t="str">
        <f aca="false">IFERROR($I179-INDEX(Cadastro!$N$7:$N$66,MATCH($B179,Cadastro!$B$7:$B$66,0)),"")</f>
        <v/>
      </c>
      <c r="L179" s="76"/>
      <c r="M179" s="76"/>
      <c r="N179" s="75"/>
      <c r="O179" s="22"/>
      <c r="P179" s="75"/>
      <c r="Q179" s="75"/>
      <c r="R179" s="20"/>
    </row>
    <row r="180" customFormat="false" ht="15" hidden="false" customHeight="false" outlineLevel="0" collapsed="false">
      <c r="A180" s="21"/>
      <c r="B180" s="20"/>
      <c r="C180" s="22"/>
      <c r="D180" s="75"/>
      <c r="E180" s="75"/>
      <c r="F180" s="75"/>
      <c r="G180" s="75"/>
      <c r="H180" s="75"/>
      <c r="I180" s="22"/>
      <c r="J180" s="22"/>
      <c r="K180" s="19" t="str">
        <f aca="false">IFERROR($I180-INDEX(Cadastro!$N$7:$N$66,MATCH($B180,Cadastro!$B$7:$B$66,0)),"")</f>
        <v/>
      </c>
      <c r="L180" s="76"/>
      <c r="M180" s="76"/>
      <c r="N180" s="75"/>
      <c r="O180" s="22"/>
      <c r="P180" s="75"/>
      <c r="Q180" s="75"/>
      <c r="R180" s="20"/>
    </row>
    <row r="181" customFormat="false" ht="15" hidden="false" customHeight="false" outlineLevel="0" collapsed="false">
      <c r="A181" s="21"/>
      <c r="B181" s="20"/>
      <c r="C181" s="22"/>
      <c r="D181" s="75"/>
      <c r="E181" s="75"/>
      <c r="F181" s="75"/>
      <c r="G181" s="75"/>
      <c r="H181" s="75"/>
      <c r="I181" s="22"/>
      <c r="J181" s="22"/>
      <c r="K181" s="19" t="str">
        <f aca="false">IFERROR($I181-INDEX(Cadastro!$N$7:$N$66,MATCH($B181,Cadastro!$B$7:$B$66,0)),"")</f>
        <v/>
      </c>
      <c r="L181" s="76"/>
      <c r="M181" s="76"/>
      <c r="N181" s="75"/>
      <c r="O181" s="22"/>
      <c r="P181" s="75"/>
      <c r="Q181" s="75"/>
      <c r="R181" s="20"/>
    </row>
    <row r="182" customFormat="false" ht="15" hidden="false" customHeight="false" outlineLevel="0" collapsed="false">
      <c r="A182" s="21"/>
      <c r="B182" s="20"/>
      <c r="C182" s="22"/>
      <c r="D182" s="75"/>
      <c r="E182" s="75"/>
      <c r="F182" s="75"/>
      <c r="G182" s="75"/>
      <c r="H182" s="75"/>
      <c r="I182" s="22"/>
      <c r="J182" s="22"/>
      <c r="K182" s="19" t="str">
        <f aca="false">IFERROR($I182-INDEX(Cadastro!$N$7:$N$66,MATCH($B182,Cadastro!$B$7:$B$66,0)),"")</f>
        <v/>
      </c>
      <c r="L182" s="76"/>
      <c r="M182" s="76"/>
      <c r="N182" s="75"/>
      <c r="O182" s="22"/>
      <c r="P182" s="75"/>
      <c r="Q182" s="75"/>
      <c r="R182" s="20"/>
    </row>
    <row r="183" customFormat="false" ht="15" hidden="false" customHeight="false" outlineLevel="0" collapsed="false">
      <c r="A183" s="21"/>
      <c r="B183" s="20"/>
      <c r="C183" s="22"/>
      <c r="D183" s="75"/>
      <c r="E183" s="75"/>
      <c r="F183" s="75"/>
      <c r="G183" s="75"/>
      <c r="H183" s="75"/>
      <c r="I183" s="22"/>
      <c r="J183" s="22"/>
      <c r="K183" s="19" t="str">
        <f aca="false">IFERROR($I183-INDEX(Cadastro!$N$7:$N$66,MATCH($B183,Cadastro!$B$7:$B$66,0)),"")</f>
        <v/>
      </c>
      <c r="L183" s="76"/>
      <c r="M183" s="76"/>
      <c r="N183" s="75"/>
      <c r="O183" s="22"/>
      <c r="P183" s="75"/>
      <c r="Q183" s="75"/>
      <c r="R183" s="20"/>
    </row>
    <row r="184" customFormat="false" ht="15" hidden="false" customHeight="false" outlineLevel="0" collapsed="false">
      <c r="A184" s="21"/>
      <c r="B184" s="20"/>
      <c r="C184" s="22"/>
      <c r="D184" s="75"/>
      <c r="E184" s="75"/>
      <c r="F184" s="75"/>
      <c r="G184" s="75"/>
      <c r="H184" s="75"/>
      <c r="I184" s="22"/>
      <c r="J184" s="22"/>
      <c r="K184" s="19" t="str">
        <f aca="false">IFERROR($I184-INDEX(Cadastro!$N$7:$N$66,MATCH($B184,Cadastro!$B$7:$B$66,0)),"")</f>
        <v/>
      </c>
      <c r="L184" s="76"/>
      <c r="M184" s="76"/>
      <c r="N184" s="75"/>
      <c r="O184" s="22"/>
      <c r="P184" s="75"/>
      <c r="Q184" s="75"/>
      <c r="R184" s="20"/>
    </row>
    <row r="185" customFormat="false" ht="15" hidden="false" customHeight="false" outlineLevel="0" collapsed="false">
      <c r="A185" s="21"/>
      <c r="B185" s="20"/>
      <c r="C185" s="22"/>
      <c r="D185" s="75"/>
      <c r="E185" s="75"/>
      <c r="F185" s="75"/>
      <c r="G185" s="75"/>
      <c r="H185" s="75"/>
      <c r="I185" s="22"/>
      <c r="J185" s="22"/>
      <c r="K185" s="19" t="str">
        <f aca="false">IFERROR($I185-INDEX(Cadastro!$N$7:$N$66,MATCH($B185,Cadastro!$B$7:$B$66,0)),"")</f>
        <v/>
      </c>
      <c r="L185" s="76"/>
      <c r="M185" s="76"/>
      <c r="N185" s="75"/>
      <c r="O185" s="22"/>
      <c r="P185" s="75"/>
      <c r="Q185" s="75"/>
      <c r="R185" s="20"/>
    </row>
    <row r="186" customFormat="false" ht="15" hidden="false" customHeight="false" outlineLevel="0" collapsed="false">
      <c r="A186" s="21"/>
      <c r="B186" s="20"/>
      <c r="C186" s="22"/>
      <c r="D186" s="75"/>
      <c r="E186" s="75"/>
      <c r="F186" s="75"/>
      <c r="G186" s="75"/>
      <c r="H186" s="75"/>
      <c r="I186" s="22"/>
      <c r="J186" s="22"/>
      <c r="K186" s="19" t="str">
        <f aca="false">IFERROR($I186-INDEX(Cadastro!$N$7:$N$66,MATCH($B186,Cadastro!$B$7:$B$66,0)),"")</f>
        <v/>
      </c>
      <c r="L186" s="76"/>
      <c r="M186" s="76"/>
      <c r="N186" s="75"/>
      <c r="O186" s="22"/>
      <c r="P186" s="75"/>
      <c r="Q186" s="75"/>
      <c r="R186" s="20"/>
    </row>
    <row r="187" customFormat="false" ht="15" hidden="false" customHeight="false" outlineLevel="0" collapsed="false">
      <c r="A187" s="21"/>
      <c r="B187" s="20"/>
      <c r="C187" s="22"/>
      <c r="D187" s="75"/>
      <c r="E187" s="75"/>
      <c r="F187" s="75"/>
      <c r="G187" s="75"/>
      <c r="H187" s="75"/>
      <c r="I187" s="22"/>
      <c r="J187" s="22"/>
      <c r="K187" s="19" t="str">
        <f aca="false">IFERROR($I187-INDEX(Cadastro!$N$7:$N$66,MATCH($B187,Cadastro!$B$7:$B$66,0)),"")</f>
        <v/>
      </c>
      <c r="L187" s="76"/>
      <c r="M187" s="76"/>
      <c r="N187" s="75"/>
      <c r="O187" s="22"/>
      <c r="P187" s="75"/>
      <c r="Q187" s="75"/>
      <c r="R187" s="20"/>
    </row>
    <row r="188" customFormat="false" ht="15" hidden="false" customHeight="false" outlineLevel="0" collapsed="false">
      <c r="A188" s="21"/>
      <c r="B188" s="20"/>
      <c r="C188" s="22"/>
      <c r="D188" s="75"/>
      <c r="E188" s="75"/>
      <c r="F188" s="75"/>
      <c r="G188" s="75"/>
      <c r="H188" s="75"/>
      <c r="I188" s="22"/>
      <c r="J188" s="22"/>
      <c r="K188" s="19" t="str">
        <f aca="false">IFERROR($I188-INDEX(Cadastro!$N$7:$N$66,MATCH($B188,Cadastro!$B$7:$B$66,0)),"")</f>
        <v/>
      </c>
      <c r="L188" s="76"/>
      <c r="M188" s="76"/>
      <c r="N188" s="75"/>
      <c r="O188" s="22"/>
      <c r="P188" s="75"/>
      <c r="Q188" s="75"/>
      <c r="R188" s="20"/>
    </row>
    <row r="189" customFormat="false" ht="15" hidden="false" customHeight="false" outlineLevel="0" collapsed="false">
      <c r="A189" s="21"/>
      <c r="B189" s="20"/>
      <c r="C189" s="22"/>
      <c r="D189" s="75"/>
      <c r="E189" s="75"/>
      <c r="F189" s="75"/>
      <c r="G189" s="75"/>
      <c r="H189" s="75"/>
      <c r="I189" s="22"/>
      <c r="J189" s="22"/>
      <c r="K189" s="19" t="str">
        <f aca="false">IFERROR($I189-INDEX(Cadastro!$N$7:$N$66,MATCH($B189,Cadastro!$B$7:$B$66,0)),"")</f>
        <v/>
      </c>
      <c r="L189" s="76"/>
      <c r="M189" s="76"/>
      <c r="N189" s="75"/>
      <c r="O189" s="22"/>
      <c r="P189" s="75"/>
      <c r="Q189" s="75"/>
      <c r="R189" s="20"/>
    </row>
    <row r="190" customFormat="false" ht="15" hidden="false" customHeight="false" outlineLevel="0" collapsed="false">
      <c r="A190" s="21"/>
      <c r="B190" s="20"/>
      <c r="C190" s="22"/>
      <c r="D190" s="75"/>
      <c r="E190" s="75"/>
      <c r="F190" s="75"/>
      <c r="G190" s="75"/>
      <c r="H190" s="75"/>
      <c r="I190" s="22"/>
      <c r="J190" s="22"/>
      <c r="K190" s="19" t="str">
        <f aca="false">IFERROR($I190-INDEX(Cadastro!$N$7:$N$66,MATCH($B190,Cadastro!$B$7:$B$66,0)),"")</f>
        <v/>
      </c>
      <c r="L190" s="76"/>
      <c r="M190" s="76"/>
      <c r="N190" s="75"/>
      <c r="O190" s="22"/>
      <c r="P190" s="75"/>
      <c r="Q190" s="75"/>
      <c r="R190" s="20"/>
    </row>
    <row r="191" customFormat="false" ht="15" hidden="false" customHeight="false" outlineLevel="0" collapsed="false">
      <c r="A191" s="21"/>
      <c r="B191" s="20"/>
      <c r="C191" s="22"/>
      <c r="D191" s="75"/>
      <c r="E191" s="75"/>
      <c r="F191" s="75"/>
      <c r="G191" s="75"/>
      <c r="H191" s="75"/>
      <c r="I191" s="22"/>
      <c r="J191" s="22"/>
      <c r="K191" s="19" t="str">
        <f aca="false">IFERROR($I191-INDEX(Cadastro!$N$7:$N$66,MATCH($B191,Cadastro!$B$7:$B$66,0)),"")</f>
        <v/>
      </c>
      <c r="L191" s="76"/>
      <c r="M191" s="76"/>
      <c r="N191" s="75"/>
      <c r="O191" s="22"/>
      <c r="P191" s="75"/>
      <c r="Q191" s="75"/>
      <c r="R191" s="20"/>
    </row>
    <row r="192" customFormat="false" ht="15" hidden="false" customHeight="false" outlineLevel="0" collapsed="false">
      <c r="A192" s="21"/>
      <c r="B192" s="20"/>
      <c r="C192" s="22"/>
      <c r="D192" s="75"/>
      <c r="E192" s="75"/>
      <c r="F192" s="75"/>
      <c r="G192" s="75"/>
      <c r="H192" s="75"/>
      <c r="I192" s="22"/>
      <c r="J192" s="22"/>
      <c r="K192" s="19" t="str">
        <f aca="false">IFERROR($I192-INDEX(Cadastro!$N$7:$N$66,MATCH($B192,Cadastro!$B$7:$B$66,0)),"")</f>
        <v/>
      </c>
      <c r="L192" s="76"/>
      <c r="M192" s="76"/>
      <c r="N192" s="75"/>
      <c r="O192" s="22"/>
      <c r="P192" s="75"/>
      <c r="Q192" s="75"/>
      <c r="R192" s="20"/>
    </row>
    <row r="193" customFormat="false" ht="15" hidden="false" customHeight="false" outlineLevel="0" collapsed="false">
      <c r="A193" s="21"/>
      <c r="B193" s="20"/>
      <c r="C193" s="22"/>
      <c r="D193" s="75"/>
      <c r="E193" s="75"/>
      <c r="F193" s="75"/>
      <c r="G193" s="75"/>
      <c r="H193" s="75"/>
      <c r="I193" s="22"/>
      <c r="J193" s="22"/>
      <c r="K193" s="19" t="str">
        <f aca="false">IFERROR($I193-INDEX(Cadastro!$N$7:$N$66,MATCH($B193,Cadastro!$B$7:$B$66,0)),"")</f>
        <v/>
      </c>
      <c r="L193" s="76"/>
      <c r="M193" s="76"/>
      <c r="N193" s="75"/>
      <c r="O193" s="22"/>
      <c r="P193" s="75"/>
      <c r="Q193" s="75"/>
      <c r="R193" s="20"/>
    </row>
    <row r="194" customFormat="false" ht="15" hidden="false" customHeight="false" outlineLevel="0" collapsed="false">
      <c r="A194" s="21"/>
      <c r="B194" s="20"/>
      <c r="C194" s="22"/>
      <c r="D194" s="75"/>
      <c r="E194" s="75"/>
      <c r="F194" s="75"/>
      <c r="G194" s="75"/>
      <c r="H194" s="75"/>
      <c r="I194" s="22"/>
      <c r="J194" s="22"/>
      <c r="K194" s="19" t="str">
        <f aca="false">IFERROR($I194-INDEX(Cadastro!$N$7:$N$66,MATCH($B194,Cadastro!$B$7:$B$66,0)),"")</f>
        <v/>
      </c>
      <c r="L194" s="76"/>
      <c r="M194" s="76"/>
      <c r="N194" s="75"/>
      <c r="O194" s="22"/>
      <c r="P194" s="75"/>
      <c r="Q194" s="75"/>
      <c r="R194" s="20"/>
    </row>
    <row r="195" customFormat="false" ht="15" hidden="false" customHeight="false" outlineLevel="0" collapsed="false">
      <c r="A195" s="21"/>
      <c r="B195" s="20"/>
      <c r="C195" s="22"/>
      <c r="D195" s="75"/>
      <c r="E195" s="75"/>
      <c r="F195" s="75"/>
      <c r="G195" s="75"/>
      <c r="H195" s="75"/>
      <c r="I195" s="22"/>
      <c r="J195" s="22"/>
      <c r="K195" s="19" t="str">
        <f aca="false">IFERROR($I195-INDEX(Cadastro!$N$7:$N$66,MATCH($B195,Cadastro!$B$7:$B$66,0)),"")</f>
        <v/>
      </c>
      <c r="L195" s="76"/>
      <c r="M195" s="76"/>
      <c r="N195" s="75"/>
      <c r="O195" s="22"/>
      <c r="P195" s="75"/>
      <c r="Q195" s="75"/>
      <c r="R195" s="20"/>
    </row>
    <row r="196" customFormat="false" ht="15" hidden="false" customHeight="false" outlineLevel="0" collapsed="false">
      <c r="A196" s="21"/>
      <c r="B196" s="20"/>
      <c r="C196" s="22"/>
      <c r="D196" s="75"/>
      <c r="E196" s="75"/>
      <c r="F196" s="75"/>
      <c r="G196" s="75"/>
      <c r="H196" s="75"/>
      <c r="I196" s="22"/>
      <c r="J196" s="22"/>
      <c r="K196" s="19" t="str">
        <f aca="false">IFERROR($I196-INDEX(Cadastro!$N$7:$N$66,MATCH($B196,Cadastro!$B$7:$B$66,0)),"")</f>
        <v/>
      </c>
      <c r="L196" s="76"/>
      <c r="M196" s="76"/>
      <c r="N196" s="75"/>
      <c r="O196" s="22"/>
      <c r="P196" s="75"/>
      <c r="Q196" s="75"/>
      <c r="R196" s="20"/>
    </row>
    <row r="197" customFormat="false" ht="15" hidden="false" customHeight="false" outlineLevel="0" collapsed="false">
      <c r="A197" s="21"/>
      <c r="B197" s="20"/>
      <c r="C197" s="22"/>
      <c r="D197" s="75"/>
      <c r="E197" s="75"/>
      <c r="F197" s="75"/>
      <c r="G197" s="75"/>
      <c r="H197" s="75"/>
      <c r="I197" s="22"/>
      <c r="J197" s="22"/>
      <c r="K197" s="19" t="str">
        <f aca="false">IFERROR($I197-INDEX(Cadastro!$N$7:$N$66,MATCH($B197,Cadastro!$B$7:$B$66,0)),"")</f>
        <v/>
      </c>
      <c r="L197" s="76"/>
      <c r="M197" s="76"/>
      <c r="N197" s="75"/>
      <c r="O197" s="22"/>
      <c r="P197" s="75"/>
      <c r="Q197" s="75"/>
      <c r="R197" s="20"/>
    </row>
    <row r="198" customFormat="false" ht="15" hidden="false" customHeight="false" outlineLevel="0" collapsed="false">
      <c r="A198" s="21"/>
      <c r="B198" s="20"/>
      <c r="C198" s="22"/>
      <c r="D198" s="75"/>
      <c r="E198" s="75"/>
      <c r="F198" s="75"/>
      <c r="G198" s="75"/>
      <c r="H198" s="75"/>
      <c r="I198" s="22"/>
      <c r="J198" s="22"/>
      <c r="K198" s="19" t="str">
        <f aca="false">IFERROR($I198-INDEX(Cadastro!$N$7:$N$66,MATCH($B198,Cadastro!$B$7:$B$66,0)),"")</f>
        <v/>
      </c>
      <c r="L198" s="76"/>
      <c r="M198" s="76"/>
      <c r="N198" s="75"/>
      <c r="O198" s="22"/>
      <c r="P198" s="75"/>
      <c r="Q198" s="75"/>
      <c r="R198" s="20"/>
    </row>
    <row r="199" customFormat="false" ht="15" hidden="false" customHeight="false" outlineLevel="0" collapsed="false">
      <c r="A199" s="21"/>
      <c r="B199" s="20"/>
      <c r="C199" s="22"/>
      <c r="D199" s="75"/>
      <c r="E199" s="75"/>
      <c r="F199" s="75"/>
      <c r="G199" s="75"/>
      <c r="H199" s="75"/>
      <c r="I199" s="22"/>
      <c r="J199" s="22"/>
      <c r="K199" s="19" t="str">
        <f aca="false">IFERROR($I199-INDEX(Cadastro!$N$7:$N$66,MATCH($B199,Cadastro!$B$7:$B$66,0)),"")</f>
        <v/>
      </c>
      <c r="L199" s="76"/>
      <c r="M199" s="76"/>
      <c r="N199" s="75"/>
      <c r="O199" s="22"/>
      <c r="P199" s="75"/>
      <c r="Q199" s="75"/>
      <c r="R199" s="20"/>
    </row>
    <row r="200" customFormat="false" ht="15" hidden="false" customHeight="false" outlineLevel="0" collapsed="false">
      <c r="A200" s="21"/>
      <c r="B200" s="20"/>
      <c r="C200" s="22"/>
      <c r="D200" s="75"/>
      <c r="E200" s="75"/>
      <c r="F200" s="75"/>
      <c r="G200" s="75"/>
      <c r="H200" s="75"/>
      <c r="I200" s="22"/>
      <c r="J200" s="22"/>
      <c r="K200" s="19" t="str">
        <f aca="false">IFERROR($I200-INDEX(Cadastro!$N$7:$N$66,MATCH($B200,Cadastro!$B$7:$B$66,0)),"")</f>
        <v/>
      </c>
      <c r="L200" s="76"/>
      <c r="M200" s="76"/>
      <c r="N200" s="75"/>
      <c r="O200" s="22"/>
      <c r="P200" s="75"/>
      <c r="Q200" s="75"/>
      <c r="R200" s="20"/>
    </row>
    <row r="201" customFormat="false" ht="15" hidden="false" customHeight="false" outlineLevel="0" collapsed="false">
      <c r="A201" s="21"/>
      <c r="B201" s="20"/>
      <c r="C201" s="22"/>
      <c r="D201" s="75"/>
      <c r="E201" s="75"/>
      <c r="F201" s="75"/>
      <c r="G201" s="75"/>
      <c r="H201" s="75"/>
      <c r="I201" s="22"/>
      <c r="J201" s="22"/>
      <c r="K201" s="19" t="str">
        <f aca="false">IFERROR($I201-INDEX(Cadastro!$N$7:$N$66,MATCH($B201,Cadastro!$B$7:$B$66,0)),"")</f>
        <v/>
      </c>
      <c r="L201" s="76"/>
      <c r="M201" s="76"/>
      <c r="N201" s="75"/>
      <c r="O201" s="22"/>
      <c r="P201" s="75"/>
      <c r="Q201" s="75"/>
      <c r="R201" s="20"/>
    </row>
    <row r="202" customFormat="false" ht="15" hidden="false" customHeight="false" outlineLevel="0" collapsed="false">
      <c r="A202" s="21"/>
      <c r="B202" s="20"/>
      <c r="C202" s="22"/>
      <c r="D202" s="75"/>
      <c r="E202" s="75"/>
      <c r="F202" s="75"/>
      <c r="G202" s="75"/>
      <c r="H202" s="75"/>
      <c r="I202" s="22"/>
      <c r="J202" s="22"/>
      <c r="K202" s="19" t="str">
        <f aca="false">IFERROR($I202-INDEX(Cadastro!$N$7:$N$66,MATCH($B202,Cadastro!$B$7:$B$66,0)),"")</f>
        <v/>
      </c>
      <c r="L202" s="76"/>
      <c r="M202" s="76"/>
      <c r="N202" s="75"/>
      <c r="O202" s="22"/>
      <c r="P202" s="75"/>
      <c r="Q202" s="75"/>
      <c r="R202" s="20"/>
    </row>
    <row r="203" customFormat="false" ht="15" hidden="false" customHeight="false" outlineLevel="0" collapsed="false">
      <c r="A203" s="21"/>
      <c r="B203" s="20"/>
      <c r="C203" s="22"/>
      <c r="D203" s="75"/>
      <c r="E203" s="75"/>
      <c r="F203" s="75"/>
      <c r="G203" s="75"/>
      <c r="H203" s="75"/>
      <c r="I203" s="22"/>
      <c r="J203" s="22"/>
      <c r="K203" s="19" t="str">
        <f aca="false">IFERROR($I203-INDEX(Cadastro!$N$7:$N$66,MATCH($B203,Cadastro!$B$7:$B$66,0)),"")</f>
        <v/>
      </c>
      <c r="L203" s="76"/>
      <c r="M203" s="76"/>
      <c r="N203" s="75"/>
      <c r="O203" s="22"/>
      <c r="P203" s="75"/>
      <c r="Q203" s="75"/>
      <c r="R203" s="20"/>
    </row>
    <row r="204" customFormat="false" ht="15" hidden="false" customHeight="false" outlineLevel="0" collapsed="false">
      <c r="A204" s="21"/>
      <c r="B204" s="20"/>
      <c r="C204" s="22"/>
      <c r="D204" s="75"/>
      <c r="E204" s="75"/>
      <c r="F204" s="75"/>
      <c r="G204" s="75"/>
      <c r="H204" s="75"/>
      <c r="I204" s="22"/>
      <c r="J204" s="22"/>
      <c r="K204" s="19" t="str">
        <f aca="false">IFERROR($I204-INDEX(Cadastro!$N$7:$N$66,MATCH($B204,Cadastro!$B$7:$B$66,0)),"")</f>
        <v/>
      </c>
      <c r="L204" s="76"/>
      <c r="M204" s="76"/>
      <c r="N204" s="75"/>
      <c r="O204" s="22"/>
      <c r="P204" s="75"/>
      <c r="Q204" s="75"/>
      <c r="R204" s="20"/>
    </row>
    <row r="205" customFormat="false" ht="15" hidden="false" customHeight="false" outlineLevel="0" collapsed="false">
      <c r="A205" s="21"/>
      <c r="B205" s="20"/>
      <c r="C205" s="22"/>
      <c r="D205" s="75"/>
      <c r="E205" s="75"/>
      <c r="F205" s="75"/>
      <c r="G205" s="75"/>
      <c r="H205" s="75"/>
      <c r="I205" s="22"/>
      <c r="J205" s="22"/>
      <c r="K205" s="19" t="str">
        <f aca="false">IFERROR($I205-INDEX(Cadastro!$N$7:$N$66,MATCH($B205,Cadastro!$B$7:$B$66,0)),"")</f>
        <v/>
      </c>
      <c r="L205" s="76"/>
      <c r="M205" s="76"/>
      <c r="N205" s="75"/>
      <c r="O205" s="22"/>
      <c r="P205" s="75"/>
      <c r="Q205" s="75"/>
      <c r="R205" s="20"/>
    </row>
    <row r="206" customFormat="false" ht="15" hidden="false" customHeight="false" outlineLevel="0" collapsed="false">
      <c r="A206" s="21"/>
      <c r="B206" s="20"/>
      <c r="C206" s="22"/>
      <c r="D206" s="75"/>
      <c r="E206" s="75"/>
      <c r="F206" s="75"/>
      <c r="G206" s="75"/>
      <c r="H206" s="75"/>
      <c r="I206" s="22"/>
      <c r="J206" s="22"/>
      <c r="K206" s="19" t="str">
        <f aca="false">IFERROR($I206-INDEX(Cadastro!$N$7:$N$66,MATCH($B206,Cadastro!$B$7:$B$66,0)),"")</f>
        <v/>
      </c>
      <c r="L206" s="76"/>
      <c r="M206" s="76"/>
      <c r="N206" s="75"/>
      <c r="O206" s="22"/>
      <c r="P206" s="75"/>
      <c r="Q206" s="75"/>
      <c r="R206" s="20"/>
    </row>
    <row r="207" customFormat="false" ht="15" hidden="false" customHeight="false" outlineLevel="0" collapsed="false">
      <c r="A207" s="21"/>
      <c r="B207" s="20"/>
      <c r="C207" s="22"/>
      <c r="D207" s="75"/>
      <c r="E207" s="75"/>
      <c r="F207" s="75"/>
      <c r="G207" s="75"/>
      <c r="H207" s="75"/>
      <c r="I207" s="22"/>
      <c r="J207" s="22"/>
      <c r="K207" s="19" t="str">
        <f aca="false">IFERROR($I207-INDEX(Cadastro!$N$7:$N$66,MATCH($B207,Cadastro!$B$7:$B$66,0)),"")</f>
        <v/>
      </c>
      <c r="L207" s="76"/>
      <c r="M207" s="76"/>
      <c r="N207" s="75"/>
      <c r="O207" s="22"/>
      <c r="P207" s="75"/>
      <c r="Q207" s="75"/>
      <c r="R207" s="20"/>
    </row>
    <row r="208" customFormat="false" ht="15" hidden="false" customHeight="false" outlineLevel="0" collapsed="false">
      <c r="A208" s="21"/>
      <c r="B208" s="20"/>
      <c r="C208" s="22"/>
      <c r="D208" s="75"/>
      <c r="E208" s="75"/>
      <c r="F208" s="75"/>
      <c r="G208" s="75"/>
      <c r="H208" s="75"/>
      <c r="I208" s="22"/>
      <c r="J208" s="22"/>
      <c r="K208" s="19" t="str">
        <f aca="false">IFERROR($I208-INDEX(Cadastro!$N$7:$N$66,MATCH($B208,Cadastro!$B$7:$B$66,0)),"")</f>
        <v/>
      </c>
      <c r="L208" s="76"/>
      <c r="M208" s="76"/>
      <c r="N208" s="75"/>
      <c r="O208" s="22"/>
      <c r="P208" s="75"/>
      <c r="Q208" s="75"/>
      <c r="R208" s="20"/>
    </row>
    <row r="209" customFormat="false" ht="15" hidden="false" customHeight="false" outlineLevel="0" collapsed="false">
      <c r="A209" s="21"/>
      <c r="B209" s="20"/>
      <c r="C209" s="22"/>
      <c r="D209" s="75"/>
      <c r="E209" s="75"/>
      <c r="F209" s="75"/>
      <c r="G209" s="75"/>
      <c r="H209" s="75"/>
      <c r="I209" s="22"/>
      <c r="J209" s="22"/>
      <c r="K209" s="19" t="str">
        <f aca="false">IFERROR($I209-INDEX(Cadastro!$N$7:$N$66,MATCH($B209,Cadastro!$B$7:$B$66,0)),"")</f>
        <v/>
      </c>
      <c r="L209" s="76"/>
      <c r="M209" s="76"/>
      <c r="N209" s="75"/>
      <c r="O209" s="22"/>
      <c r="P209" s="75"/>
      <c r="Q209" s="75"/>
      <c r="R209" s="20"/>
    </row>
    <row r="210" customFormat="false" ht="15" hidden="false" customHeight="false" outlineLevel="0" collapsed="false">
      <c r="A210" s="21"/>
      <c r="B210" s="20"/>
      <c r="C210" s="22"/>
      <c r="D210" s="75"/>
      <c r="E210" s="75"/>
      <c r="F210" s="75"/>
      <c r="G210" s="75"/>
      <c r="H210" s="75"/>
      <c r="I210" s="22"/>
      <c r="J210" s="22"/>
      <c r="K210" s="19" t="str">
        <f aca="false">IFERROR($I210-INDEX(Cadastro!$N$7:$N$66,MATCH($B210,Cadastro!$B$7:$B$66,0)),"")</f>
        <v/>
      </c>
      <c r="L210" s="76"/>
      <c r="M210" s="76"/>
      <c r="N210" s="75"/>
      <c r="O210" s="22"/>
      <c r="P210" s="75"/>
      <c r="Q210" s="75"/>
      <c r="R210" s="20"/>
    </row>
    <row r="211" customFormat="false" ht="15" hidden="false" customHeight="false" outlineLevel="0" collapsed="false">
      <c r="A211" s="21"/>
      <c r="B211" s="20"/>
      <c r="C211" s="22"/>
      <c r="D211" s="75"/>
      <c r="E211" s="75"/>
      <c r="F211" s="75"/>
      <c r="G211" s="75"/>
      <c r="H211" s="75"/>
      <c r="I211" s="22"/>
      <c r="J211" s="22"/>
      <c r="K211" s="19" t="str">
        <f aca="false">IFERROR($I211-INDEX(Cadastro!$N$7:$N$66,MATCH($B211,Cadastro!$B$7:$B$66,0)),"")</f>
        <v/>
      </c>
      <c r="L211" s="76"/>
      <c r="M211" s="76"/>
      <c r="N211" s="75"/>
      <c r="O211" s="22"/>
      <c r="P211" s="75"/>
      <c r="Q211" s="75"/>
      <c r="R211" s="20"/>
    </row>
    <row r="212" customFormat="false" ht="15" hidden="false" customHeight="false" outlineLevel="0" collapsed="false">
      <c r="A212" s="21"/>
      <c r="B212" s="20"/>
      <c r="C212" s="22"/>
      <c r="D212" s="75"/>
      <c r="E212" s="75"/>
      <c r="F212" s="75"/>
      <c r="G212" s="75"/>
      <c r="H212" s="75"/>
      <c r="I212" s="22"/>
      <c r="J212" s="22"/>
      <c r="K212" s="19" t="str">
        <f aca="false">IFERROR($I212-INDEX(Cadastro!$N$7:$N$66,MATCH($B212,Cadastro!$B$7:$B$66,0)),"")</f>
        <v/>
      </c>
      <c r="L212" s="76"/>
      <c r="M212" s="76"/>
      <c r="N212" s="75"/>
      <c r="O212" s="22"/>
      <c r="P212" s="75"/>
      <c r="Q212" s="75"/>
      <c r="R212" s="20"/>
    </row>
    <row r="213" customFormat="false" ht="15" hidden="false" customHeight="false" outlineLevel="0" collapsed="false">
      <c r="A213" s="21"/>
      <c r="B213" s="20"/>
      <c r="C213" s="22"/>
      <c r="D213" s="75"/>
      <c r="E213" s="75"/>
      <c r="F213" s="75"/>
      <c r="G213" s="75"/>
      <c r="H213" s="75"/>
      <c r="I213" s="22"/>
      <c r="J213" s="22"/>
      <c r="K213" s="19" t="str">
        <f aca="false">IFERROR($I213-INDEX(Cadastro!$N$7:$N$66,MATCH($B213,Cadastro!$B$7:$B$66,0)),"")</f>
        <v/>
      </c>
      <c r="L213" s="76"/>
      <c r="M213" s="76"/>
      <c r="N213" s="75"/>
      <c r="O213" s="22"/>
      <c r="P213" s="75"/>
      <c r="Q213" s="75"/>
      <c r="R213" s="20"/>
    </row>
    <row r="214" customFormat="false" ht="15" hidden="false" customHeight="false" outlineLevel="0" collapsed="false">
      <c r="A214" s="21"/>
      <c r="B214" s="20"/>
      <c r="C214" s="22"/>
      <c r="D214" s="75"/>
      <c r="E214" s="75"/>
      <c r="F214" s="75"/>
      <c r="G214" s="75"/>
      <c r="H214" s="75"/>
      <c r="I214" s="22"/>
      <c r="J214" s="22"/>
      <c r="K214" s="19" t="str">
        <f aca="false">IFERROR($I214-INDEX(Cadastro!$N$7:$N$66,MATCH($B214,Cadastro!$B$7:$B$66,0)),"")</f>
        <v/>
      </c>
      <c r="L214" s="76"/>
      <c r="M214" s="76"/>
      <c r="N214" s="75"/>
      <c r="O214" s="22"/>
      <c r="P214" s="75"/>
      <c r="Q214" s="75"/>
      <c r="R214" s="20"/>
    </row>
    <row r="215" customFormat="false" ht="15" hidden="false" customHeight="false" outlineLevel="0" collapsed="false">
      <c r="A215" s="21"/>
      <c r="B215" s="20"/>
      <c r="C215" s="22"/>
      <c r="D215" s="75"/>
      <c r="E215" s="75"/>
      <c r="F215" s="75"/>
      <c r="G215" s="75"/>
      <c r="H215" s="75"/>
      <c r="I215" s="22"/>
      <c r="J215" s="22"/>
      <c r="K215" s="19" t="str">
        <f aca="false">IFERROR($I215-INDEX(Cadastro!$N$7:$N$66,MATCH($B215,Cadastro!$B$7:$B$66,0)),"")</f>
        <v/>
      </c>
      <c r="L215" s="76"/>
      <c r="M215" s="76"/>
      <c r="N215" s="75"/>
      <c r="O215" s="22"/>
      <c r="P215" s="75"/>
      <c r="Q215" s="75"/>
      <c r="R215" s="20"/>
    </row>
    <row r="216" customFormat="false" ht="15" hidden="false" customHeight="false" outlineLevel="0" collapsed="false">
      <c r="A216" s="21"/>
      <c r="B216" s="20"/>
      <c r="C216" s="22"/>
      <c r="D216" s="75"/>
      <c r="E216" s="75"/>
      <c r="F216" s="75"/>
      <c r="G216" s="75"/>
      <c r="H216" s="75"/>
      <c r="I216" s="22"/>
      <c r="J216" s="22"/>
      <c r="K216" s="19" t="str">
        <f aca="false">IFERROR($I216-INDEX(Cadastro!$N$7:$N$66,MATCH($B216,Cadastro!$B$7:$B$66,0)),"")</f>
        <v/>
      </c>
      <c r="L216" s="76"/>
      <c r="M216" s="76"/>
      <c r="N216" s="75"/>
      <c r="O216" s="22"/>
      <c r="P216" s="75"/>
      <c r="Q216" s="75"/>
      <c r="R216" s="20"/>
    </row>
    <row r="217" customFormat="false" ht="15" hidden="false" customHeight="false" outlineLevel="0" collapsed="false">
      <c r="A217" s="21"/>
      <c r="B217" s="20"/>
      <c r="C217" s="22"/>
      <c r="D217" s="75"/>
      <c r="E217" s="75"/>
      <c r="F217" s="75"/>
      <c r="G217" s="75"/>
      <c r="H217" s="75"/>
      <c r="I217" s="22"/>
      <c r="J217" s="22"/>
      <c r="K217" s="19" t="str">
        <f aca="false">IFERROR($I217-INDEX(Cadastro!$N$7:$N$66,MATCH($B217,Cadastro!$B$7:$B$66,0)),"")</f>
        <v/>
      </c>
      <c r="L217" s="76"/>
      <c r="M217" s="76"/>
      <c r="N217" s="75"/>
      <c r="O217" s="22"/>
      <c r="P217" s="75"/>
      <c r="Q217" s="75"/>
      <c r="R217" s="20"/>
    </row>
    <row r="218" customFormat="false" ht="15" hidden="false" customHeight="false" outlineLevel="0" collapsed="false">
      <c r="A218" s="21"/>
      <c r="B218" s="20"/>
      <c r="C218" s="22"/>
      <c r="D218" s="75"/>
      <c r="E218" s="75"/>
      <c r="F218" s="75"/>
      <c r="G218" s="75"/>
      <c r="H218" s="75"/>
      <c r="I218" s="22"/>
      <c r="J218" s="22"/>
      <c r="K218" s="19" t="str">
        <f aca="false">IFERROR($I218-INDEX(Cadastro!$N$7:$N$66,MATCH($B218,Cadastro!$B$7:$B$66,0)),"")</f>
        <v/>
      </c>
      <c r="L218" s="76"/>
      <c r="M218" s="76"/>
      <c r="N218" s="75"/>
      <c r="O218" s="22"/>
      <c r="P218" s="75"/>
      <c r="Q218" s="75"/>
      <c r="R218" s="20"/>
    </row>
    <row r="219" customFormat="false" ht="15" hidden="false" customHeight="false" outlineLevel="0" collapsed="false">
      <c r="A219" s="21"/>
      <c r="B219" s="20"/>
      <c r="C219" s="22"/>
      <c r="D219" s="75"/>
      <c r="E219" s="75"/>
      <c r="F219" s="75"/>
      <c r="G219" s="75"/>
      <c r="H219" s="75"/>
      <c r="I219" s="22"/>
      <c r="J219" s="22"/>
      <c r="K219" s="19" t="str">
        <f aca="false">IFERROR($I219-INDEX(Cadastro!$N$7:$N$66,MATCH($B219,Cadastro!$B$7:$B$66,0)),"")</f>
        <v/>
      </c>
      <c r="L219" s="76"/>
      <c r="M219" s="76"/>
      <c r="N219" s="75"/>
      <c r="O219" s="22"/>
      <c r="P219" s="75"/>
      <c r="Q219" s="75"/>
      <c r="R219" s="20"/>
    </row>
    <row r="220" customFormat="false" ht="15" hidden="false" customHeight="false" outlineLevel="0" collapsed="false">
      <c r="A220" s="21"/>
      <c r="B220" s="20"/>
      <c r="C220" s="22"/>
      <c r="D220" s="75"/>
      <c r="E220" s="75"/>
      <c r="F220" s="75"/>
      <c r="G220" s="75"/>
      <c r="H220" s="75"/>
      <c r="I220" s="22"/>
      <c r="J220" s="22"/>
      <c r="K220" s="19" t="str">
        <f aca="false">IFERROR($I220-INDEX(Cadastro!$N$7:$N$66,MATCH($B220,Cadastro!$B$7:$B$66,0)),"")</f>
        <v/>
      </c>
      <c r="L220" s="76"/>
      <c r="M220" s="76"/>
      <c r="N220" s="75"/>
      <c r="O220" s="22"/>
      <c r="P220" s="75"/>
      <c r="Q220" s="75"/>
      <c r="R220" s="20"/>
    </row>
    <row r="221" customFormat="false" ht="15" hidden="false" customHeight="false" outlineLevel="0" collapsed="false">
      <c r="A221" s="21"/>
      <c r="B221" s="20"/>
      <c r="C221" s="22"/>
      <c r="D221" s="75"/>
      <c r="E221" s="75"/>
      <c r="F221" s="75"/>
      <c r="G221" s="75"/>
      <c r="H221" s="75"/>
      <c r="I221" s="22"/>
      <c r="J221" s="22"/>
      <c r="K221" s="19" t="str">
        <f aca="false">IFERROR($I221-INDEX(Cadastro!$N$7:$N$66,MATCH($B221,Cadastro!$B$7:$B$66,0)),"")</f>
        <v/>
      </c>
      <c r="L221" s="76"/>
      <c r="M221" s="76"/>
      <c r="N221" s="75"/>
      <c r="O221" s="22"/>
      <c r="P221" s="75"/>
      <c r="Q221" s="75"/>
      <c r="R221" s="20"/>
    </row>
    <row r="222" customFormat="false" ht="15" hidden="false" customHeight="false" outlineLevel="0" collapsed="false">
      <c r="A222" s="21"/>
      <c r="B222" s="20"/>
      <c r="C222" s="22"/>
      <c r="D222" s="75"/>
      <c r="E222" s="75"/>
      <c r="F222" s="75"/>
      <c r="G222" s="75"/>
      <c r="H222" s="75"/>
      <c r="I222" s="22"/>
      <c r="J222" s="22"/>
      <c r="K222" s="19" t="str">
        <f aca="false">IFERROR($I222-INDEX(Cadastro!$N$7:$N$66,MATCH($B222,Cadastro!$B$7:$B$66,0)),"")</f>
        <v/>
      </c>
      <c r="L222" s="76"/>
      <c r="M222" s="76"/>
      <c r="N222" s="75"/>
      <c r="O222" s="22"/>
      <c r="P222" s="75"/>
      <c r="Q222" s="75"/>
      <c r="R222" s="20"/>
    </row>
    <row r="223" customFormat="false" ht="15" hidden="false" customHeight="false" outlineLevel="0" collapsed="false">
      <c r="A223" s="21"/>
      <c r="B223" s="20"/>
      <c r="C223" s="22"/>
      <c r="D223" s="75"/>
      <c r="E223" s="75"/>
      <c r="F223" s="75"/>
      <c r="G223" s="75"/>
      <c r="H223" s="75"/>
      <c r="I223" s="22"/>
      <c r="J223" s="22"/>
      <c r="K223" s="19" t="str">
        <f aca="false">IFERROR($I223-INDEX(Cadastro!$N$7:$N$66,MATCH($B223,Cadastro!$B$7:$B$66,0)),"")</f>
        <v/>
      </c>
      <c r="L223" s="76"/>
      <c r="M223" s="76"/>
      <c r="N223" s="75"/>
      <c r="O223" s="22"/>
      <c r="P223" s="75"/>
      <c r="Q223" s="75"/>
      <c r="R223" s="20"/>
    </row>
    <row r="224" customFormat="false" ht="15" hidden="false" customHeight="false" outlineLevel="0" collapsed="false">
      <c r="A224" s="21"/>
      <c r="B224" s="20"/>
      <c r="C224" s="22"/>
      <c r="D224" s="75"/>
      <c r="E224" s="75"/>
      <c r="F224" s="75"/>
      <c r="G224" s="75"/>
      <c r="H224" s="75"/>
      <c r="I224" s="22"/>
      <c r="J224" s="22"/>
      <c r="K224" s="19" t="str">
        <f aca="false">IFERROR($I224-INDEX(Cadastro!$N$7:$N$66,MATCH($B224,Cadastro!$B$7:$B$66,0)),"")</f>
        <v/>
      </c>
      <c r="L224" s="76"/>
      <c r="M224" s="76"/>
      <c r="N224" s="75"/>
      <c r="O224" s="22"/>
      <c r="P224" s="75"/>
      <c r="Q224" s="75"/>
      <c r="R224" s="20"/>
    </row>
    <row r="225" customFormat="false" ht="15" hidden="false" customHeight="false" outlineLevel="0" collapsed="false">
      <c r="A225" s="21"/>
      <c r="B225" s="20"/>
      <c r="C225" s="22"/>
      <c r="D225" s="75"/>
      <c r="E225" s="75"/>
      <c r="F225" s="75"/>
      <c r="G225" s="75"/>
      <c r="H225" s="75"/>
      <c r="I225" s="22"/>
      <c r="J225" s="22"/>
      <c r="K225" s="19" t="str">
        <f aca="false">IFERROR($I225-INDEX(Cadastro!$N$7:$N$66,MATCH($B225,Cadastro!$B$7:$B$66,0)),"")</f>
        <v/>
      </c>
      <c r="L225" s="76"/>
      <c r="M225" s="76"/>
      <c r="N225" s="75"/>
      <c r="O225" s="22"/>
      <c r="P225" s="75"/>
      <c r="Q225" s="75"/>
      <c r="R225" s="20"/>
    </row>
    <row r="226" customFormat="false" ht="15" hidden="false" customHeight="false" outlineLevel="0" collapsed="false">
      <c r="A226" s="21"/>
      <c r="B226" s="20"/>
      <c r="C226" s="22"/>
      <c r="D226" s="75"/>
      <c r="E226" s="75"/>
      <c r="F226" s="75"/>
      <c r="G226" s="75"/>
      <c r="H226" s="75"/>
      <c r="I226" s="22"/>
      <c r="J226" s="22"/>
      <c r="K226" s="19" t="str">
        <f aca="false">IFERROR($I226-INDEX(Cadastro!$N$7:$N$66,MATCH($B226,Cadastro!$B$7:$B$66,0)),"")</f>
        <v/>
      </c>
      <c r="L226" s="76"/>
      <c r="M226" s="76"/>
      <c r="N226" s="75"/>
      <c r="O226" s="22"/>
      <c r="P226" s="75"/>
      <c r="Q226" s="75"/>
      <c r="R226" s="20"/>
    </row>
    <row r="227" customFormat="false" ht="15" hidden="false" customHeight="false" outlineLevel="0" collapsed="false">
      <c r="A227" s="21"/>
      <c r="B227" s="20"/>
      <c r="C227" s="22"/>
      <c r="D227" s="75"/>
      <c r="E227" s="75"/>
      <c r="F227" s="75"/>
      <c r="G227" s="75"/>
      <c r="H227" s="75"/>
      <c r="I227" s="22"/>
      <c r="J227" s="22"/>
      <c r="K227" s="19" t="str">
        <f aca="false">IFERROR($I227-INDEX(Cadastro!$N$7:$N$66,MATCH($B227,Cadastro!$B$7:$B$66,0)),"")</f>
        <v/>
      </c>
      <c r="L227" s="76"/>
      <c r="M227" s="76"/>
      <c r="N227" s="75"/>
      <c r="O227" s="22"/>
      <c r="P227" s="75"/>
      <c r="Q227" s="75"/>
      <c r="R227" s="20"/>
    </row>
    <row r="228" customFormat="false" ht="15" hidden="false" customHeight="false" outlineLevel="0" collapsed="false">
      <c r="A228" s="21"/>
      <c r="B228" s="20"/>
      <c r="C228" s="22"/>
      <c r="D228" s="75"/>
      <c r="E228" s="75"/>
      <c r="F228" s="75"/>
      <c r="G228" s="75"/>
      <c r="H228" s="75"/>
      <c r="I228" s="22"/>
      <c r="J228" s="22"/>
      <c r="K228" s="19" t="str">
        <f aca="false">IFERROR($I228-INDEX(Cadastro!$N$7:$N$66,MATCH($B228,Cadastro!$B$7:$B$66,0)),"")</f>
        <v/>
      </c>
      <c r="L228" s="76"/>
      <c r="M228" s="76"/>
      <c r="N228" s="75"/>
      <c r="O228" s="22"/>
      <c r="P228" s="75"/>
      <c r="Q228" s="75"/>
      <c r="R228" s="20"/>
    </row>
    <row r="229" customFormat="false" ht="15" hidden="false" customHeight="false" outlineLevel="0" collapsed="false">
      <c r="A229" s="21"/>
      <c r="B229" s="20"/>
      <c r="C229" s="22"/>
      <c r="D229" s="75"/>
      <c r="E229" s="75"/>
      <c r="F229" s="75"/>
      <c r="G229" s="75"/>
      <c r="H229" s="75"/>
      <c r="I229" s="22"/>
      <c r="J229" s="22"/>
      <c r="K229" s="19" t="str">
        <f aca="false">IFERROR($I229-INDEX(Cadastro!$N$7:$N$66,MATCH($B229,Cadastro!$B$7:$B$66,0)),"")</f>
        <v/>
      </c>
      <c r="L229" s="76"/>
      <c r="M229" s="76"/>
      <c r="N229" s="75"/>
      <c r="O229" s="22"/>
      <c r="P229" s="75"/>
      <c r="Q229" s="75"/>
      <c r="R229" s="20"/>
    </row>
    <row r="230" customFormat="false" ht="15" hidden="false" customHeight="false" outlineLevel="0" collapsed="false">
      <c r="A230" s="21"/>
      <c r="B230" s="20"/>
      <c r="C230" s="22"/>
      <c r="D230" s="75"/>
      <c r="E230" s="75"/>
      <c r="F230" s="75"/>
      <c r="G230" s="75"/>
      <c r="H230" s="75"/>
      <c r="I230" s="22"/>
      <c r="J230" s="22"/>
      <c r="K230" s="19" t="str">
        <f aca="false">IFERROR($I230-INDEX(Cadastro!$N$7:$N$66,MATCH($B230,Cadastro!$B$7:$B$66,0)),"")</f>
        <v/>
      </c>
      <c r="L230" s="76"/>
      <c r="M230" s="76"/>
      <c r="N230" s="75"/>
      <c r="O230" s="22"/>
      <c r="P230" s="75"/>
      <c r="Q230" s="75"/>
      <c r="R230" s="20"/>
    </row>
    <row r="231" customFormat="false" ht="15" hidden="false" customHeight="false" outlineLevel="0" collapsed="false">
      <c r="A231" s="21"/>
      <c r="B231" s="20"/>
      <c r="C231" s="22"/>
      <c r="D231" s="75"/>
      <c r="E231" s="75"/>
      <c r="F231" s="75"/>
      <c r="G231" s="75"/>
      <c r="H231" s="75"/>
      <c r="I231" s="22"/>
      <c r="J231" s="22"/>
      <c r="K231" s="19" t="str">
        <f aca="false">IFERROR($I231-INDEX(Cadastro!$N$7:$N$66,MATCH($B231,Cadastro!$B$7:$B$66,0)),"")</f>
        <v/>
      </c>
      <c r="L231" s="76"/>
      <c r="M231" s="76"/>
      <c r="N231" s="75"/>
      <c r="O231" s="22"/>
      <c r="P231" s="75"/>
      <c r="Q231" s="75"/>
      <c r="R231" s="20"/>
    </row>
    <row r="232" customFormat="false" ht="15" hidden="false" customHeight="false" outlineLevel="0" collapsed="false">
      <c r="A232" s="21"/>
      <c r="B232" s="20"/>
      <c r="C232" s="22"/>
      <c r="D232" s="75"/>
      <c r="E232" s="75"/>
      <c r="F232" s="75"/>
      <c r="G232" s="75"/>
      <c r="H232" s="75"/>
      <c r="I232" s="22"/>
      <c r="J232" s="22"/>
      <c r="K232" s="19" t="str">
        <f aca="false">IFERROR($I232-INDEX(Cadastro!$N$7:$N$66,MATCH($B232,Cadastro!$B$7:$B$66,0)),"")</f>
        <v/>
      </c>
      <c r="L232" s="76"/>
      <c r="M232" s="76"/>
      <c r="N232" s="75"/>
      <c r="O232" s="22"/>
      <c r="P232" s="75"/>
      <c r="Q232" s="75"/>
      <c r="R232" s="20"/>
    </row>
    <row r="233" customFormat="false" ht="15" hidden="false" customHeight="false" outlineLevel="0" collapsed="false">
      <c r="A233" s="21"/>
      <c r="B233" s="20"/>
      <c r="C233" s="22"/>
      <c r="D233" s="75"/>
      <c r="E233" s="75"/>
      <c r="F233" s="75"/>
      <c r="G233" s="75"/>
      <c r="H233" s="75"/>
      <c r="I233" s="22"/>
      <c r="J233" s="22"/>
      <c r="K233" s="19" t="str">
        <f aca="false">IFERROR($I233-INDEX(Cadastro!$N$7:$N$66,MATCH($B233,Cadastro!$B$7:$B$66,0)),"")</f>
        <v/>
      </c>
      <c r="L233" s="76"/>
      <c r="M233" s="76"/>
      <c r="N233" s="75"/>
      <c r="O233" s="22"/>
      <c r="P233" s="75"/>
      <c r="Q233" s="75"/>
      <c r="R233" s="20"/>
    </row>
    <row r="234" customFormat="false" ht="15" hidden="false" customHeight="false" outlineLevel="0" collapsed="false">
      <c r="A234" s="21"/>
      <c r="B234" s="20"/>
      <c r="C234" s="22"/>
      <c r="D234" s="75"/>
      <c r="E234" s="75"/>
      <c r="F234" s="75"/>
      <c r="G234" s="75"/>
      <c r="H234" s="75"/>
      <c r="I234" s="22"/>
      <c r="J234" s="22"/>
      <c r="K234" s="19" t="str">
        <f aca="false">IFERROR($I234-INDEX(Cadastro!$N$7:$N$66,MATCH($B234,Cadastro!$B$7:$B$66,0)),"")</f>
        <v/>
      </c>
      <c r="L234" s="76"/>
      <c r="M234" s="76"/>
      <c r="N234" s="75"/>
      <c r="O234" s="22"/>
      <c r="P234" s="75"/>
      <c r="Q234" s="75"/>
      <c r="R234" s="20"/>
    </row>
    <row r="235" customFormat="false" ht="15" hidden="false" customHeight="false" outlineLevel="0" collapsed="false">
      <c r="A235" s="21"/>
      <c r="B235" s="20"/>
      <c r="C235" s="22"/>
      <c r="D235" s="75"/>
      <c r="E235" s="75"/>
      <c r="F235" s="75"/>
      <c r="G235" s="75"/>
      <c r="H235" s="75"/>
      <c r="I235" s="22"/>
      <c r="J235" s="22"/>
      <c r="K235" s="19" t="str">
        <f aca="false">IFERROR($I235-INDEX(Cadastro!$N$7:$N$66,MATCH($B235,Cadastro!$B$7:$B$66,0)),"")</f>
        <v/>
      </c>
      <c r="L235" s="76"/>
      <c r="M235" s="76"/>
      <c r="N235" s="75"/>
      <c r="O235" s="22"/>
      <c r="P235" s="75"/>
      <c r="Q235" s="75"/>
      <c r="R235" s="20"/>
    </row>
    <row r="236" customFormat="false" ht="15" hidden="false" customHeight="false" outlineLevel="0" collapsed="false">
      <c r="A236" s="21"/>
      <c r="B236" s="20"/>
      <c r="C236" s="22"/>
      <c r="D236" s="75"/>
      <c r="E236" s="75"/>
      <c r="F236" s="75"/>
      <c r="G236" s="75"/>
      <c r="H236" s="75"/>
      <c r="I236" s="22"/>
      <c r="J236" s="22"/>
      <c r="K236" s="19" t="str">
        <f aca="false">IFERROR($I236-INDEX(Cadastro!$N$7:$N$66,MATCH($B236,Cadastro!$B$7:$B$66,0)),"")</f>
        <v/>
      </c>
      <c r="L236" s="76"/>
      <c r="M236" s="76"/>
      <c r="N236" s="75"/>
      <c r="O236" s="22"/>
      <c r="P236" s="75"/>
      <c r="Q236" s="75"/>
      <c r="R236" s="20"/>
    </row>
    <row r="237" customFormat="false" ht="15" hidden="false" customHeight="false" outlineLevel="0" collapsed="false">
      <c r="A237" s="21"/>
      <c r="B237" s="20"/>
      <c r="C237" s="22"/>
      <c r="D237" s="75"/>
      <c r="E237" s="75"/>
      <c r="F237" s="75"/>
      <c r="G237" s="75"/>
      <c r="H237" s="75"/>
      <c r="I237" s="22"/>
      <c r="J237" s="22"/>
      <c r="K237" s="19" t="str">
        <f aca="false">IFERROR($I237-INDEX(Cadastro!$N$7:$N$66,MATCH($B237,Cadastro!$B$7:$B$66,0)),"")</f>
        <v/>
      </c>
      <c r="L237" s="76"/>
      <c r="M237" s="76"/>
      <c r="N237" s="75"/>
      <c r="O237" s="22"/>
      <c r="P237" s="75"/>
      <c r="Q237" s="75"/>
      <c r="R237" s="20"/>
    </row>
    <row r="238" customFormat="false" ht="15" hidden="false" customHeight="false" outlineLevel="0" collapsed="false">
      <c r="A238" s="21"/>
      <c r="B238" s="20"/>
      <c r="C238" s="22"/>
      <c r="D238" s="75"/>
      <c r="E238" s="75"/>
      <c r="F238" s="75"/>
      <c r="G238" s="75"/>
      <c r="H238" s="75"/>
      <c r="I238" s="22"/>
      <c r="J238" s="22"/>
      <c r="K238" s="19" t="str">
        <f aca="false">IFERROR($I238-INDEX(Cadastro!$N$7:$N$66,MATCH($B238,Cadastro!$B$7:$B$66,0)),"")</f>
        <v/>
      </c>
      <c r="L238" s="76"/>
      <c r="M238" s="76"/>
      <c r="N238" s="75"/>
      <c r="O238" s="22"/>
      <c r="P238" s="75"/>
      <c r="Q238" s="75"/>
      <c r="R238" s="20"/>
    </row>
    <row r="239" customFormat="false" ht="15" hidden="false" customHeight="false" outlineLevel="0" collapsed="false">
      <c r="A239" s="21"/>
      <c r="B239" s="20"/>
      <c r="C239" s="22"/>
      <c r="D239" s="75"/>
      <c r="E239" s="75"/>
      <c r="F239" s="75"/>
      <c r="G239" s="75"/>
      <c r="H239" s="75"/>
      <c r="I239" s="22"/>
      <c r="J239" s="22"/>
      <c r="K239" s="19" t="str">
        <f aca="false">IFERROR($I239-INDEX(Cadastro!$N$7:$N$66,MATCH($B239,Cadastro!$B$7:$B$66,0)),"")</f>
        <v/>
      </c>
      <c r="L239" s="76"/>
      <c r="M239" s="76"/>
      <c r="N239" s="75"/>
      <c r="O239" s="22"/>
      <c r="P239" s="75"/>
      <c r="Q239" s="75"/>
      <c r="R239" s="20"/>
    </row>
    <row r="240" customFormat="false" ht="15" hidden="false" customHeight="false" outlineLevel="0" collapsed="false">
      <c r="A240" s="21"/>
      <c r="B240" s="20"/>
      <c r="C240" s="22"/>
      <c r="D240" s="75"/>
      <c r="E240" s="75"/>
      <c r="F240" s="75"/>
      <c r="G240" s="75"/>
      <c r="H240" s="75"/>
      <c r="I240" s="22"/>
      <c r="J240" s="22"/>
      <c r="K240" s="19" t="str">
        <f aca="false">IFERROR($I240-INDEX(Cadastro!$N$7:$N$66,MATCH($B240,Cadastro!$B$7:$B$66,0)),"")</f>
        <v/>
      </c>
      <c r="L240" s="76"/>
      <c r="M240" s="76"/>
      <c r="N240" s="75"/>
      <c r="O240" s="22"/>
      <c r="P240" s="75"/>
      <c r="Q240" s="75"/>
      <c r="R240" s="20"/>
    </row>
    <row r="241" customFormat="false" ht="15" hidden="false" customHeight="false" outlineLevel="0" collapsed="false">
      <c r="A241" s="21"/>
      <c r="B241" s="20"/>
      <c r="C241" s="22"/>
      <c r="D241" s="75"/>
      <c r="E241" s="75"/>
      <c r="F241" s="75"/>
      <c r="G241" s="75"/>
      <c r="H241" s="75"/>
      <c r="I241" s="22"/>
      <c r="J241" s="22"/>
      <c r="K241" s="19" t="str">
        <f aca="false">IFERROR($I241-INDEX(Cadastro!$N$7:$N$66,MATCH($B241,Cadastro!$B$7:$B$66,0)),"")</f>
        <v/>
      </c>
      <c r="L241" s="76"/>
      <c r="M241" s="76"/>
      <c r="N241" s="75"/>
      <c r="O241" s="22"/>
      <c r="P241" s="75"/>
      <c r="Q241" s="75"/>
      <c r="R241" s="20"/>
    </row>
    <row r="242" customFormat="false" ht="15" hidden="false" customHeight="false" outlineLevel="0" collapsed="false">
      <c r="A242" s="21"/>
      <c r="B242" s="20"/>
      <c r="C242" s="22"/>
      <c r="D242" s="75"/>
      <c r="E242" s="75"/>
      <c r="F242" s="75"/>
      <c r="G242" s="75"/>
      <c r="H242" s="75"/>
      <c r="I242" s="22"/>
      <c r="J242" s="22"/>
      <c r="K242" s="19" t="str">
        <f aca="false">IFERROR($I242-INDEX(Cadastro!$N$7:$N$66,MATCH($B242,Cadastro!$B$7:$B$66,0)),"")</f>
        <v/>
      </c>
      <c r="L242" s="76"/>
      <c r="M242" s="76"/>
      <c r="N242" s="75"/>
      <c r="O242" s="22"/>
      <c r="P242" s="75"/>
      <c r="Q242" s="75"/>
      <c r="R242" s="20"/>
    </row>
    <row r="243" customFormat="false" ht="15" hidden="false" customHeight="false" outlineLevel="0" collapsed="false">
      <c r="A243" s="21"/>
      <c r="B243" s="20"/>
      <c r="C243" s="22"/>
      <c r="D243" s="75"/>
      <c r="E243" s="75"/>
      <c r="F243" s="75"/>
      <c r="G243" s="75"/>
      <c r="H243" s="75"/>
      <c r="I243" s="22"/>
      <c r="J243" s="22"/>
      <c r="K243" s="19" t="str">
        <f aca="false">IFERROR($I243-INDEX(Cadastro!$N$7:$N$66,MATCH($B243,Cadastro!$B$7:$B$66,0)),"")</f>
        <v/>
      </c>
      <c r="L243" s="76"/>
      <c r="M243" s="76"/>
      <c r="N243" s="75"/>
      <c r="O243" s="22"/>
      <c r="P243" s="75"/>
      <c r="Q243" s="75"/>
      <c r="R243" s="20"/>
    </row>
    <row r="244" customFormat="false" ht="15" hidden="false" customHeight="false" outlineLevel="0" collapsed="false">
      <c r="A244" s="21"/>
      <c r="B244" s="20"/>
      <c r="C244" s="22"/>
      <c r="D244" s="75"/>
      <c r="E244" s="75"/>
      <c r="F244" s="75"/>
      <c r="G244" s="75"/>
      <c r="H244" s="75"/>
      <c r="I244" s="22"/>
      <c r="J244" s="22"/>
      <c r="K244" s="19" t="str">
        <f aca="false">IFERROR($I244-INDEX(Cadastro!$N$7:$N$66,MATCH($B244,Cadastro!$B$7:$B$66,0)),"")</f>
        <v/>
      </c>
      <c r="L244" s="76"/>
      <c r="M244" s="76"/>
      <c r="N244" s="75"/>
      <c r="O244" s="22"/>
      <c r="P244" s="75"/>
      <c r="Q244" s="75"/>
      <c r="R244" s="20"/>
    </row>
    <row r="245" customFormat="false" ht="15" hidden="false" customHeight="false" outlineLevel="0" collapsed="false">
      <c r="A245" s="21"/>
      <c r="B245" s="20"/>
      <c r="C245" s="22"/>
      <c r="D245" s="75"/>
      <c r="E245" s="75"/>
      <c r="F245" s="75"/>
      <c r="G245" s="75"/>
      <c r="H245" s="75"/>
      <c r="I245" s="22"/>
      <c r="J245" s="22"/>
      <c r="K245" s="19" t="str">
        <f aca="false">IFERROR($I245-INDEX(Cadastro!$N$7:$N$66,MATCH($B245,Cadastro!$B$7:$B$66,0)),"")</f>
        <v/>
      </c>
      <c r="L245" s="76"/>
      <c r="M245" s="76"/>
      <c r="N245" s="75"/>
      <c r="O245" s="22"/>
      <c r="P245" s="75"/>
      <c r="Q245" s="75"/>
      <c r="R245" s="20"/>
    </row>
    <row r="246" customFormat="false" ht="15" hidden="false" customHeight="false" outlineLevel="0" collapsed="false">
      <c r="A246" s="21"/>
      <c r="B246" s="20"/>
      <c r="C246" s="22"/>
      <c r="D246" s="75"/>
      <c r="E246" s="75"/>
      <c r="F246" s="75"/>
      <c r="G246" s="75"/>
      <c r="H246" s="75"/>
      <c r="I246" s="22"/>
      <c r="J246" s="22"/>
      <c r="K246" s="19" t="str">
        <f aca="false">IFERROR($I246-INDEX(Cadastro!$N$7:$N$66,MATCH($B246,Cadastro!$B$7:$B$66,0)),"")</f>
        <v/>
      </c>
      <c r="L246" s="76"/>
      <c r="M246" s="76"/>
      <c r="N246" s="75"/>
      <c r="O246" s="22"/>
      <c r="P246" s="75"/>
      <c r="Q246" s="75"/>
      <c r="R246" s="20"/>
    </row>
    <row r="247" customFormat="false" ht="15" hidden="false" customHeight="false" outlineLevel="0" collapsed="false">
      <c r="A247" s="21"/>
      <c r="B247" s="20"/>
      <c r="C247" s="22"/>
      <c r="D247" s="75"/>
      <c r="E247" s="75"/>
      <c r="F247" s="75"/>
      <c r="G247" s="75"/>
      <c r="H247" s="75"/>
      <c r="I247" s="22"/>
      <c r="J247" s="22"/>
      <c r="K247" s="19" t="str">
        <f aca="false">IFERROR($I247-INDEX(Cadastro!$N$7:$N$66,MATCH($B247,Cadastro!$B$7:$B$66,0)),"")</f>
        <v/>
      </c>
      <c r="L247" s="76"/>
      <c r="M247" s="76"/>
      <c r="N247" s="75"/>
      <c r="O247" s="22"/>
      <c r="P247" s="75"/>
      <c r="Q247" s="75"/>
      <c r="R247" s="20"/>
    </row>
    <row r="248" customFormat="false" ht="15" hidden="false" customHeight="false" outlineLevel="0" collapsed="false">
      <c r="A248" s="21"/>
      <c r="B248" s="20"/>
      <c r="C248" s="22"/>
      <c r="D248" s="75"/>
      <c r="E248" s="75"/>
      <c r="F248" s="75"/>
      <c r="G248" s="75"/>
      <c r="H248" s="75"/>
      <c r="I248" s="22"/>
      <c r="J248" s="22"/>
      <c r="K248" s="19" t="str">
        <f aca="false">IFERROR($I248-INDEX(Cadastro!$N$7:$N$66,MATCH($B248,Cadastro!$B$7:$B$66,0)),"")</f>
        <v/>
      </c>
      <c r="L248" s="76"/>
      <c r="M248" s="76"/>
      <c r="N248" s="75"/>
      <c r="O248" s="22"/>
      <c r="P248" s="75"/>
      <c r="Q248" s="75"/>
      <c r="R248" s="20"/>
    </row>
    <row r="249" customFormat="false" ht="15" hidden="false" customHeight="false" outlineLevel="0" collapsed="false">
      <c r="A249" s="21"/>
      <c r="B249" s="20"/>
      <c r="C249" s="22"/>
      <c r="D249" s="75"/>
      <c r="E249" s="75"/>
      <c r="F249" s="75"/>
      <c r="G249" s="75"/>
      <c r="H249" s="75"/>
      <c r="I249" s="22"/>
      <c r="J249" s="22"/>
      <c r="K249" s="19" t="str">
        <f aca="false">IFERROR($I249-INDEX(Cadastro!$N$7:$N$66,MATCH($B249,Cadastro!$B$7:$B$66,0)),"")</f>
        <v/>
      </c>
      <c r="L249" s="76"/>
      <c r="M249" s="76"/>
      <c r="N249" s="75"/>
      <c r="O249" s="22"/>
      <c r="P249" s="75"/>
      <c r="Q249" s="75"/>
      <c r="R249" s="20"/>
    </row>
    <row r="250" customFormat="false" ht="15" hidden="false" customHeight="false" outlineLevel="0" collapsed="false">
      <c r="A250" s="21"/>
      <c r="B250" s="20"/>
      <c r="C250" s="22"/>
      <c r="D250" s="75"/>
      <c r="E250" s="75"/>
      <c r="F250" s="75"/>
      <c r="G250" s="75"/>
      <c r="H250" s="75"/>
      <c r="I250" s="22"/>
      <c r="J250" s="22"/>
      <c r="K250" s="19" t="str">
        <f aca="false">IFERROR($I250-INDEX(Cadastro!$N$7:$N$66,MATCH($B250,Cadastro!$B$7:$B$66,0)),"")</f>
        <v/>
      </c>
      <c r="L250" s="76"/>
      <c r="M250" s="76"/>
      <c r="N250" s="75"/>
      <c r="O250" s="22"/>
      <c r="P250" s="75"/>
      <c r="Q250" s="75"/>
      <c r="R250" s="20"/>
    </row>
    <row r="251" customFormat="false" ht="15" hidden="false" customHeight="false" outlineLevel="0" collapsed="false">
      <c r="A251" s="21"/>
      <c r="B251" s="20"/>
      <c r="C251" s="22"/>
      <c r="D251" s="75"/>
      <c r="E251" s="75"/>
      <c r="F251" s="75"/>
      <c r="G251" s="75"/>
      <c r="H251" s="75"/>
      <c r="I251" s="22"/>
      <c r="J251" s="22"/>
      <c r="K251" s="19" t="str">
        <f aca="false">IFERROR($I251-INDEX(Cadastro!$N$7:$N$66,MATCH($B251,Cadastro!$B$7:$B$66,0)),"")</f>
        <v/>
      </c>
      <c r="L251" s="76"/>
      <c r="M251" s="76"/>
      <c r="N251" s="75"/>
      <c r="O251" s="22"/>
      <c r="P251" s="75"/>
      <c r="Q251" s="75"/>
      <c r="R251" s="20"/>
    </row>
    <row r="252" customFormat="false" ht="15" hidden="false" customHeight="false" outlineLevel="0" collapsed="false">
      <c r="A252" s="21"/>
      <c r="B252" s="20"/>
      <c r="C252" s="22"/>
      <c r="D252" s="75"/>
      <c r="E252" s="75"/>
      <c r="F252" s="75"/>
      <c r="G252" s="75"/>
      <c r="H252" s="75"/>
      <c r="I252" s="22"/>
      <c r="J252" s="22"/>
      <c r="K252" s="19" t="str">
        <f aca="false">IFERROR($I252-INDEX(Cadastro!$N$7:$N$66,MATCH($B252,Cadastro!$B$7:$B$66,0)),"")</f>
        <v/>
      </c>
      <c r="L252" s="76"/>
      <c r="M252" s="76"/>
      <c r="N252" s="75"/>
      <c r="O252" s="22"/>
      <c r="P252" s="75"/>
      <c r="Q252" s="75"/>
      <c r="R252" s="20"/>
    </row>
    <row r="253" customFormat="false" ht="15" hidden="false" customHeight="false" outlineLevel="0" collapsed="false">
      <c r="A253" s="21"/>
      <c r="B253" s="20"/>
      <c r="C253" s="22"/>
      <c r="D253" s="75"/>
      <c r="E253" s="75"/>
      <c r="F253" s="75"/>
      <c r="G253" s="75"/>
      <c r="H253" s="75"/>
      <c r="I253" s="22"/>
      <c r="J253" s="22"/>
      <c r="K253" s="19" t="str">
        <f aca="false">IFERROR($I253-INDEX(Cadastro!$N$7:$N$66,MATCH($B253,Cadastro!$B$7:$B$66,0)),"")</f>
        <v/>
      </c>
      <c r="L253" s="76"/>
      <c r="M253" s="76"/>
      <c r="N253" s="75"/>
      <c r="O253" s="22"/>
      <c r="P253" s="75"/>
      <c r="Q253" s="75"/>
      <c r="R253" s="20"/>
    </row>
    <row r="254" customFormat="false" ht="15" hidden="false" customHeight="false" outlineLevel="0" collapsed="false">
      <c r="A254" s="21"/>
      <c r="B254" s="20"/>
      <c r="C254" s="22"/>
      <c r="D254" s="75"/>
      <c r="E254" s="75"/>
      <c r="F254" s="75"/>
      <c r="G254" s="75"/>
      <c r="H254" s="75"/>
      <c r="I254" s="22"/>
      <c r="J254" s="22"/>
      <c r="K254" s="19" t="str">
        <f aca="false">IFERROR($I254-INDEX(Cadastro!$N$7:$N$66,MATCH($B254,Cadastro!$B$7:$B$66,0)),"")</f>
        <v/>
      </c>
      <c r="L254" s="76"/>
      <c r="M254" s="76"/>
      <c r="N254" s="75"/>
      <c r="O254" s="22"/>
      <c r="P254" s="75"/>
      <c r="Q254" s="75"/>
      <c r="R254" s="20"/>
    </row>
    <row r="255" customFormat="false" ht="15" hidden="false" customHeight="false" outlineLevel="0" collapsed="false">
      <c r="A255" s="21"/>
      <c r="B255" s="20"/>
      <c r="C255" s="22"/>
      <c r="D255" s="75"/>
      <c r="E255" s="75"/>
      <c r="F255" s="75"/>
      <c r="G255" s="75"/>
      <c r="H255" s="75"/>
      <c r="I255" s="22"/>
      <c r="J255" s="22"/>
      <c r="K255" s="19" t="str">
        <f aca="false">IFERROR($I255-INDEX(Cadastro!$N$7:$N$66,MATCH($B255,Cadastro!$B$7:$B$66,0)),"")</f>
        <v/>
      </c>
      <c r="L255" s="76"/>
      <c r="M255" s="76"/>
      <c r="N255" s="75"/>
      <c r="O255" s="22"/>
      <c r="P255" s="75"/>
      <c r="Q255" s="75"/>
      <c r="R255" s="20"/>
    </row>
    <row r="256" customFormat="false" ht="15" hidden="false" customHeight="false" outlineLevel="0" collapsed="false">
      <c r="A256" s="21"/>
      <c r="B256" s="20"/>
      <c r="C256" s="22"/>
      <c r="D256" s="75"/>
      <c r="E256" s="75"/>
      <c r="F256" s="75"/>
      <c r="G256" s="75"/>
      <c r="H256" s="75"/>
      <c r="I256" s="22"/>
      <c r="J256" s="22"/>
      <c r="K256" s="19" t="str">
        <f aca="false">IFERROR($I256-INDEX(Cadastro!$N$7:$N$66,MATCH($B256,Cadastro!$B$7:$B$66,0)),"")</f>
        <v/>
      </c>
      <c r="L256" s="76"/>
      <c r="M256" s="76"/>
      <c r="N256" s="75"/>
      <c r="O256" s="22"/>
      <c r="P256" s="75"/>
      <c r="Q256" s="75"/>
      <c r="R256" s="20"/>
    </row>
    <row r="257" customFormat="false" ht="15" hidden="false" customHeight="false" outlineLevel="0" collapsed="false">
      <c r="A257" s="21"/>
      <c r="B257" s="20"/>
      <c r="C257" s="22"/>
      <c r="D257" s="75"/>
      <c r="E257" s="75"/>
      <c r="F257" s="75"/>
      <c r="G257" s="75"/>
      <c r="H257" s="75"/>
      <c r="I257" s="22"/>
      <c r="J257" s="22"/>
      <c r="K257" s="19" t="str">
        <f aca="false">IFERROR($I257-INDEX(Cadastro!$N$7:$N$66,MATCH($B257,Cadastro!$B$7:$B$66,0)),"")</f>
        <v/>
      </c>
      <c r="L257" s="76"/>
      <c r="M257" s="76"/>
      <c r="N257" s="75"/>
      <c r="O257" s="22"/>
      <c r="P257" s="75"/>
      <c r="Q257" s="75"/>
      <c r="R257" s="20"/>
    </row>
    <row r="258" customFormat="false" ht="15" hidden="false" customHeight="false" outlineLevel="0" collapsed="false">
      <c r="A258" s="21"/>
      <c r="B258" s="20"/>
      <c r="C258" s="22"/>
      <c r="D258" s="75"/>
      <c r="E258" s="75"/>
      <c r="F258" s="75"/>
      <c r="G258" s="75"/>
      <c r="H258" s="75"/>
      <c r="I258" s="22"/>
      <c r="J258" s="22"/>
      <c r="K258" s="19" t="str">
        <f aca="false">IFERROR($I258-INDEX(Cadastro!$N$7:$N$66,MATCH($B258,Cadastro!$B$7:$B$66,0)),"")</f>
        <v/>
      </c>
      <c r="L258" s="76"/>
      <c r="M258" s="76"/>
      <c r="N258" s="75"/>
      <c r="O258" s="22"/>
      <c r="P258" s="75"/>
      <c r="Q258" s="75"/>
      <c r="R258" s="20"/>
    </row>
    <row r="259" customFormat="false" ht="15" hidden="false" customHeight="false" outlineLevel="0" collapsed="false">
      <c r="A259" s="21"/>
      <c r="B259" s="20"/>
      <c r="C259" s="22"/>
      <c r="D259" s="75"/>
      <c r="E259" s="75"/>
      <c r="F259" s="75"/>
      <c r="G259" s="75"/>
      <c r="H259" s="75"/>
      <c r="I259" s="22"/>
      <c r="J259" s="22"/>
      <c r="K259" s="19" t="str">
        <f aca="false">IFERROR($I259-INDEX(Cadastro!$N$7:$N$66,MATCH($B259,Cadastro!$B$7:$B$66,0)),"")</f>
        <v/>
      </c>
      <c r="L259" s="76"/>
      <c r="M259" s="76"/>
      <c r="N259" s="75"/>
      <c r="O259" s="22"/>
      <c r="P259" s="75"/>
      <c r="Q259" s="75"/>
      <c r="R259" s="20"/>
    </row>
    <row r="260" customFormat="false" ht="15" hidden="false" customHeight="false" outlineLevel="0" collapsed="false">
      <c r="A260" s="21"/>
      <c r="B260" s="20"/>
      <c r="C260" s="22"/>
      <c r="D260" s="75"/>
      <c r="E260" s="75"/>
      <c r="F260" s="75"/>
      <c r="G260" s="75"/>
      <c r="H260" s="75"/>
      <c r="I260" s="22"/>
      <c r="J260" s="22"/>
      <c r="K260" s="19" t="str">
        <f aca="false">IFERROR($I260-INDEX(Cadastro!$N$7:$N$66,MATCH($B260,Cadastro!$B$7:$B$66,0)),"")</f>
        <v/>
      </c>
      <c r="L260" s="76"/>
      <c r="M260" s="76"/>
      <c r="N260" s="75"/>
      <c r="O260" s="22"/>
      <c r="P260" s="75"/>
      <c r="Q260" s="75"/>
      <c r="R260" s="20"/>
    </row>
    <row r="261" customFormat="false" ht="15" hidden="false" customHeight="false" outlineLevel="0" collapsed="false">
      <c r="A261" s="21"/>
      <c r="B261" s="20"/>
      <c r="C261" s="22"/>
      <c r="D261" s="75"/>
      <c r="E261" s="75"/>
      <c r="F261" s="75"/>
      <c r="G261" s="75"/>
      <c r="H261" s="75"/>
      <c r="I261" s="22"/>
      <c r="J261" s="22"/>
      <c r="K261" s="19" t="str">
        <f aca="false">IFERROR($I261-INDEX(Cadastro!$N$7:$N$66,MATCH($B261,Cadastro!$B$7:$B$66,0)),"")</f>
        <v/>
      </c>
      <c r="L261" s="76"/>
      <c r="M261" s="76"/>
      <c r="N261" s="75"/>
      <c r="O261" s="22"/>
      <c r="P261" s="75"/>
      <c r="Q261" s="75"/>
      <c r="R261" s="20"/>
    </row>
    <row r="262" customFormat="false" ht="15" hidden="false" customHeight="false" outlineLevel="0" collapsed="false">
      <c r="A262" s="21"/>
      <c r="B262" s="20"/>
      <c r="C262" s="22"/>
      <c r="D262" s="75"/>
      <c r="E262" s="75"/>
      <c r="F262" s="75"/>
      <c r="G262" s="75"/>
      <c r="H262" s="75"/>
      <c r="I262" s="22"/>
      <c r="J262" s="22"/>
      <c r="K262" s="19" t="str">
        <f aca="false">IFERROR($I262-INDEX(Cadastro!$N$7:$N$66,MATCH($B262,Cadastro!$B$7:$B$66,0)),"")</f>
        <v/>
      </c>
      <c r="L262" s="76"/>
      <c r="M262" s="76"/>
      <c r="N262" s="75"/>
      <c r="O262" s="22"/>
      <c r="P262" s="75"/>
      <c r="Q262" s="75"/>
      <c r="R262" s="20"/>
    </row>
    <row r="263" customFormat="false" ht="15" hidden="false" customHeight="false" outlineLevel="0" collapsed="false">
      <c r="A263" s="21"/>
      <c r="B263" s="20"/>
      <c r="C263" s="22"/>
      <c r="D263" s="75"/>
      <c r="E263" s="75"/>
      <c r="F263" s="75"/>
      <c r="G263" s="75"/>
      <c r="H263" s="75"/>
      <c r="I263" s="22"/>
      <c r="J263" s="22"/>
      <c r="K263" s="19" t="str">
        <f aca="false">IFERROR($I263-INDEX(Cadastro!$N$7:$N$66,MATCH($B263,Cadastro!$B$7:$B$66,0)),"")</f>
        <v/>
      </c>
      <c r="L263" s="76"/>
      <c r="M263" s="76"/>
      <c r="N263" s="75"/>
      <c r="O263" s="22"/>
      <c r="P263" s="75"/>
      <c r="Q263" s="75"/>
      <c r="R263" s="20"/>
    </row>
    <row r="264" customFormat="false" ht="15" hidden="false" customHeight="false" outlineLevel="0" collapsed="false">
      <c r="A264" s="21"/>
      <c r="B264" s="20"/>
      <c r="C264" s="22"/>
      <c r="D264" s="75"/>
      <c r="E264" s="75"/>
      <c r="F264" s="75"/>
      <c r="G264" s="75"/>
      <c r="H264" s="75"/>
      <c r="I264" s="22"/>
      <c r="J264" s="22"/>
      <c r="K264" s="19" t="str">
        <f aca="false">IFERROR($I264-INDEX(Cadastro!$N$7:$N$66,MATCH($B264,Cadastro!$B$7:$B$66,0)),"")</f>
        <v/>
      </c>
      <c r="L264" s="76"/>
      <c r="M264" s="76"/>
      <c r="N264" s="75"/>
      <c r="O264" s="22"/>
      <c r="P264" s="75"/>
      <c r="Q264" s="75"/>
      <c r="R264" s="20"/>
    </row>
    <row r="265" customFormat="false" ht="15" hidden="false" customHeight="false" outlineLevel="0" collapsed="false">
      <c r="A265" s="21"/>
      <c r="B265" s="20"/>
      <c r="C265" s="22"/>
      <c r="D265" s="75"/>
      <c r="E265" s="75"/>
      <c r="F265" s="75"/>
      <c r="G265" s="75"/>
      <c r="H265" s="75"/>
      <c r="I265" s="22"/>
      <c r="J265" s="22"/>
      <c r="K265" s="19" t="str">
        <f aca="false">IFERROR($I265-INDEX(Cadastro!$N$7:$N$66,MATCH($B265,Cadastro!$B$7:$B$66,0)),"")</f>
        <v/>
      </c>
      <c r="L265" s="76"/>
      <c r="M265" s="76"/>
      <c r="N265" s="75"/>
      <c r="O265" s="22"/>
      <c r="P265" s="75"/>
      <c r="Q265" s="75"/>
      <c r="R265" s="20"/>
    </row>
    <row r="266" customFormat="false" ht="15" hidden="false" customHeight="false" outlineLevel="0" collapsed="false">
      <c r="A266" s="21"/>
      <c r="B266" s="20"/>
      <c r="C266" s="22"/>
      <c r="D266" s="75"/>
      <c r="E266" s="75"/>
      <c r="F266" s="75"/>
      <c r="G266" s="75"/>
      <c r="H266" s="75"/>
      <c r="I266" s="22"/>
      <c r="J266" s="22"/>
      <c r="K266" s="19" t="str">
        <f aca="false">IFERROR($I266-INDEX(Cadastro!$N$7:$N$66,MATCH($B266,Cadastro!$B$7:$B$66,0)),"")</f>
        <v/>
      </c>
      <c r="L266" s="76"/>
      <c r="M266" s="76"/>
      <c r="N266" s="75"/>
      <c r="O266" s="22"/>
      <c r="P266" s="75"/>
      <c r="Q266" s="75"/>
      <c r="R266" s="20"/>
    </row>
    <row r="267" customFormat="false" ht="15" hidden="false" customHeight="false" outlineLevel="0" collapsed="false">
      <c r="A267" s="21"/>
      <c r="B267" s="20"/>
      <c r="C267" s="22"/>
      <c r="D267" s="75"/>
      <c r="E267" s="75"/>
      <c r="F267" s="75"/>
      <c r="G267" s="75"/>
      <c r="H267" s="75"/>
      <c r="I267" s="22"/>
      <c r="J267" s="22"/>
      <c r="K267" s="19" t="str">
        <f aca="false">IFERROR($I267-INDEX(Cadastro!$N$7:$N$66,MATCH($B267,Cadastro!$B$7:$B$66,0)),"")</f>
        <v/>
      </c>
      <c r="L267" s="76"/>
      <c r="M267" s="76"/>
      <c r="N267" s="75"/>
      <c r="O267" s="22"/>
      <c r="P267" s="75"/>
      <c r="Q267" s="75"/>
      <c r="R267" s="20"/>
    </row>
    <row r="268" customFormat="false" ht="15" hidden="false" customHeight="false" outlineLevel="0" collapsed="false">
      <c r="A268" s="21"/>
      <c r="B268" s="20"/>
      <c r="C268" s="22"/>
      <c r="D268" s="75"/>
      <c r="E268" s="75"/>
      <c r="F268" s="75"/>
      <c r="G268" s="75"/>
      <c r="H268" s="75"/>
      <c r="I268" s="22"/>
      <c r="J268" s="22"/>
      <c r="K268" s="19" t="str">
        <f aca="false">IFERROR($I268-INDEX(Cadastro!$N$7:$N$66,MATCH($B268,Cadastro!$B$7:$B$66,0)),"")</f>
        <v/>
      </c>
      <c r="L268" s="76"/>
      <c r="M268" s="76"/>
      <c r="N268" s="75"/>
      <c r="O268" s="22"/>
      <c r="P268" s="75"/>
      <c r="Q268" s="75"/>
      <c r="R268" s="20"/>
    </row>
    <row r="269" customFormat="false" ht="15" hidden="false" customHeight="false" outlineLevel="0" collapsed="false">
      <c r="A269" s="21"/>
      <c r="B269" s="20"/>
      <c r="C269" s="22"/>
      <c r="D269" s="75"/>
      <c r="E269" s="75"/>
      <c r="F269" s="75"/>
      <c r="G269" s="75"/>
      <c r="H269" s="75"/>
      <c r="I269" s="22"/>
      <c r="J269" s="22"/>
      <c r="K269" s="19" t="str">
        <f aca="false">IFERROR($I269-INDEX(Cadastro!$N$7:$N$66,MATCH($B269,Cadastro!$B$7:$B$66,0)),"")</f>
        <v/>
      </c>
      <c r="L269" s="76"/>
      <c r="M269" s="76"/>
      <c r="N269" s="75"/>
      <c r="O269" s="22"/>
      <c r="P269" s="75"/>
      <c r="Q269" s="75"/>
      <c r="R269" s="20"/>
    </row>
    <row r="270" customFormat="false" ht="15" hidden="false" customHeight="false" outlineLevel="0" collapsed="false">
      <c r="A270" s="21"/>
      <c r="B270" s="20"/>
      <c r="C270" s="22"/>
      <c r="D270" s="75"/>
      <c r="E270" s="75"/>
      <c r="F270" s="75"/>
      <c r="G270" s="75"/>
      <c r="H270" s="75"/>
      <c r="I270" s="22"/>
      <c r="J270" s="22"/>
      <c r="K270" s="19" t="str">
        <f aca="false">IFERROR($I270-INDEX(Cadastro!$N$7:$N$66,MATCH($B270,Cadastro!$B$7:$B$66,0)),"")</f>
        <v/>
      </c>
      <c r="L270" s="76"/>
      <c r="M270" s="76"/>
      <c r="N270" s="75"/>
      <c r="O270" s="22"/>
      <c r="P270" s="75"/>
      <c r="Q270" s="75"/>
      <c r="R270" s="20"/>
    </row>
    <row r="271" customFormat="false" ht="15" hidden="false" customHeight="false" outlineLevel="0" collapsed="false">
      <c r="A271" s="21"/>
      <c r="B271" s="20"/>
      <c r="C271" s="22"/>
      <c r="D271" s="75"/>
      <c r="E271" s="75"/>
      <c r="F271" s="75"/>
      <c r="G271" s="75"/>
      <c r="H271" s="75"/>
      <c r="I271" s="22"/>
      <c r="J271" s="22"/>
      <c r="K271" s="19" t="str">
        <f aca="false">IFERROR($I271-INDEX(Cadastro!$N$7:$N$66,MATCH($B271,Cadastro!$B$7:$B$66,0)),"")</f>
        <v/>
      </c>
      <c r="L271" s="76"/>
      <c r="M271" s="76"/>
      <c r="N271" s="75"/>
      <c r="O271" s="22"/>
      <c r="P271" s="75"/>
      <c r="Q271" s="75"/>
      <c r="R271" s="20"/>
    </row>
    <row r="272" customFormat="false" ht="15" hidden="false" customHeight="false" outlineLevel="0" collapsed="false">
      <c r="A272" s="21"/>
      <c r="B272" s="20"/>
      <c r="C272" s="22"/>
      <c r="D272" s="75"/>
      <c r="E272" s="75"/>
      <c r="F272" s="75"/>
      <c r="G272" s="75"/>
      <c r="H272" s="75"/>
      <c r="I272" s="22"/>
      <c r="J272" s="22"/>
      <c r="K272" s="19" t="str">
        <f aca="false">IFERROR($I272-INDEX(Cadastro!$N$7:$N$66,MATCH($B272,Cadastro!$B$7:$B$66,0)),"")</f>
        <v/>
      </c>
      <c r="L272" s="76"/>
      <c r="M272" s="76"/>
      <c r="N272" s="75"/>
      <c r="O272" s="22"/>
      <c r="P272" s="75"/>
      <c r="Q272" s="75"/>
      <c r="R272" s="20"/>
    </row>
    <row r="273" customFormat="false" ht="15" hidden="false" customHeight="false" outlineLevel="0" collapsed="false">
      <c r="A273" s="21"/>
      <c r="B273" s="20"/>
      <c r="C273" s="22"/>
      <c r="D273" s="75"/>
      <c r="E273" s="75"/>
      <c r="F273" s="75"/>
      <c r="G273" s="75"/>
      <c r="H273" s="75"/>
      <c r="I273" s="22"/>
      <c r="J273" s="22"/>
      <c r="K273" s="19" t="str">
        <f aca="false">IFERROR($I273-INDEX(Cadastro!$N$7:$N$66,MATCH($B273,Cadastro!$B$7:$B$66,0)),"")</f>
        <v/>
      </c>
      <c r="L273" s="76"/>
      <c r="M273" s="76"/>
      <c r="N273" s="75"/>
      <c r="O273" s="22"/>
      <c r="P273" s="75"/>
      <c r="Q273" s="75"/>
      <c r="R273" s="20"/>
    </row>
    <row r="274" customFormat="false" ht="15" hidden="false" customHeight="false" outlineLevel="0" collapsed="false">
      <c r="A274" s="21"/>
      <c r="B274" s="20"/>
      <c r="C274" s="22"/>
      <c r="D274" s="75"/>
      <c r="E274" s="75"/>
      <c r="F274" s="75"/>
      <c r="G274" s="75"/>
      <c r="H274" s="75"/>
      <c r="I274" s="22"/>
      <c r="J274" s="22"/>
      <c r="K274" s="19" t="str">
        <f aca="false">IFERROR($I274-INDEX(Cadastro!$N$7:$N$66,MATCH($B274,Cadastro!$B$7:$B$66,0)),"")</f>
        <v/>
      </c>
      <c r="L274" s="76"/>
      <c r="M274" s="76"/>
      <c r="N274" s="75"/>
      <c r="O274" s="22"/>
      <c r="P274" s="75"/>
      <c r="Q274" s="75"/>
      <c r="R274" s="20"/>
    </row>
    <row r="275" customFormat="false" ht="15" hidden="false" customHeight="false" outlineLevel="0" collapsed="false">
      <c r="A275" s="21"/>
      <c r="B275" s="20"/>
      <c r="C275" s="22"/>
      <c r="D275" s="75"/>
      <c r="E275" s="75"/>
      <c r="F275" s="75"/>
      <c r="G275" s="75"/>
      <c r="H275" s="75"/>
      <c r="I275" s="22"/>
      <c r="J275" s="22"/>
      <c r="K275" s="19" t="str">
        <f aca="false">IFERROR($I275-INDEX(Cadastro!$N$7:$N$66,MATCH($B275,Cadastro!$B$7:$B$66,0)),"")</f>
        <v/>
      </c>
      <c r="L275" s="76"/>
      <c r="M275" s="76"/>
      <c r="N275" s="75"/>
      <c r="O275" s="22"/>
      <c r="P275" s="75"/>
      <c r="Q275" s="75"/>
      <c r="R275" s="20"/>
    </row>
    <row r="276" customFormat="false" ht="15" hidden="false" customHeight="false" outlineLevel="0" collapsed="false">
      <c r="A276" s="21"/>
      <c r="B276" s="20"/>
      <c r="C276" s="22"/>
      <c r="D276" s="75"/>
      <c r="E276" s="75"/>
      <c r="F276" s="75"/>
      <c r="G276" s="75"/>
      <c r="H276" s="75"/>
      <c r="I276" s="22"/>
      <c r="J276" s="22"/>
      <c r="K276" s="19" t="str">
        <f aca="false">IFERROR($I276-INDEX(Cadastro!$N$7:$N$66,MATCH($B276,Cadastro!$B$7:$B$66,0)),"")</f>
        <v/>
      </c>
      <c r="L276" s="76"/>
      <c r="M276" s="76"/>
      <c r="N276" s="75"/>
      <c r="O276" s="22"/>
      <c r="P276" s="75"/>
      <c r="Q276" s="75"/>
      <c r="R276" s="20"/>
    </row>
    <row r="277" customFormat="false" ht="15" hidden="false" customHeight="false" outlineLevel="0" collapsed="false">
      <c r="A277" s="21"/>
      <c r="B277" s="20"/>
      <c r="C277" s="22"/>
      <c r="D277" s="75"/>
      <c r="E277" s="75"/>
      <c r="F277" s="75"/>
      <c r="G277" s="75"/>
      <c r="H277" s="75"/>
      <c r="I277" s="22"/>
      <c r="J277" s="22"/>
      <c r="K277" s="19" t="str">
        <f aca="false">IFERROR($I277-INDEX(Cadastro!$N$7:$N$66,MATCH($B277,Cadastro!$B$7:$B$66,0)),"")</f>
        <v/>
      </c>
      <c r="L277" s="76"/>
      <c r="M277" s="76"/>
      <c r="N277" s="75"/>
      <c r="O277" s="22"/>
      <c r="P277" s="75"/>
      <c r="Q277" s="75"/>
      <c r="R277" s="20"/>
    </row>
    <row r="278" customFormat="false" ht="15" hidden="false" customHeight="false" outlineLevel="0" collapsed="false">
      <c r="A278" s="21"/>
      <c r="B278" s="20"/>
      <c r="C278" s="22"/>
      <c r="D278" s="75"/>
      <c r="E278" s="75"/>
      <c r="F278" s="75"/>
      <c r="G278" s="75"/>
      <c r="H278" s="75"/>
      <c r="I278" s="22"/>
      <c r="J278" s="22"/>
      <c r="K278" s="19" t="str">
        <f aca="false">IFERROR($I278-INDEX(Cadastro!$N$7:$N$66,MATCH($B278,Cadastro!$B$7:$B$66,0)),"")</f>
        <v/>
      </c>
      <c r="L278" s="76"/>
      <c r="M278" s="76"/>
      <c r="N278" s="75"/>
      <c r="O278" s="22"/>
      <c r="P278" s="75"/>
      <c r="Q278" s="75"/>
      <c r="R278" s="20"/>
    </row>
    <row r="279" customFormat="false" ht="15" hidden="false" customHeight="false" outlineLevel="0" collapsed="false">
      <c r="A279" s="21"/>
      <c r="B279" s="20"/>
      <c r="C279" s="22"/>
      <c r="D279" s="75"/>
      <c r="E279" s="75"/>
      <c r="F279" s="75"/>
      <c r="G279" s="75"/>
      <c r="H279" s="75"/>
      <c r="I279" s="22"/>
      <c r="J279" s="22"/>
      <c r="K279" s="19" t="str">
        <f aca="false">IFERROR($I279-INDEX(Cadastro!$N$7:$N$66,MATCH($B279,Cadastro!$B$7:$B$66,0)),"")</f>
        <v/>
      </c>
      <c r="L279" s="76"/>
      <c r="M279" s="76"/>
      <c r="N279" s="75"/>
      <c r="O279" s="22"/>
      <c r="P279" s="75"/>
      <c r="Q279" s="75"/>
      <c r="R279" s="20"/>
    </row>
    <row r="280" customFormat="false" ht="15" hidden="false" customHeight="false" outlineLevel="0" collapsed="false">
      <c r="A280" s="21"/>
      <c r="B280" s="20"/>
      <c r="C280" s="22"/>
      <c r="D280" s="75"/>
      <c r="E280" s="75"/>
      <c r="F280" s="75"/>
      <c r="G280" s="75"/>
      <c r="H280" s="75"/>
      <c r="I280" s="22"/>
      <c r="J280" s="22"/>
      <c r="K280" s="19" t="str">
        <f aca="false">IFERROR($I280-INDEX(Cadastro!$N$7:$N$66,MATCH($B280,Cadastro!$B$7:$B$66,0)),"")</f>
        <v/>
      </c>
      <c r="L280" s="76"/>
      <c r="M280" s="76"/>
      <c r="N280" s="75"/>
      <c r="O280" s="22"/>
      <c r="P280" s="75"/>
      <c r="Q280" s="75"/>
      <c r="R280" s="20"/>
    </row>
    <row r="281" customFormat="false" ht="15" hidden="false" customHeight="false" outlineLevel="0" collapsed="false">
      <c r="A281" s="21"/>
      <c r="B281" s="20"/>
      <c r="C281" s="22"/>
      <c r="D281" s="75"/>
      <c r="E281" s="75"/>
      <c r="F281" s="75"/>
      <c r="G281" s="75"/>
      <c r="H281" s="75"/>
      <c r="I281" s="22"/>
      <c r="J281" s="22"/>
      <c r="K281" s="19" t="str">
        <f aca="false">IFERROR($I281-INDEX(Cadastro!$N$7:$N$66,MATCH($B281,Cadastro!$B$7:$B$66,0)),"")</f>
        <v/>
      </c>
      <c r="L281" s="76"/>
      <c r="M281" s="76"/>
      <c r="N281" s="75"/>
      <c r="O281" s="22"/>
      <c r="P281" s="75"/>
      <c r="Q281" s="75"/>
      <c r="R281" s="20"/>
    </row>
    <row r="282" customFormat="false" ht="15" hidden="false" customHeight="false" outlineLevel="0" collapsed="false">
      <c r="A282" s="21"/>
      <c r="B282" s="20"/>
      <c r="C282" s="22"/>
      <c r="D282" s="75"/>
      <c r="E282" s="75"/>
      <c r="F282" s="75"/>
      <c r="G282" s="75"/>
      <c r="H282" s="75"/>
      <c r="I282" s="22"/>
      <c r="J282" s="22"/>
      <c r="K282" s="19" t="str">
        <f aca="false">IFERROR($I282-INDEX(Cadastro!$N$7:$N$66,MATCH($B282,Cadastro!$B$7:$B$66,0)),"")</f>
        <v/>
      </c>
      <c r="L282" s="76"/>
      <c r="M282" s="76"/>
      <c r="N282" s="75"/>
      <c r="O282" s="22"/>
      <c r="P282" s="75"/>
      <c r="Q282" s="75"/>
      <c r="R282" s="20"/>
    </row>
    <row r="283" customFormat="false" ht="15" hidden="false" customHeight="false" outlineLevel="0" collapsed="false">
      <c r="A283" s="21"/>
      <c r="B283" s="20"/>
      <c r="C283" s="22"/>
      <c r="D283" s="75"/>
      <c r="E283" s="75"/>
      <c r="F283" s="75"/>
      <c r="G283" s="75"/>
      <c r="H283" s="75"/>
      <c r="I283" s="22"/>
      <c r="J283" s="22"/>
      <c r="K283" s="19" t="str">
        <f aca="false">IFERROR($I283-INDEX(Cadastro!$N$7:$N$66,MATCH($B283,Cadastro!$B$7:$B$66,0)),"")</f>
        <v/>
      </c>
      <c r="L283" s="76"/>
      <c r="M283" s="76"/>
      <c r="N283" s="75"/>
      <c r="O283" s="22"/>
      <c r="P283" s="75"/>
      <c r="Q283" s="75"/>
      <c r="R283" s="20"/>
    </row>
    <row r="284" customFormat="false" ht="15" hidden="false" customHeight="false" outlineLevel="0" collapsed="false">
      <c r="A284" s="21"/>
      <c r="B284" s="20"/>
      <c r="C284" s="22"/>
      <c r="D284" s="75"/>
      <c r="E284" s="75"/>
      <c r="F284" s="75"/>
      <c r="G284" s="75"/>
      <c r="H284" s="75"/>
      <c r="I284" s="22"/>
      <c r="J284" s="22"/>
      <c r="K284" s="19" t="str">
        <f aca="false">IFERROR($I284-INDEX(Cadastro!$N$7:$N$66,MATCH($B284,Cadastro!$B$7:$B$66,0)),"")</f>
        <v/>
      </c>
      <c r="L284" s="76"/>
      <c r="M284" s="76"/>
      <c r="N284" s="75"/>
      <c r="O284" s="22"/>
      <c r="P284" s="75"/>
      <c r="Q284" s="75"/>
      <c r="R284" s="20"/>
    </row>
    <row r="285" customFormat="false" ht="15" hidden="false" customHeight="false" outlineLevel="0" collapsed="false">
      <c r="A285" s="21"/>
      <c r="B285" s="20"/>
      <c r="C285" s="22"/>
      <c r="D285" s="75"/>
      <c r="E285" s="75"/>
      <c r="F285" s="75"/>
      <c r="G285" s="75"/>
      <c r="H285" s="75"/>
      <c r="I285" s="22"/>
      <c r="J285" s="22"/>
      <c r="K285" s="19" t="str">
        <f aca="false">IFERROR($I285-INDEX(Cadastro!$N$7:$N$66,MATCH($B285,Cadastro!$B$7:$B$66,0)),"")</f>
        <v/>
      </c>
      <c r="L285" s="76"/>
      <c r="M285" s="76"/>
      <c r="N285" s="75"/>
      <c r="O285" s="22"/>
      <c r="P285" s="75"/>
      <c r="Q285" s="75"/>
      <c r="R285" s="20"/>
    </row>
    <row r="286" customFormat="false" ht="15" hidden="false" customHeight="false" outlineLevel="0" collapsed="false">
      <c r="A286" s="21"/>
      <c r="B286" s="20"/>
      <c r="C286" s="22"/>
      <c r="D286" s="75"/>
      <c r="E286" s="75"/>
      <c r="F286" s="75"/>
      <c r="G286" s="75"/>
      <c r="H286" s="75"/>
      <c r="I286" s="22"/>
      <c r="J286" s="22"/>
      <c r="K286" s="19" t="str">
        <f aca="false">IFERROR($I286-INDEX(Cadastro!$N$7:$N$66,MATCH($B286,Cadastro!$B$7:$B$66,0)),"")</f>
        <v/>
      </c>
      <c r="L286" s="76"/>
      <c r="M286" s="76"/>
      <c r="N286" s="75"/>
      <c r="O286" s="22"/>
      <c r="P286" s="75"/>
      <c r="Q286" s="75"/>
      <c r="R286" s="20"/>
    </row>
    <row r="287" customFormat="false" ht="15" hidden="false" customHeight="false" outlineLevel="0" collapsed="false">
      <c r="A287" s="21"/>
      <c r="B287" s="20"/>
      <c r="C287" s="22"/>
      <c r="D287" s="75"/>
      <c r="E287" s="75"/>
      <c r="F287" s="75"/>
      <c r="G287" s="75"/>
      <c r="H287" s="75"/>
      <c r="I287" s="22"/>
      <c r="J287" s="22"/>
      <c r="K287" s="19" t="str">
        <f aca="false">IFERROR($I287-INDEX(Cadastro!$N$7:$N$66,MATCH($B287,Cadastro!$B$7:$B$66,0)),"")</f>
        <v/>
      </c>
      <c r="L287" s="76"/>
      <c r="M287" s="76"/>
      <c r="N287" s="75"/>
      <c r="O287" s="22"/>
      <c r="P287" s="75"/>
      <c r="Q287" s="75"/>
      <c r="R287" s="20"/>
    </row>
    <row r="288" customFormat="false" ht="15" hidden="false" customHeight="false" outlineLevel="0" collapsed="false">
      <c r="A288" s="21"/>
      <c r="B288" s="20"/>
      <c r="C288" s="22"/>
      <c r="D288" s="75"/>
      <c r="E288" s="75"/>
      <c r="F288" s="75"/>
      <c r="G288" s="75"/>
      <c r="H288" s="75"/>
      <c r="I288" s="22"/>
      <c r="J288" s="22"/>
      <c r="K288" s="19" t="str">
        <f aca="false">IFERROR($I288-INDEX(Cadastro!$N$7:$N$66,MATCH($B288,Cadastro!$B$7:$B$66,0)),"")</f>
        <v/>
      </c>
      <c r="L288" s="76"/>
      <c r="M288" s="76"/>
      <c r="N288" s="75"/>
      <c r="O288" s="22"/>
      <c r="P288" s="75"/>
      <c r="Q288" s="75"/>
      <c r="R288" s="20"/>
    </row>
    <row r="289" customFormat="false" ht="15" hidden="false" customHeight="false" outlineLevel="0" collapsed="false">
      <c r="A289" s="21"/>
      <c r="B289" s="20"/>
      <c r="C289" s="22"/>
      <c r="D289" s="75"/>
      <c r="E289" s="75"/>
      <c r="F289" s="75"/>
      <c r="G289" s="75"/>
      <c r="H289" s="75"/>
      <c r="I289" s="22"/>
      <c r="J289" s="22"/>
      <c r="K289" s="19" t="str">
        <f aca="false">IFERROR($I289-INDEX(Cadastro!$N$7:$N$66,MATCH($B289,Cadastro!$B$7:$B$66,0)),"")</f>
        <v/>
      </c>
      <c r="L289" s="76"/>
      <c r="M289" s="76"/>
      <c r="N289" s="75"/>
      <c r="O289" s="22"/>
      <c r="P289" s="75"/>
      <c r="Q289" s="75"/>
      <c r="R289" s="20"/>
    </row>
    <row r="290" customFormat="false" ht="15" hidden="false" customHeight="false" outlineLevel="0" collapsed="false">
      <c r="A290" s="21"/>
      <c r="B290" s="20"/>
      <c r="C290" s="22"/>
      <c r="D290" s="75"/>
      <c r="E290" s="75"/>
      <c r="F290" s="75"/>
      <c r="G290" s="75"/>
      <c r="H290" s="75"/>
      <c r="I290" s="22"/>
      <c r="J290" s="22"/>
      <c r="K290" s="19" t="str">
        <f aca="false">IFERROR($I290-INDEX(Cadastro!$N$7:$N$66,MATCH($B290,Cadastro!$B$7:$B$66,0)),"")</f>
        <v/>
      </c>
      <c r="L290" s="76"/>
      <c r="M290" s="76"/>
      <c r="N290" s="75"/>
      <c r="O290" s="22"/>
      <c r="P290" s="75"/>
      <c r="Q290" s="75"/>
      <c r="R290" s="20"/>
    </row>
    <row r="291" customFormat="false" ht="15" hidden="false" customHeight="false" outlineLevel="0" collapsed="false">
      <c r="A291" s="21"/>
      <c r="B291" s="20"/>
      <c r="C291" s="22"/>
      <c r="D291" s="75"/>
      <c r="E291" s="75"/>
      <c r="F291" s="75"/>
      <c r="G291" s="75"/>
      <c r="H291" s="75"/>
      <c r="I291" s="22"/>
      <c r="J291" s="22"/>
      <c r="K291" s="19" t="str">
        <f aca="false">IFERROR($I291-INDEX(Cadastro!$N$7:$N$66,MATCH($B291,Cadastro!$B$7:$B$66,0)),"")</f>
        <v/>
      </c>
      <c r="L291" s="76"/>
      <c r="M291" s="76"/>
      <c r="N291" s="75"/>
      <c r="O291" s="22"/>
      <c r="P291" s="75"/>
      <c r="Q291" s="75"/>
      <c r="R291" s="20"/>
    </row>
    <row r="292" customFormat="false" ht="15" hidden="false" customHeight="false" outlineLevel="0" collapsed="false">
      <c r="A292" s="21"/>
      <c r="B292" s="20"/>
      <c r="C292" s="22"/>
      <c r="D292" s="75"/>
      <c r="E292" s="75"/>
      <c r="F292" s="75"/>
      <c r="G292" s="75"/>
      <c r="H292" s="75"/>
      <c r="I292" s="22"/>
      <c r="J292" s="22"/>
      <c r="K292" s="19" t="str">
        <f aca="false">IFERROR($I292-INDEX(Cadastro!$N$7:$N$66,MATCH($B292,Cadastro!$B$7:$B$66,0)),"")</f>
        <v/>
      </c>
      <c r="L292" s="76"/>
      <c r="M292" s="76"/>
      <c r="N292" s="75"/>
      <c r="O292" s="22"/>
      <c r="P292" s="75"/>
      <c r="Q292" s="75"/>
      <c r="R292" s="20"/>
    </row>
    <row r="293" customFormat="false" ht="15" hidden="false" customHeight="false" outlineLevel="0" collapsed="false">
      <c r="A293" s="21"/>
      <c r="B293" s="20"/>
      <c r="C293" s="22"/>
      <c r="D293" s="75"/>
      <c r="E293" s="75"/>
      <c r="F293" s="75"/>
      <c r="G293" s="75"/>
      <c r="H293" s="75"/>
      <c r="I293" s="22"/>
      <c r="J293" s="22"/>
      <c r="K293" s="19" t="str">
        <f aca="false">IFERROR($I293-INDEX(Cadastro!$N$7:$N$66,MATCH($B293,Cadastro!$B$7:$B$66,0)),"")</f>
        <v/>
      </c>
      <c r="L293" s="76"/>
      <c r="M293" s="76"/>
      <c r="N293" s="75"/>
      <c r="O293" s="22"/>
      <c r="P293" s="75"/>
      <c r="Q293" s="75"/>
      <c r="R293" s="20"/>
    </row>
    <row r="294" customFormat="false" ht="15" hidden="false" customHeight="false" outlineLevel="0" collapsed="false">
      <c r="A294" s="21"/>
      <c r="B294" s="20"/>
      <c r="C294" s="22"/>
      <c r="D294" s="75"/>
      <c r="E294" s="75"/>
      <c r="F294" s="75"/>
      <c r="G294" s="75"/>
      <c r="H294" s="75"/>
      <c r="I294" s="22"/>
      <c r="J294" s="22"/>
      <c r="K294" s="19" t="str">
        <f aca="false">IFERROR($I294-INDEX(Cadastro!$N$7:$N$66,MATCH($B294,Cadastro!$B$7:$B$66,0)),"")</f>
        <v/>
      </c>
      <c r="L294" s="76"/>
      <c r="M294" s="76"/>
      <c r="N294" s="75"/>
      <c r="O294" s="22"/>
      <c r="P294" s="75"/>
      <c r="Q294" s="75"/>
      <c r="R294" s="20"/>
    </row>
    <row r="295" customFormat="false" ht="15" hidden="false" customHeight="false" outlineLevel="0" collapsed="false">
      <c r="A295" s="21"/>
      <c r="B295" s="20"/>
      <c r="C295" s="22"/>
      <c r="D295" s="75"/>
      <c r="E295" s="75"/>
      <c r="F295" s="75"/>
      <c r="G295" s="75"/>
      <c r="H295" s="75"/>
      <c r="I295" s="22"/>
      <c r="J295" s="22"/>
      <c r="K295" s="19" t="str">
        <f aca="false">IFERROR($I295-INDEX(Cadastro!$N$7:$N$66,MATCH($B295,Cadastro!$B$7:$B$66,0)),"")</f>
        <v/>
      </c>
      <c r="L295" s="76"/>
      <c r="M295" s="76"/>
      <c r="N295" s="75"/>
      <c r="O295" s="22"/>
      <c r="P295" s="75"/>
      <c r="Q295" s="75"/>
      <c r="R295" s="20"/>
    </row>
    <row r="296" customFormat="false" ht="15" hidden="false" customHeight="false" outlineLevel="0" collapsed="false">
      <c r="A296" s="21"/>
      <c r="B296" s="20"/>
      <c r="C296" s="22"/>
      <c r="D296" s="75"/>
      <c r="E296" s="75"/>
      <c r="F296" s="75"/>
      <c r="G296" s="75"/>
      <c r="H296" s="75"/>
      <c r="I296" s="22"/>
      <c r="J296" s="22"/>
      <c r="K296" s="19" t="str">
        <f aca="false">IFERROR($I296-INDEX(Cadastro!$N$7:$N$66,MATCH($B296,Cadastro!$B$7:$B$66,0)),"")</f>
        <v/>
      </c>
      <c r="L296" s="76"/>
      <c r="M296" s="76"/>
      <c r="N296" s="75"/>
      <c r="O296" s="22"/>
      <c r="P296" s="75"/>
      <c r="Q296" s="75"/>
      <c r="R296" s="20"/>
    </row>
    <row r="297" customFormat="false" ht="15" hidden="false" customHeight="false" outlineLevel="0" collapsed="false">
      <c r="A297" s="21"/>
      <c r="B297" s="20"/>
      <c r="C297" s="22"/>
      <c r="D297" s="75"/>
      <c r="E297" s="75"/>
      <c r="F297" s="75"/>
      <c r="G297" s="75"/>
      <c r="H297" s="75"/>
      <c r="I297" s="22"/>
      <c r="J297" s="22"/>
      <c r="K297" s="19" t="str">
        <f aca="false">IFERROR($I297-INDEX(Cadastro!$N$7:$N$66,MATCH($B297,Cadastro!$B$7:$B$66,0)),"")</f>
        <v/>
      </c>
      <c r="L297" s="76"/>
      <c r="M297" s="76"/>
      <c r="N297" s="75"/>
      <c r="O297" s="22"/>
      <c r="P297" s="75"/>
      <c r="Q297" s="75"/>
      <c r="R297" s="20"/>
    </row>
    <row r="298" customFormat="false" ht="15" hidden="false" customHeight="false" outlineLevel="0" collapsed="false">
      <c r="A298" s="21"/>
      <c r="B298" s="20"/>
      <c r="C298" s="22"/>
      <c r="D298" s="75"/>
      <c r="E298" s="75"/>
      <c r="F298" s="75"/>
      <c r="G298" s="75"/>
      <c r="H298" s="75"/>
      <c r="I298" s="22"/>
      <c r="J298" s="22"/>
      <c r="K298" s="19" t="str">
        <f aca="false">IFERROR($I298-INDEX(Cadastro!$N$7:$N$66,MATCH($B298,Cadastro!$B$7:$B$66,0)),"")</f>
        <v/>
      </c>
      <c r="L298" s="76"/>
      <c r="M298" s="76"/>
      <c r="N298" s="75"/>
      <c r="O298" s="22"/>
      <c r="P298" s="75"/>
      <c r="Q298" s="75"/>
      <c r="R298" s="20"/>
    </row>
    <row r="299" customFormat="false" ht="15" hidden="false" customHeight="false" outlineLevel="0" collapsed="false">
      <c r="A299" s="21"/>
      <c r="B299" s="20"/>
      <c r="C299" s="22"/>
      <c r="D299" s="75"/>
      <c r="E299" s="75"/>
      <c r="F299" s="75"/>
      <c r="G299" s="75"/>
      <c r="H299" s="75"/>
      <c r="I299" s="22"/>
      <c r="J299" s="22"/>
      <c r="K299" s="19" t="str">
        <f aca="false">IFERROR($I299-INDEX(Cadastro!$N$7:$N$66,MATCH($B299,Cadastro!$B$7:$B$66,0)),"")</f>
        <v/>
      </c>
      <c r="L299" s="76"/>
      <c r="M299" s="76"/>
      <c r="N299" s="75"/>
      <c r="O299" s="22"/>
      <c r="P299" s="75"/>
      <c r="Q299" s="75"/>
      <c r="R299" s="20"/>
    </row>
    <row r="300" customFormat="false" ht="15" hidden="false" customHeight="false" outlineLevel="0" collapsed="false">
      <c r="A300" s="21"/>
      <c r="B300" s="20"/>
      <c r="C300" s="22"/>
      <c r="D300" s="75"/>
      <c r="E300" s="75"/>
      <c r="F300" s="75"/>
      <c r="G300" s="75"/>
      <c r="H300" s="75"/>
      <c r="I300" s="22"/>
      <c r="J300" s="22"/>
      <c r="K300" s="19" t="str">
        <f aca="false">IFERROR($I300-INDEX(Cadastro!$N$7:$N$66,MATCH($B300,Cadastro!$B$7:$B$66,0)),"")</f>
        <v/>
      </c>
      <c r="L300" s="76"/>
      <c r="M300" s="76"/>
      <c r="N300" s="75"/>
      <c r="O300" s="22"/>
      <c r="P300" s="75"/>
      <c r="Q300" s="75"/>
      <c r="R300" s="20"/>
    </row>
    <row r="301" customFormat="false" ht="15" hidden="false" customHeight="false" outlineLevel="0" collapsed="false">
      <c r="A301" s="21"/>
      <c r="B301" s="20"/>
      <c r="C301" s="22"/>
      <c r="D301" s="75"/>
      <c r="E301" s="75"/>
      <c r="F301" s="75"/>
      <c r="G301" s="75"/>
      <c r="H301" s="75"/>
      <c r="I301" s="22"/>
      <c r="J301" s="22"/>
      <c r="K301" s="19" t="str">
        <f aca="false">IFERROR($I301-INDEX(Cadastro!$N$7:$N$66,MATCH($B301,Cadastro!$B$7:$B$66,0)),"")</f>
        <v/>
      </c>
      <c r="L301" s="76"/>
      <c r="M301" s="76"/>
      <c r="N301" s="75"/>
      <c r="O301" s="22"/>
      <c r="P301" s="75"/>
      <c r="Q301" s="75"/>
      <c r="R301" s="20"/>
    </row>
    <row r="302" customFormat="false" ht="15" hidden="false" customHeight="false" outlineLevel="0" collapsed="false">
      <c r="A302" s="21"/>
      <c r="B302" s="20"/>
      <c r="C302" s="22"/>
      <c r="D302" s="75"/>
      <c r="E302" s="75"/>
      <c r="F302" s="75"/>
      <c r="G302" s="75"/>
      <c r="H302" s="75"/>
      <c r="I302" s="22"/>
      <c r="J302" s="22"/>
      <c r="K302" s="19" t="str">
        <f aca="false">IFERROR($I302-INDEX(Cadastro!$N$7:$N$66,MATCH($B302,Cadastro!$B$7:$B$66,0)),"")</f>
        <v/>
      </c>
      <c r="L302" s="76"/>
      <c r="M302" s="76"/>
      <c r="N302" s="75"/>
      <c r="O302" s="22"/>
      <c r="P302" s="75"/>
      <c r="Q302" s="75"/>
      <c r="R302" s="20"/>
    </row>
    <row r="303" customFormat="false" ht="15" hidden="false" customHeight="false" outlineLevel="0" collapsed="false">
      <c r="A303" s="21"/>
      <c r="B303" s="20"/>
      <c r="C303" s="22"/>
      <c r="D303" s="75"/>
      <c r="E303" s="75"/>
      <c r="F303" s="75"/>
      <c r="G303" s="75"/>
      <c r="H303" s="75"/>
      <c r="I303" s="22"/>
      <c r="J303" s="22"/>
      <c r="K303" s="19" t="str">
        <f aca="false">IFERROR($I303-INDEX(Cadastro!$N$7:$N$66,MATCH($B303,Cadastro!$B$7:$B$66,0)),"")</f>
        <v/>
      </c>
      <c r="L303" s="76"/>
      <c r="M303" s="76"/>
      <c r="N303" s="75"/>
      <c r="O303" s="22"/>
      <c r="P303" s="75"/>
      <c r="Q303" s="75"/>
      <c r="R303" s="20"/>
    </row>
    <row r="304" customFormat="false" ht="15" hidden="false" customHeight="false" outlineLevel="0" collapsed="false">
      <c r="A304" s="21"/>
      <c r="B304" s="20"/>
      <c r="C304" s="22"/>
      <c r="D304" s="75"/>
      <c r="E304" s="75"/>
      <c r="F304" s="75"/>
      <c r="G304" s="75"/>
      <c r="H304" s="75"/>
      <c r="I304" s="22"/>
      <c r="J304" s="22"/>
      <c r="K304" s="19" t="str">
        <f aca="false">IFERROR($I304-INDEX(Cadastro!$N$7:$N$66,MATCH($B304,Cadastro!$B$7:$B$66,0)),"")</f>
        <v/>
      </c>
      <c r="L304" s="76"/>
      <c r="M304" s="76"/>
      <c r="N304" s="75"/>
      <c r="O304" s="22"/>
      <c r="P304" s="75"/>
      <c r="Q304" s="75"/>
      <c r="R304" s="20"/>
    </row>
    <row r="305" customFormat="false" ht="15" hidden="false" customHeight="false" outlineLevel="0" collapsed="false">
      <c r="A305" s="21"/>
      <c r="B305" s="20"/>
      <c r="C305" s="22"/>
      <c r="D305" s="75"/>
      <c r="E305" s="75"/>
      <c r="F305" s="75"/>
      <c r="G305" s="75"/>
      <c r="H305" s="75"/>
      <c r="I305" s="22"/>
      <c r="J305" s="22"/>
      <c r="K305" s="19" t="str">
        <f aca="false">IFERROR($I305-INDEX(Cadastro!$N$7:$N$66,MATCH($B305,Cadastro!$B$7:$B$66,0)),"")</f>
        <v/>
      </c>
      <c r="L305" s="76"/>
      <c r="M305" s="76"/>
      <c r="N305" s="75"/>
      <c r="O305" s="22"/>
      <c r="P305" s="75"/>
      <c r="Q305" s="75"/>
      <c r="R305" s="20"/>
    </row>
    <row r="306" customFormat="false" ht="15" hidden="false" customHeight="false" outlineLevel="0" collapsed="false">
      <c r="A306" s="21"/>
      <c r="B306" s="20"/>
      <c r="C306" s="22"/>
      <c r="D306" s="75"/>
      <c r="E306" s="75"/>
      <c r="F306" s="75"/>
      <c r="G306" s="75"/>
      <c r="H306" s="75"/>
      <c r="I306" s="22"/>
      <c r="J306" s="22"/>
      <c r="K306" s="19" t="str">
        <f aca="false">IFERROR($I306-INDEX(Cadastro!$N$7:$N$66,MATCH($B306,Cadastro!$B$7:$B$66,0)),"")</f>
        <v/>
      </c>
      <c r="L306" s="76"/>
      <c r="M306" s="76"/>
      <c r="N306" s="75"/>
      <c r="O306" s="22"/>
      <c r="P306" s="75"/>
      <c r="Q306" s="75"/>
      <c r="R306" s="20"/>
    </row>
    <row r="307" customFormat="false" ht="15" hidden="false" customHeight="false" outlineLevel="0" collapsed="false">
      <c r="A307" s="21"/>
      <c r="B307" s="20"/>
      <c r="C307" s="22"/>
      <c r="D307" s="75"/>
      <c r="E307" s="75"/>
      <c r="F307" s="75"/>
      <c r="G307" s="75"/>
      <c r="H307" s="75"/>
      <c r="I307" s="22"/>
      <c r="J307" s="22"/>
      <c r="K307" s="19" t="str">
        <f aca="false">IFERROR($I307-INDEX(Cadastro!$N$7:$N$66,MATCH($B307,Cadastro!$B$7:$B$66,0)),"")</f>
        <v/>
      </c>
      <c r="L307" s="76"/>
      <c r="M307" s="76"/>
      <c r="N307" s="75"/>
      <c r="O307" s="22"/>
      <c r="P307" s="75"/>
      <c r="Q307" s="75"/>
      <c r="R307" s="20"/>
    </row>
    <row r="308" customFormat="false" ht="15" hidden="false" customHeight="false" outlineLevel="0" collapsed="false">
      <c r="A308" s="21"/>
      <c r="B308" s="20"/>
      <c r="C308" s="22"/>
      <c r="D308" s="75"/>
      <c r="E308" s="75"/>
      <c r="F308" s="75"/>
      <c r="G308" s="75"/>
      <c r="H308" s="75"/>
      <c r="I308" s="22"/>
      <c r="J308" s="22"/>
      <c r="K308" s="19" t="str">
        <f aca="false">IFERROR($I308-INDEX(Cadastro!$N$7:$N$66,MATCH($B308,Cadastro!$B$7:$B$66,0)),"")</f>
        <v/>
      </c>
      <c r="L308" s="76"/>
      <c r="M308" s="76"/>
      <c r="N308" s="75"/>
      <c r="O308" s="22"/>
      <c r="P308" s="75"/>
      <c r="Q308" s="75"/>
      <c r="R308" s="20"/>
    </row>
    <row r="309" customFormat="false" ht="15" hidden="false" customHeight="false" outlineLevel="0" collapsed="false">
      <c r="A309" s="21"/>
      <c r="B309" s="20"/>
      <c r="C309" s="22"/>
      <c r="D309" s="75"/>
      <c r="E309" s="75"/>
      <c r="F309" s="75"/>
      <c r="G309" s="75"/>
      <c r="H309" s="75"/>
      <c r="I309" s="22"/>
      <c r="J309" s="22"/>
      <c r="K309" s="19" t="str">
        <f aca="false">IFERROR($I309-INDEX(Cadastro!$N$7:$N$66,MATCH($B309,Cadastro!$B$7:$B$66,0)),"")</f>
        <v/>
      </c>
      <c r="L309" s="76"/>
      <c r="M309" s="76"/>
      <c r="N309" s="75"/>
      <c r="O309" s="22"/>
      <c r="P309" s="75"/>
      <c r="Q309" s="75"/>
      <c r="R309" s="20"/>
    </row>
    <row r="310" customFormat="false" ht="15" hidden="false" customHeight="false" outlineLevel="0" collapsed="false">
      <c r="A310" s="21"/>
      <c r="B310" s="20"/>
      <c r="C310" s="22"/>
      <c r="D310" s="75"/>
      <c r="E310" s="75"/>
      <c r="F310" s="75"/>
      <c r="G310" s="75"/>
      <c r="H310" s="75"/>
      <c r="I310" s="22"/>
      <c r="J310" s="22"/>
      <c r="K310" s="19" t="str">
        <f aca="false">IFERROR($I310-INDEX(Cadastro!$N$7:$N$66,MATCH($B310,Cadastro!$B$7:$B$66,0)),"")</f>
        <v/>
      </c>
      <c r="L310" s="76"/>
      <c r="M310" s="76"/>
      <c r="N310" s="75"/>
      <c r="O310" s="22"/>
      <c r="P310" s="75"/>
      <c r="Q310" s="75"/>
      <c r="R310" s="20"/>
    </row>
    <row r="311" customFormat="false" ht="15" hidden="false" customHeight="false" outlineLevel="0" collapsed="false">
      <c r="A311" s="21"/>
      <c r="B311" s="20"/>
      <c r="C311" s="22"/>
      <c r="D311" s="75"/>
      <c r="E311" s="75"/>
      <c r="F311" s="75"/>
      <c r="G311" s="75"/>
      <c r="H311" s="75"/>
      <c r="I311" s="22"/>
      <c r="J311" s="22"/>
      <c r="K311" s="19" t="str">
        <f aca="false">IFERROR($I311-INDEX(Cadastro!$N$7:$N$66,MATCH($B311,Cadastro!$B$7:$B$66,0)),"")</f>
        <v/>
      </c>
      <c r="L311" s="76"/>
      <c r="M311" s="76"/>
      <c r="N311" s="75"/>
      <c r="O311" s="22"/>
      <c r="P311" s="75"/>
      <c r="Q311" s="75"/>
      <c r="R311" s="20"/>
    </row>
    <row r="312" customFormat="false" ht="15" hidden="false" customHeight="false" outlineLevel="0" collapsed="false">
      <c r="A312" s="21"/>
      <c r="B312" s="20"/>
      <c r="C312" s="22"/>
      <c r="D312" s="75"/>
      <c r="E312" s="75"/>
      <c r="F312" s="75"/>
      <c r="G312" s="75"/>
      <c r="H312" s="75"/>
      <c r="I312" s="22"/>
      <c r="J312" s="22"/>
      <c r="K312" s="19" t="str">
        <f aca="false">IFERROR($I312-INDEX(Cadastro!$N$7:$N$66,MATCH($B312,Cadastro!$B$7:$B$66,0)),"")</f>
        <v/>
      </c>
      <c r="L312" s="76"/>
      <c r="M312" s="76"/>
      <c r="N312" s="75"/>
      <c r="O312" s="22"/>
      <c r="P312" s="75"/>
      <c r="Q312" s="75"/>
      <c r="R312" s="20"/>
    </row>
    <row r="313" customFormat="false" ht="15" hidden="false" customHeight="false" outlineLevel="0" collapsed="false">
      <c r="A313" s="21"/>
      <c r="B313" s="20"/>
      <c r="C313" s="22"/>
      <c r="D313" s="75"/>
      <c r="E313" s="75"/>
      <c r="F313" s="75"/>
      <c r="G313" s="75"/>
      <c r="H313" s="75"/>
      <c r="I313" s="22"/>
      <c r="J313" s="22"/>
      <c r="K313" s="19" t="str">
        <f aca="false">IFERROR($I313-INDEX(Cadastro!$N$7:$N$66,MATCH($B313,Cadastro!$B$7:$B$66,0)),"")</f>
        <v/>
      </c>
      <c r="L313" s="76"/>
      <c r="M313" s="76"/>
      <c r="N313" s="75"/>
      <c r="O313" s="22"/>
      <c r="P313" s="75"/>
      <c r="Q313" s="75"/>
      <c r="R313" s="20"/>
    </row>
    <row r="314" customFormat="false" ht="15" hidden="false" customHeight="false" outlineLevel="0" collapsed="false">
      <c r="A314" s="21"/>
      <c r="B314" s="20"/>
      <c r="C314" s="22"/>
      <c r="D314" s="75"/>
      <c r="E314" s="75"/>
      <c r="F314" s="75"/>
      <c r="G314" s="75"/>
      <c r="H314" s="75"/>
      <c r="I314" s="22"/>
      <c r="J314" s="22"/>
      <c r="K314" s="19" t="str">
        <f aca="false">IFERROR($I314-INDEX(Cadastro!$N$7:$N$66,MATCH($B314,Cadastro!$B$7:$B$66,0)),"")</f>
        <v/>
      </c>
      <c r="L314" s="76"/>
      <c r="M314" s="76"/>
      <c r="N314" s="75"/>
      <c r="O314" s="22"/>
      <c r="P314" s="75"/>
      <c r="Q314" s="75"/>
      <c r="R314" s="20"/>
    </row>
    <row r="315" customFormat="false" ht="15" hidden="false" customHeight="false" outlineLevel="0" collapsed="false">
      <c r="A315" s="21"/>
      <c r="B315" s="20"/>
      <c r="C315" s="22"/>
      <c r="D315" s="75"/>
      <c r="E315" s="75"/>
      <c r="F315" s="75"/>
      <c r="G315" s="75"/>
      <c r="H315" s="75"/>
      <c r="I315" s="22"/>
      <c r="J315" s="22"/>
      <c r="K315" s="19" t="str">
        <f aca="false">IFERROR($I315-INDEX(Cadastro!$N$7:$N$66,MATCH($B315,Cadastro!$B$7:$B$66,0)),"")</f>
        <v/>
      </c>
      <c r="L315" s="76"/>
      <c r="M315" s="76"/>
      <c r="N315" s="75"/>
      <c r="O315" s="22"/>
      <c r="P315" s="75"/>
      <c r="Q315" s="75"/>
      <c r="R315" s="20"/>
    </row>
    <row r="316" customFormat="false" ht="15" hidden="false" customHeight="false" outlineLevel="0" collapsed="false">
      <c r="A316" s="21"/>
      <c r="B316" s="20"/>
      <c r="C316" s="22"/>
      <c r="D316" s="75"/>
      <c r="E316" s="75"/>
      <c r="F316" s="75"/>
      <c r="G316" s="75"/>
      <c r="H316" s="75"/>
      <c r="I316" s="22"/>
      <c r="J316" s="22"/>
      <c r="K316" s="19" t="str">
        <f aca="false">IFERROR($I316-INDEX(Cadastro!$N$7:$N$66,MATCH($B316,Cadastro!$B$7:$B$66,0)),"")</f>
        <v/>
      </c>
      <c r="L316" s="76"/>
      <c r="M316" s="76"/>
      <c r="N316" s="75"/>
      <c r="O316" s="22"/>
      <c r="P316" s="75"/>
      <c r="Q316" s="75"/>
      <c r="R316" s="20"/>
    </row>
    <row r="317" customFormat="false" ht="15" hidden="false" customHeight="false" outlineLevel="0" collapsed="false">
      <c r="A317" s="21"/>
      <c r="B317" s="20"/>
      <c r="C317" s="22"/>
      <c r="D317" s="75"/>
      <c r="E317" s="75"/>
      <c r="F317" s="75"/>
      <c r="G317" s="75"/>
      <c r="H317" s="75"/>
      <c r="I317" s="22"/>
      <c r="J317" s="22"/>
      <c r="K317" s="19" t="str">
        <f aca="false">IFERROR($I317-INDEX(Cadastro!$N$7:$N$66,MATCH($B317,Cadastro!$B$7:$B$66,0)),"")</f>
        <v/>
      </c>
      <c r="L317" s="76"/>
      <c r="M317" s="76"/>
      <c r="N317" s="75"/>
      <c r="O317" s="22"/>
      <c r="P317" s="75"/>
      <c r="Q317" s="75"/>
      <c r="R317" s="20"/>
    </row>
    <row r="318" customFormat="false" ht="15" hidden="false" customHeight="false" outlineLevel="0" collapsed="false">
      <c r="A318" s="21"/>
      <c r="B318" s="20"/>
      <c r="C318" s="22"/>
      <c r="D318" s="75"/>
      <c r="E318" s="75"/>
      <c r="F318" s="75"/>
      <c r="G318" s="75"/>
      <c r="H318" s="75"/>
      <c r="I318" s="22"/>
      <c r="J318" s="22"/>
      <c r="K318" s="19" t="str">
        <f aca="false">IFERROR($I318-INDEX(Cadastro!$N$7:$N$66,MATCH($B318,Cadastro!$B$7:$B$66,0)),"")</f>
        <v/>
      </c>
      <c r="L318" s="76"/>
      <c r="M318" s="76"/>
      <c r="N318" s="75"/>
      <c r="O318" s="22"/>
      <c r="P318" s="75"/>
      <c r="Q318" s="75"/>
      <c r="R318" s="20"/>
    </row>
    <row r="319" customFormat="false" ht="15" hidden="false" customHeight="false" outlineLevel="0" collapsed="false">
      <c r="A319" s="21"/>
      <c r="B319" s="20"/>
      <c r="C319" s="22"/>
      <c r="D319" s="75"/>
      <c r="E319" s="75"/>
      <c r="F319" s="75"/>
      <c r="G319" s="75"/>
      <c r="H319" s="75"/>
      <c r="I319" s="22"/>
      <c r="J319" s="22"/>
      <c r="K319" s="19" t="str">
        <f aca="false">IFERROR($I319-INDEX(Cadastro!$N$7:$N$66,MATCH($B319,Cadastro!$B$7:$B$66,0)),"")</f>
        <v/>
      </c>
      <c r="L319" s="76"/>
      <c r="M319" s="76"/>
      <c r="N319" s="75"/>
      <c r="O319" s="22"/>
      <c r="P319" s="75"/>
      <c r="Q319" s="75"/>
      <c r="R319" s="20"/>
    </row>
    <row r="320" customFormat="false" ht="15" hidden="false" customHeight="false" outlineLevel="0" collapsed="false">
      <c r="A320" s="21"/>
      <c r="B320" s="20"/>
      <c r="C320" s="22"/>
      <c r="D320" s="75"/>
      <c r="E320" s="75"/>
      <c r="F320" s="75"/>
      <c r="G320" s="75"/>
      <c r="H320" s="75"/>
      <c r="I320" s="22"/>
      <c r="J320" s="22"/>
      <c r="K320" s="19" t="str">
        <f aca="false">IFERROR($I320-INDEX(Cadastro!$N$7:$N$66,MATCH($B320,Cadastro!$B$7:$B$66,0)),"")</f>
        <v/>
      </c>
      <c r="L320" s="76"/>
      <c r="M320" s="76"/>
      <c r="N320" s="75"/>
      <c r="O320" s="22"/>
      <c r="P320" s="75"/>
      <c r="Q320" s="75"/>
      <c r="R320" s="20"/>
    </row>
    <row r="321" customFormat="false" ht="15" hidden="false" customHeight="false" outlineLevel="0" collapsed="false">
      <c r="A321" s="21"/>
      <c r="B321" s="20"/>
      <c r="C321" s="22"/>
      <c r="D321" s="75"/>
      <c r="E321" s="75"/>
      <c r="F321" s="75"/>
      <c r="G321" s="75"/>
      <c r="H321" s="75"/>
      <c r="I321" s="22"/>
      <c r="J321" s="22"/>
      <c r="K321" s="19" t="str">
        <f aca="false">IFERROR($I321-INDEX(Cadastro!$N$7:$N$66,MATCH($B321,Cadastro!$B$7:$B$66,0)),"")</f>
        <v/>
      </c>
      <c r="L321" s="76"/>
      <c r="M321" s="76"/>
      <c r="N321" s="75"/>
      <c r="O321" s="22"/>
      <c r="P321" s="75"/>
      <c r="Q321" s="75"/>
      <c r="R321" s="20"/>
    </row>
    <row r="322" customFormat="false" ht="15" hidden="false" customHeight="false" outlineLevel="0" collapsed="false">
      <c r="A322" s="21"/>
      <c r="B322" s="20"/>
      <c r="C322" s="22"/>
      <c r="D322" s="75"/>
      <c r="E322" s="75"/>
      <c r="F322" s="75"/>
      <c r="G322" s="75"/>
      <c r="H322" s="75"/>
      <c r="I322" s="22"/>
      <c r="J322" s="22"/>
      <c r="K322" s="19" t="str">
        <f aca="false">IFERROR($I322-INDEX(Cadastro!$N$7:$N$66,MATCH($B322,Cadastro!$B$7:$B$66,0)),"")</f>
        <v/>
      </c>
      <c r="L322" s="76"/>
      <c r="M322" s="76"/>
      <c r="N322" s="75"/>
      <c r="O322" s="22"/>
      <c r="P322" s="75"/>
      <c r="Q322" s="75"/>
      <c r="R322" s="20"/>
    </row>
    <row r="323" customFormat="false" ht="15" hidden="false" customHeight="false" outlineLevel="0" collapsed="false">
      <c r="A323" s="21"/>
      <c r="B323" s="20"/>
      <c r="C323" s="22"/>
      <c r="D323" s="75"/>
      <c r="E323" s="75"/>
      <c r="F323" s="75"/>
      <c r="G323" s="75"/>
      <c r="H323" s="75"/>
      <c r="I323" s="22"/>
      <c r="J323" s="22"/>
      <c r="K323" s="19" t="str">
        <f aca="false">IFERROR($I323-INDEX(Cadastro!$N$7:$N$66,MATCH($B323,Cadastro!$B$7:$B$66,0)),"")</f>
        <v/>
      </c>
      <c r="L323" s="76"/>
      <c r="M323" s="76"/>
      <c r="N323" s="75"/>
      <c r="O323" s="22"/>
      <c r="P323" s="75"/>
      <c r="Q323" s="75"/>
      <c r="R323" s="20"/>
    </row>
    <row r="324" customFormat="false" ht="15" hidden="false" customHeight="false" outlineLevel="0" collapsed="false">
      <c r="A324" s="21"/>
      <c r="B324" s="20"/>
      <c r="C324" s="22"/>
      <c r="D324" s="75"/>
      <c r="E324" s="75"/>
      <c r="F324" s="75"/>
      <c r="G324" s="75"/>
      <c r="H324" s="75"/>
      <c r="I324" s="22"/>
      <c r="J324" s="22"/>
      <c r="K324" s="19" t="str">
        <f aca="false">IFERROR($I324-INDEX(Cadastro!$N$7:$N$66,MATCH($B324,Cadastro!$B$7:$B$66,0)),"")</f>
        <v/>
      </c>
      <c r="L324" s="76"/>
      <c r="M324" s="76"/>
      <c r="N324" s="75"/>
      <c r="O324" s="22"/>
      <c r="P324" s="75"/>
      <c r="Q324" s="75"/>
      <c r="R324" s="20"/>
    </row>
    <row r="325" customFormat="false" ht="15" hidden="false" customHeight="false" outlineLevel="0" collapsed="false">
      <c r="A325" s="21"/>
      <c r="B325" s="20"/>
      <c r="C325" s="22"/>
      <c r="D325" s="75"/>
      <c r="E325" s="75"/>
      <c r="F325" s="75"/>
      <c r="G325" s="75"/>
      <c r="H325" s="75"/>
      <c r="I325" s="22"/>
      <c r="J325" s="22"/>
      <c r="K325" s="19" t="str">
        <f aca="false">IFERROR($I325-INDEX(Cadastro!$N$7:$N$66,MATCH($B325,Cadastro!$B$7:$B$66,0)),"")</f>
        <v/>
      </c>
      <c r="L325" s="76"/>
      <c r="M325" s="76"/>
      <c r="N325" s="75"/>
      <c r="O325" s="22"/>
      <c r="P325" s="75"/>
      <c r="Q325" s="75"/>
      <c r="R325" s="20"/>
    </row>
    <row r="326" customFormat="false" ht="15" hidden="false" customHeight="false" outlineLevel="0" collapsed="false">
      <c r="A326" s="21"/>
      <c r="B326" s="20"/>
      <c r="C326" s="22"/>
      <c r="D326" s="75"/>
      <c r="E326" s="75"/>
      <c r="F326" s="75"/>
      <c r="G326" s="75"/>
      <c r="H326" s="75"/>
      <c r="I326" s="22"/>
      <c r="J326" s="22"/>
      <c r="K326" s="19" t="str">
        <f aca="false">IFERROR($I326-INDEX(Cadastro!$N$7:$N$66,MATCH($B326,Cadastro!$B$7:$B$66,0)),"")</f>
        <v/>
      </c>
      <c r="L326" s="76"/>
      <c r="M326" s="76"/>
      <c r="N326" s="75"/>
      <c r="O326" s="22"/>
      <c r="P326" s="75"/>
      <c r="Q326" s="75"/>
      <c r="R326" s="20"/>
    </row>
    <row r="327" customFormat="false" ht="15" hidden="false" customHeight="false" outlineLevel="0" collapsed="false">
      <c r="A327" s="21"/>
      <c r="B327" s="20"/>
      <c r="C327" s="22"/>
      <c r="D327" s="75"/>
      <c r="E327" s="75"/>
      <c r="F327" s="75"/>
      <c r="G327" s="75"/>
      <c r="H327" s="75"/>
      <c r="I327" s="22"/>
      <c r="J327" s="22"/>
      <c r="K327" s="19" t="str">
        <f aca="false">IFERROR($I327-INDEX(Cadastro!$N$7:$N$66,MATCH($B327,Cadastro!$B$7:$B$66,0)),"")</f>
        <v/>
      </c>
      <c r="L327" s="76"/>
      <c r="M327" s="76"/>
      <c r="N327" s="75"/>
      <c r="O327" s="22"/>
      <c r="P327" s="75"/>
      <c r="Q327" s="75"/>
      <c r="R327" s="20"/>
    </row>
    <row r="328" customFormat="false" ht="15" hidden="false" customHeight="false" outlineLevel="0" collapsed="false">
      <c r="A328" s="21"/>
      <c r="B328" s="20"/>
      <c r="C328" s="22"/>
      <c r="D328" s="75"/>
      <c r="E328" s="75"/>
      <c r="F328" s="75"/>
      <c r="G328" s="75"/>
      <c r="H328" s="75"/>
      <c r="I328" s="22"/>
      <c r="J328" s="22"/>
      <c r="K328" s="19" t="str">
        <f aca="false">IFERROR($I328-INDEX(Cadastro!$N$7:$N$66,MATCH($B328,Cadastro!$B$7:$B$66,0)),"")</f>
        <v/>
      </c>
      <c r="L328" s="76"/>
      <c r="M328" s="76"/>
      <c r="N328" s="75"/>
      <c r="O328" s="22"/>
      <c r="P328" s="75"/>
      <c r="Q328" s="75"/>
      <c r="R328" s="20"/>
    </row>
    <row r="329" customFormat="false" ht="15" hidden="false" customHeight="false" outlineLevel="0" collapsed="false">
      <c r="A329" s="21"/>
      <c r="B329" s="20"/>
      <c r="C329" s="22"/>
      <c r="D329" s="75"/>
      <c r="E329" s="75"/>
      <c r="F329" s="75"/>
      <c r="G329" s="75"/>
      <c r="H329" s="75"/>
      <c r="I329" s="22"/>
      <c r="J329" s="22"/>
      <c r="K329" s="19" t="str">
        <f aca="false">IFERROR($I329-INDEX(Cadastro!$N$7:$N$66,MATCH($B329,Cadastro!$B$7:$B$66,0)),"")</f>
        <v/>
      </c>
      <c r="L329" s="76"/>
      <c r="M329" s="76"/>
      <c r="N329" s="75"/>
      <c r="O329" s="22"/>
      <c r="P329" s="75"/>
      <c r="Q329" s="75"/>
      <c r="R329" s="20"/>
    </row>
    <row r="330" customFormat="false" ht="15" hidden="false" customHeight="false" outlineLevel="0" collapsed="false">
      <c r="A330" s="21"/>
      <c r="B330" s="20"/>
      <c r="C330" s="22"/>
      <c r="D330" s="75"/>
      <c r="E330" s="75"/>
      <c r="F330" s="75"/>
      <c r="G330" s="75"/>
      <c r="H330" s="75"/>
      <c r="I330" s="22"/>
      <c r="J330" s="22"/>
      <c r="K330" s="19" t="str">
        <f aca="false">IFERROR($I330-INDEX(Cadastro!$N$7:$N$66,MATCH($B330,Cadastro!$B$7:$B$66,0)),"")</f>
        <v/>
      </c>
      <c r="L330" s="76"/>
      <c r="M330" s="76"/>
      <c r="N330" s="75"/>
      <c r="O330" s="22"/>
      <c r="P330" s="75"/>
      <c r="Q330" s="75"/>
      <c r="R330" s="20"/>
    </row>
    <row r="331" customFormat="false" ht="15" hidden="false" customHeight="false" outlineLevel="0" collapsed="false">
      <c r="A331" s="21"/>
      <c r="B331" s="20"/>
      <c r="C331" s="22"/>
      <c r="D331" s="75"/>
      <c r="E331" s="75"/>
      <c r="F331" s="75"/>
      <c r="G331" s="75"/>
      <c r="H331" s="75"/>
      <c r="I331" s="22"/>
      <c r="J331" s="22"/>
      <c r="K331" s="19" t="str">
        <f aca="false">IFERROR($I331-INDEX(Cadastro!$N$7:$N$66,MATCH($B331,Cadastro!$B$7:$B$66,0)),"")</f>
        <v/>
      </c>
      <c r="L331" s="76"/>
      <c r="M331" s="76"/>
      <c r="N331" s="75"/>
      <c r="O331" s="22"/>
      <c r="P331" s="75"/>
      <c r="Q331" s="75"/>
      <c r="R331" s="20"/>
    </row>
    <row r="332" customFormat="false" ht="15" hidden="false" customHeight="false" outlineLevel="0" collapsed="false">
      <c r="A332" s="21"/>
      <c r="B332" s="20"/>
      <c r="C332" s="22"/>
      <c r="D332" s="75"/>
      <c r="E332" s="75"/>
      <c r="F332" s="75"/>
      <c r="G332" s="75"/>
      <c r="H332" s="75"/>
      <c r="I332" s="22"/>
      <c r="J332" s="22"/>
      <c r="K332" s="19" t="str">
        <f aca="false">IFERROR($I332-INDEX(Cadastro!$N$7:$N$66,MATCH($B332,Cadastro!$B$7:$B$66,0)),"")</f>
        <v/>
      </c>
      <c r="L332" s="76"/>
      <c r="M332" s="76"/>
      <c r="N332" s="75"/>
      <c r="O332" s="22"/>
      <c r="P332" s="75"/>
      <c r="Q332" s="75"/>
      <c r="R332" s="20"/>
    </row>
    <row r="333" customFormat="false" ht="15" hidden="false" customHeight="false" outlineLevel="0" collapsed="false">
      <c r="A333" s="21"/>
      <c r="B333" s="20"/>
      <c r="C333" s="22"/>
      <c r="D333" s="75"/>
      <c r="E333" s="75"/>
      <c r="F333" s="75"/>
      <c r="G333" s="75"/>
      <c r="H333" s="75"/>
      <c r="I333" s="22"/>
      <c r="J333" s="22"/>
      <c r="K333" s="19" t="str">
        <f aca="false">IFERROR($I333-INDEX(Cadastro!$N$7:$N$66,MATCH($B333,Cadastro!$B$7:$B$66,0)),"")</f>
        <v/>
      </c>
      <c r="L333" s="76"/>
      <c r="M333" s="76"/>
      <c r="N333" s="75"/>
      <c r="O333" s="22"/>
      <c r="P333" s="75"/>
      <c r="Q333" s="75"/>
      <c r="R333" s="20"/>
    </row>
    <row r="334" customFormat="false" ht="15" hidden="false" customHeight="false" outlineLevel="0" collapsed="false">
      <c r="A334" s="21"/>
      <c r="B334" s="20"/>
      <c r="C334" s="22"/>
      <c r="D334" s="75"/>
      <c r="E334" s="75"/>
      <c r="F334" s="75"/>
      <c r="G334" s="75"/>
      <c r="H334" s="75"/>
      <c r="I334" s="22"/>
      <c r="J334" s="22"/>
      <c r="K334" s="19" t="str">
        <f aca="false">IFERROR($I334-INDEX(Cadastro!$N$7:$N$66,MATCH($B334,Cadastro!$B$7:$B$66,0)),"")</f>
        <v/>
      </c>
      <c r="L334" s="76"/>
      <c r="M334" s="76"/>
      <c r="N334" s="75"/>
      <c r="O334" s="22"/>
      <c r="P334" s="75"/>
      <c r="Q334" s="75"/>
      <c r="R334" s="20"/>
    </row>
    <row r="335" customFormat="false" ht="15" hidden="false" customHeight="false" outlineLevel="0" collapsed="false">
      <c r="A335" s="21"/>
      <c r="B335" s="20"/>
      <c r="C335" s="22"/>
      <c r="D335" s="75"/>
      <c r="E335" s="75"/>
      <c r="F335" s="75"/>
      <c r="G335" s="75"/>
      <c r="H335" s="75"/>
      <c r="I335" s="22"/>
      <c r="J335" s="22"/>
      <c r="K335" s="19" t="str">
        <f aca="false">IFERROR($I335-INDEX(Cadastro!$N$7:$N$66,MATCH($B335,Cadastro!$B$7:$B$66,0)),"")</f>
        <v/>
      </c>
      <c r="L335" s="76"/>
      <c r="M335" s="76"/>
      <c r="N335" s="75"/>
      <c r="O335" s="22"/>
      <c r="P335" s="75"/>
      <c r="Q335" s="75"/>
      <c r="R335" s="20"/>
    </row>
    <row r="336" customFormat="false" ht="15" hidden="false" customHeight="false" outlineLevel="0" collapsed="false">
      <c r="A336" s="21"/>
      <c r="B336" s="20"/>
      <c r="C336" s="22"/>
      <c r="D336" s="75"/>
      <c r="E336" s="75"/>
      <c r="F336" s="75"/>
      <c r="G336" s="75"/>
      <c r="H336" s="75"/>
      <c r="I336" s="22"/>
      <c r="J336" s="22"/>
      <c r="K336" s="19" t="str">
        <f aca="false">IFERROR($I336-INDEX(Cadastro!$N$7:$N$66,MATCH($B336,Cadastro!$B$7:$B$66,0)),"")</f>
        <v/>
      </c>
      <c r="L336" s="76"/>
      <c r="M336" s="76"/>
      <c r="N336" s="75"/>
      <c r="O336" s="22"/>
      <c r="P336" s="75"/>
      <c r="Q336" s="75"/>
      <c r="R336" s="20"/>
    </row>
    <row r="337" customFormat="false" ht="15" hidden="false" customHeight="false" outlineLevel="0" collapsed="false">
      <c r="A337" s="21"/>
      <c r="B337" s="20"/>
      <c r="C337" s="22"/>
      <c r="D337" s="75"/>
      <c r="E337" s="75"/>
      <c r="F337" s="75"/>
      <c r="G337" s="75"/>
      <c r="H337" s="75"/>
      <c r="I337" s="22"/>
      <c r="J337" s="22"/>
      <c r="K337" s="19" t="str">
        <f aca="false">IFERROR($I337-INDEX(Cadastro!$N$7:$N$66,MATCH($B337,Cadastro!$B$7:$B$66,0)),"")</f>
        <v/>
      </c>
      <c r="L337" s="76"/>
      <c r="M337" s="76"/>
      <c r="N337" s="75"/>
      <c r="O337" s="22"/>
      <c r="P337" s="75"/>
      <c r="Q337" s="75"/>
      <c r="R337" s="20"/>
    </row>
    <row r="338" customFormat="false" ht="15" hidden="false" customHeight="false" outlineLevel="0" collapsed="false">
      <c r="A338" s="21"/>
      <c r="B338" s="20"/>
      <c r="C338" s="22"/>
      <c r="D338" s="75"/>
      <c r="E338" s="75"/>
      <c r="F338" s="75"/>
      <c r="G338" s="75"/>
      <c r="H338" s="75"/>
      <c r="I338" s="22"/>
      <c r="J338" s="22"/>
      <c r="K338" s="19" t="str">
        <f aca="false">IFERROR($I338-INDEX(Cadastro!$N$7:$N$66,MATCH($B338,Cadastro!$B$7:$B$66,0)),"")</f>
        <v/>
      </c>
      <c r="L338" s="76"/>
      <c r="M338" s="76"/>
      <c r="N338" s="75"/>
      <c r="O338" s="22"/>
      <c r="P338" s="75"/>
      <c r="Q338" s="75"/>
      <c r="R338" s="20"/>
    </row>
    <row r="339" customFormat="false" ht="15" hidden="false" customHeight="false" outlineLevel="0" collapsed="false">
      <c r="A339" s="21"/>
      <c r="B339" s="20"/>
      <c r="C339" s="22"/>
      <c r="D339" s="75"/>
      <c r="E339" s="75"/>
      <c r="F339" s="75"/>
      <c r="G339" s="75"/>
      <c r="H339" s="75"/>
      <c r="I339" s="22"/>
      <c r="J339" s="22"/>
      <c r="K339" s="19" t="str">
        <f aca="false">IFERROR($I339-INDEX(Cadastro!$N$7:$N$66,MATCH($B339,Cadastro!$B$7:$B$66,0)),"")</f>
        <v/>
      </c>
      <c r="L339" s="76"/>
      <c r="M339" s="76"/>
      <c r="N339" s="75"/>
      <c r="O339" s="22"/>
      <c r="P339" s="75"/>
      <c r="Q339" s="75"/>
      <c r="R339" s="20"/>
    </row>
    <row r="340" customFormat="false" ht="15" hidden="false" customHeight="false" outlineLevel="0" collapsed="false">
      <c r="A340" s="21"/>
      <c r="B340" s="20"/>
      <c r="C340" s="22"/>
      <c r="D340" s="75"/>
      <c r="E340" s="75"/>
      <c r="F340" s="75"/>
      <c r="G340" s="75"/>
      <c r="H340" s="75"/>
      <c r="I340" s="22"/>
      <c r="J340" s="22"/>
      <c r="K340" s="19" t="str">
        <f aca="false">IFERROR($I340-INDEX(Cadastro!$N$7:$N$66,MATCH($B340,Cadastro!$B$7:$B$66,0)),"")</f>
        <v/>
      </c>
      <c r="L340" s="76"/>
      <c r="M340" s="76"/>
      <c r="N340" s="75"/>
      <c r="O340" s="22"/>
      <c r="P340" s="75"/>
      <c r="Q340" s="75"/>
      <c r="R340" s="20"/>
    </row>
    <row r="341" customFormat="false" ht="15" hidden="false" customHeight="false" outlineLevel="0" collapsed="false">
      <c r="A341" s="21"/>
      <c r="B341" s="20"/>
      <c r="C341" s="22"/>
      <c r="D341" s="75"/>
      <c r="E341" s="75"/>
      <c r="F341" s="75"/>
      <c r="G341" s="75"/>
      <c r="H341" s="75"/>
      <c r="I341" s="22"/>
      <c r="J341" s="22"/>
      <c r="K341" s="19" t="str">
        <f aca="false">IFERROR($I341-INDEX(Cadastro!$N$7:$N$66,MATCH($B341,Cadastro!$B$7:$B$66,0)),"")</f>
        <v/>
      </c>
      <c r="L341" s="76"/>
      <c r="M341" s="76"/>
      <c r="N341" s="75"/>
      <c r="O341" s="22"/>
      <c r="P341" s="75"/>
      <c r="Q341" s="75"/>
      <c r="R341" s="20"/>
    </row>
    <row r="342" customFormat="false" ht="15" hidden="false" customHeight="false" outlineLevel="0" collapsed="false">
      <c r="A342" s="21"/>
      <c r="B342" s="20"/>
      <c r="C342" s="22"/>
      <c r="D342" s="75"/>
      <c r="E342" s="75"/>
      <c r="F342" s="75"/>
      <c r="G342" s="75"/>
      <c r="H342" s="75"/>
      <c r="I342" s="22"/>
      <c r="J342" s="22"/>
      <c r="K342" s="19" t="str">
        <f aca="false">IFERROR($I342-INDEX(Cadastro!$N$7:$N$66,MATCH($B342,Cadastro!$B$7:$B$66,0)),"")</f>
        <v/>
      </c>
      <c r="L342" s="76"/>
      <c r="M342" s="76"/>
      <c r="N342" s="75"/>
      <c r="O342" s="22"/>
      <c r="P342" s="75"/>
      <c r="Q342" s="75"/>
      <c r="R342" s="20"/>
    </row>
    <row r="343" customFormat="false" ht="15" hidden="false" customHeight="false" outlineLevel="0" collapsed="false">
      <c r="A343" s="21"/>
      <c r="B343" s="20"/>
      <c r="C343" s="22"/>
      <c r="D343" s="75"/>
      <c r="E343" s="75"/>
      <c r="F343" s="75"/>
      <c r="G343" s="75"/>
      <c r="H343" s="75"/>
      <c r="I343" s="22"/>
      <c r="J343" s="22"/>
      <c r="K343" s="19" t="str">
        <f aca="false">IFERROR($I343-INDEX(Cadastro!$N$7:$N$66,MATCH($B343,Cadastro!$B$7:$B$66,0)),"")</f>
        <v/>
      </c>
      <c r="L343" s="76"/>
      <c r="M343" s="76"/>
      <c r="N343" s="75"/>
      <c r="O343" s="22"/>
      <c r="P343" s="75"/>
      <c r="Q343" s="75"/>
      <c r="R343" s="20"/>
    </row>
    <row r="344" customFormat="false" ht="15" hidden="false" customHeight="false" outlineLevel="0" collapsed="false">
      <c r="A344" s="21"/>
      <c r="B344" s="20"/>
      <c r="C344" s="22"/>
      <c r="D344" s="75"/>
      <c r="E344" s="75"/>
      <c r="F344" s="75"/>
      <c r="G344" s="75"/>
      <c r="H344" s="75"/>
      <c r="I344" s="22"/>
      <c r="J344" s="22"/>
      <c r="K344" s="19" t="str">
        <f aca="false">IFERROR($I344-INDEX(Cadastro!$N$7:$N$66,MATCH($B344,Cadastro!$B$7:$B$66,0)),"")</f>
        <v/>
      </c>
      <c r="L344" s="76"/>
      <c r="M344" s="76"/>
      <c r="N344" s="75"/>
      <c r="O344" s="22"/>
      <c r="P344" s="75"/>
      <c r="Q344" s="75"/>
      <c r="R344" s="20"/>
    </row>
    <row r="345" customFormat="false" ht="15" hidden="false" customHeight="false" outlineLevel="0" collapsed="false">
      <c r="A345" s="21"/>
      <c r="B345" s="20"/>
      <c r="C345" s="22"/>
      <c r="D345" s="75"/>
      <c r="E345" s="75"/>
      <c r="F345" s="75"/>
      <c r="G345" s="75"/>
      <c r="H345" s="75"/>
      <c r="I345" s="22"/>
      <c r="J345" s="22"/>
      <c r="K345" s="19" t="str">
        <f aca="false">IFERROR($I345-INDEX(Cadastro!$N$7:$N$66,MATCH($B345,Cadastro!$B$7:$B$66,0)),"")</f>
        <v/>
      </c>
      <c r="L345" s="76"/>
      <c r="M345" s="76"/>
      <c r="N345" s="75"/>
      <c r="O345" s="22"/>
      <c r="P345" s="75"/>
      <c r="Q345" s="75"/>
      <c r="R345" s="20"/>
    </row>
    <row r="346" customFormat="false" ht="15" hidden="false" customHeight="false" outlineLevel="0" collapsed="false">
      <c r="A346" s="21"/>
      <c r="B346" s="20"/>
      <c r="C346" s="22"/>
      <c r="D346" s="75"/>
      <c r="E346" s="75"/>
      <c r="F346" s="75"/>
      <c r="G346" s="75"/>
      <c r="H346" s="75"/>
      <c r="I346" s="22"/>
      <c r="J346" s="22"/>
      <c r="K346" s="19" t="str">
        <f aca="false">IFERROR($I346-INDEX(Cadastro!$N$7:$N$66,MATCH($B346,Cadastro!$B$7:$B$66,0)),"")</f>
        <v/>
      </c>
      <c r="L346" s="76"/>
      <c r="M346" s="76"/>
      <c r="N346" s="75"/>
      <c r="O346" s="22"/>
      <c r="P346" s="75"/>
      <c r="Q346" s="75"/>
      <c r="R346" s="20"/>
    </row>
    <row r="347" customFormat="false" ht="15" hidden="false" customHeight="false" outlineLevel="0" collapsed="false">
      <c r="A347" s="21"/>
      <c r="B347" s="20"/>
      <c r="C347" s="22"/>
      <c r="D347" s="75"/>
      <c r="E347" s="75"/>
      <c r="F347" s="75"/>
      <c r="G347" s="75"/>
      <c r="H347" s="75"/>
      <c r="I347" s="22"/>
      <c r="J347" s="22"/>
      <c r="K347" s="19" t="str">
        <f aca="false">IFERROR($I347-INDEX(Cadastro!$N$7:$N$66,MATCH($B347,Cadastro!$B$7:$B$66,0)),"")</f>
        <v/>
      </c>
      <c r="L347" s="76"/>
      <c r="M347" s="76"/>
      <c r="N347" s="75"/>
      <c r="O347" s="22"/>
      <c r="P347" s="75"/>
      <c r="Q347" s="75"/>
      <c r="R347" s="20"/>
    </row>
    <row r="348" customFormat="false" ht="15" hidden="false" customHeight="false" outlineLevel="0" collapsed="false">
      <c r="A348" s="21"/>
      <c r="B348" s="20"/>
      <c r="C348" s="22"/>
      <c r="D348" s="75"/>
      <c r="E348" s="75"/>
      <c r="F348" s="75"/>
      <c r="G348" s="75"/>
      <c r="H348" s="75"/>
      <c r="I348" s="22"/>
      <c r="J348" s="22"/>
      <c r="K348" s="19" t="str">
        <f aca="false">IFERROR($I348-INDEX(Cadastro!$N$7:$N$66,MATCH($B348,Cadastro!$B$7:$B$66,0)),"")</f>
        <v/>
      </c>
      <c r="L348" s="76"/>
      <c r="M348" s="76"/>
      <c r="N348" s="75"/>
      <c r="O348" s="22"/>
      <c r="P348" s="75"/>
      <c r="Q348" s="75"/>
      <c r="R348" s="20"/>
    </row>
    <row r="349" customFormat="false" ht="15" hidden="false" customHeight="false" outlineLevel="0" collapsed="false">
      <c r="A349" s="21"/>
      <c r="B349" s="20"/>
      <c r="C349" s="22"/>
      <c r="D349" s="75"/>
      <c r="E349" s="75"/>
      <c r="F349" s="75"/>
      <c r="G349" s="75"/>
      <c r="H349" s="75"/>
      <c r="I349" s="22"/>
      <c r="J349" s="22"/>
      <c r="K349" s="19" t="str">
        <f aca="false">IFERROR($I349-INDEX(Cadastro!$N$7:$N$66,MATCH($B349,Cadastro!$B$7:$B$66,0)),"")</f>
        <v/>
      </c>
      <c r="L349" s="76"/>
      <c r="M349" s="76"/>
      <c r="N349" s="75"/>
      <c r="O349" s="22"/>
      <c r="P349" s="75"/>
      <c r="Q349" s="75"/>
      <c r="R349" s="20"/>
    </row>
    <row r="350" customFormat="false" ht="15" hidden="false" customHeight="false" outlineLevel="0" collapsed="false">
      <c r="A350" s="21"/>
      <c r="B350" s="20"/>
      <c r="C350" s="22"/>
      <c r="D350" s="75"/>
      <c r="E350" s="75"/>
      <c r="F350" s="75"/>
      <c r="G350" s="75"/>
      <c r="H350" s="75"/>
      <c r="I350" s="22"/>
      <c r="J350" s="22"/>
      <c r="K350" s="19" t="str">
        <f aca="false">IFERROR($I350-INDEX(Cadastro!$N$7:$N$66,MATCH($B350,Cadastro!$B$7:$B$66,0)),"")</f>
        <v/>
      </c>
      <c r="L350" s="76"/>
      <c r="M350" s="76"/>
      <c r="N350" s="75"/>
      <c r="O350" s="22"/>
      <c r="P350" s="75"/>
      <c r="Q350" s="75"/>
      <c r="R350" s="20"/>
    </row>
    <row r="351" customFormat="false" ht="15" hidden="false" customHeight="false" outlineLevel="0" collapsed="false">
      <c r="A351" s="21"/>
      <c r="B351" s="20"/>
      <c r="C351" s="22"/>
      <c r="D351" s="75"/>
      <c r="E351" s="75"/>
      <c r="F351" s="75"/>
      <c r="G351" s="75"/>
      <c r="H351" s="75"/>
      <c r="I351" s="22"/>
      <c r="J351" s="22"/>
      <c r="K351" s="19" t="str">
        <f aca="false">IFERROR($I351-INDEX(Cadastro!$N$7:$N$66,MATCH($B351,Cadastro!$B$7:$B$66,0)),"")</f>
        <v/>
      </c>
      <c r="L351" s="76"/>
      <c r="M351" s="76"/>
      <c r="N351" s="75"/>
      <c r="O351" s="22"/>
      <c r="P351" s="75"/>
      <c r="Q351" s="75"/>
      <c r="R351" s="20"/>
    </row>
    <row r="352" customFormat="false" ht="15" hidden="false" customHeight="false" outlineLevel="0" collapsed="false">
      <c r="A352" s="21"/>
      <c r="B352" s="20"/>
      <c r="C352" s="22"/>
      <c r="D352" s="75"/>
      <c r="E352" s="75"/>
      <c r="F352" s="75"/>
      <c r="G352" s="75"/>
      <c r="H352" s="75"/>
      <c r="I352" s="22"/>
      <c r="J352" s="22"/>
      <c r="K352" s="19" t="str">
        <f aca="false">IFERROR($I352-INDEX(Cadastro!$N$7:$N$66,MATCH($B352,Cadastro!$B$7:$B$66,0)),"")</f>
        <v/>
      </c>
      <c r="L352" s="76"/>
      <c r="M352" s="76"/>
      <c r="N352" s="75"/>
      <c r="O352" s="22"/>
      <c r="P352" s="75"/>
      <c r="Q352" s="75"/>
      <c r="R352" s="20"/>
    </row>
    <row r="353" customFormat="false" ht="15" hidden="false" customHeight="false" outlineLevel="0" collapsed="false">
      <c r="A353" s="21"/>
      <c r="B353" s="20"/>
      <c r="C353" s="22"/>
      <c r="D353" s="75"/>
      <c r="E353" s="75"/>
      <c r="F353" s="75"/>
      <c r="G353" s="75"/>
      <c r="H353" s="75"/>
      <c r="I353" s="22"/>
      <c r="J353" s="22"/>
      <c r="K353" s="19" t="str">
        <f aca="false">IFERROR($I353-INDEX(Cadastro!$N$7:$N$66,MATCH($B353,Cadastro!$B$7:$B$66,0)),"")</f>
        <v/>
      </c>
      <c r="L353" s="76"/>
      <c r="M353" s="76"/>
      <c r="N353" s="75"/>
      <c r="O353" s="22"/>
      <c r="P353" s="75"/>
      <c r="Q353" s="75"/>
      <c r="R353" s="20"/>
    </row>
    <row r="354" customFormat="false" ht="15" hidden="false" customHeight="false" outlineLevel="0" collapsed="false">
      <c r="A354" s="21"/>
      <c r="B354" s="20"/>
      <c r="C354" s="22"/>
      <c r="D354" s="75"/>
      <c r="E354" s="75"/>
      <c r="F354" s="75"/>
      <c r="G354" s="75"/>
      <c r="H354" s="75"/>
      <c r="I354" s="22"/>
      <c r="J354" s="22"/>
      <c r="K354" s="19" t="str">
        <f aca="false">IFERROR($I354-INDEX(Cadastro!$N$7:$N$66,MATCH($B354,Cadastro!$B$7:$B$66,0)),"")</f>
        <v/>
      </c>
      <c r="L354" s="76"/>
      <c r="M354" s="76"/>
      <c r="N354" s="75"/>
      <c r="O354" s="22"/>
      <c r="P354" s="75"/>
      <c r="Q354" s="75"/>
      <c r="R354" s="20"/>
    </row>
    <row r="355" customFormat="false" ht="15" hidden="false" customHeight="false" outlineLevel="0" collapsed="false">
      <c r="A355" s="21"/>
      <c r="B355" s="20"/>
      <c r="C355" s="22"/>
      <c r="D355" s="75"/>
      <c r="E355" s="75"/>
      <c r="F355" s="75"/>
      <c r="G355" s="75"/>
      <c r="H355" s="75"/>
      <c r="I355" s="22"/>
      <c r="J355" s="22"/>
      <c r="K355" s="19" t="str">
        <f aca="false">IFERROR($I355-INDEX(Cadastro!$N$7:$N$66,MATCH($B355,Cadastro!$B$7:$B$66,0)),"")</f>
        <v/>
      </c>
      <c r="L355" s="76"/>
      <c r="M355" s="76"/>
      <c r="N355" s="75"/>
      <c r="O355" s="22"/>
      <c r="P355" s="75"/>
      <c r="Q355" s="75"/>
      <c r="R355" s="20"/>
    </row>
    <row r="356" customFormat="false" ht="15" hidden="false" customHeight="false" outlineLevel="0" collapsed="false">
      <c r="A356" s="21"/>
      <c r="B356" s="20"/>
      <c r="C356" s="22"/>
      <c r="D356" s="75"/>
      <c r="E356" s="75"/>
      <c r="F356" s="75"/>
      <c r="G356" s="75"/>
      <c r="H356" s="75"/>
      <c r="I356" s="22"/>
      <c r="J356" s="22"/>
      <c r="K356" s="19" t="str">
        <f aca="false">IFERROR($I356-INDEX(Cadastro!$N$7:$N$66,MATCH($B356,Cadastro!$B$7:$B$66,0)),"")</f>
        <v/>
      </c>
      <c r="L356" s="76"/>
      <c r="M356" s="76"/>
      <c r="N356" s="75"/>
      <c r="O356" s="22"/>
      <c r="P356" s="75"/>
      <c r="Q356" s="75"/>
      <c r="R356" s="20"/>
    </row>
    <row r="357" customFormat="false" ht="15" hidden="false" customHeight="false" outlineLevel="0" collapsed="false">
      <c r="A357" s="21"/>
      <c r="B357" s="20"/>
      <c r="C357" s="22"/>
      <c r="D357" s="75"/>
      <c r="E357" s="75"/>
      <c r="F357" s="75"/>
      <c r="G357" s="75"/>
      <c r="H357" s="75"/>
      <c r="I357" s="22"/>
      <c r="J357" s="22"/>
      <c r="K357" s="19" t="str">
        <f aca="false">IFERROR($I357-INDEX(Cadastro!$N$7:$N$66,MATCH($B357,Cadastro!$B$7:$B$66,0)),"")</f>
        <v/>
      </c>
      <c r="L357" s="76"/>
      <c r="M357" s="76"/>
      <c r="N357" s="75"/>
      <c r="O357" s="22"/>
      <c r="P357" s="75"/>
      <c r="Q357" s="75"/>
      <c r="R357" s="20"/>
    </row>
    <row r="358" customFormat="false" ht="15" hidden="false" customHeight="false" outlineLevel="0" collapsed="false">
      <c r="A358" s="21"/>
      <c r="B358" s="20"/>
      <c r="C358" s="22"/>
      <c r="D358" s="75"/>
      <c r="E358" s="75"/>
      <c r="F358" s="75"/>
      <c r="G358" s="75"/>
      <c r="H358" s="75"/>
      <c r="I358" s="22"/>
      <c r="J358" s="22"/>
      <c r="K358" s="19" t="str">
        <f aca="false">IFERROR($I358-INDEX(Cadastro!$N$7:$N$66,MATCH($B358,Cadastro!$B$7:$B$66,0)),"")</f>
        <v/>
      </c>
      <c r="L358" s="76"/>
      <c r="M358" s="76"/>
      <c r="N358" s="75"/>
      <c r="O358" s="22"/>
      <c r="P358" s="75"/>
      <c r="Q358" s="75"/>
      <c r="R358" s="20"/>
    </row>
    <row r="359" customFormat="false" ht="15" hidden="false" customHeight="false" outlineLevel="0" collapsed="false">
      <c r="A359" s="21"/>
      <c r="B359" s="20"/>
      <c r="C359" s="22"/>
      <c r="D359" s="75"/>
      <c r="E359" s="75"/>
      <c r="F359" s="75"/>
      <c r="G359" s="75"/>
      <c r="H359" s="75"/>
      <c r="I359" s="22"/>
      <c r="J359" s="22"/>
      <c r="K359" s="19" t="str">
        <f aca="false">IFERROR($I359-INDEX(Cadastro!$N$7:$N$66,MATCH($B359,Cadastro!$B$7:$B$66,0)),"")</f>
        <v/>
      </c>
      <c r="L359" s="76"/>
      <c r="M359" s="76"/>
      <c r="N359" s="75"/>
      <c r="O359" s="22"/>
      <c r="P359" s="75"/>
      <c r="Q359" s="75"/>
      <c r="R359" s="20"/>
    </row>
    <row r="360" customFormat="false" ht="15" hidden="false" customHeight="false" outlineLevel="0" collapsed="false">
      <c r="A360" s="21"/>
      <c r="B360" s="20"/>
      <c r="C360" s="22"/>
      <c r="D360" s="75"/>
      <c r="E360" s="75"/>
      <c r="F360" s="75"/>
      <c r="G360" s="75"/>
      <c r="H360" s="75"/>
      <c r="I360" s="22"/>
      <c r="J360" s="22"/>
      <c r="K360" s="19" t="str">
        <f aca="false">IFERROR($I360-INDEX(Cadastro!$N$7:$N$66,MATCH($B360,Cadastro!$B$7:$B$66,0)),"")</f>
        <v/>
      </c>
      <c r="L360" s="76"/>
      <c r="M360" s="76"/>
      <c r="N360" s="75"/>
      <c r="O360" s="22"/>
      <c r="P360" s="75"/>
      <c r="Q360" s="75"/>
      <c r="R360" s="20"/>
    </row>
    <row r="361" customFormat="false" ht="15" hidden="false" customHeight="false" outlineLevel="0" collapsed="false">
      <c r="A361" s="21"/>
      <c r="B361" s="20"/>
      <c r="C361" s="22"/>
      <c r="D361" s="75"/>
      <c r="E361" s="75"/>
      <c r="F361" s="75"/>
      <c r="G361" s="75"/>
      <c r="H361" s="75"/>
      <c r="I361" s="22"/>
      <c r="J361" s="22"/>
      <c r="K361" s="19" t="str">
        <f aca="false">IFERROR($I361-INDEX(Cadastro!$N$7:$N$66,MATCH($B361,Cadastro!$B$7:$B$66,0)),"")</f>
        <v/>
      </c>
      <c r="L361" s="76"/>
      <c r="M361" s="76"/>
      <c r="N361" s="75"/>
      <c r="O361" s="22"/>
      <c r="P361" s="75"/>
      <c r="Q361" s="75"/>
      <c r="R361" s="20"/>
    </row>
    <row r="362" customFormat="false" ht="15" hidden="false" customHeight="false" outlineLevel="0" collapsed="false">
      <c r="A362" s="21"/>
      <c r="B362" s="20"/>
      <c r="C362" s="22"/>
      <c r="D362" s="75"/>
      <c r="E362" s="75"/>
      <c r="F362" s="75"/>
      <c r="G362" s="75"/>
      <c r="H362" s="75"/>
      <c r="I362" s="22"/>
      <c r="J362" s="22"/>
      <c r="K362" s="19" t="str">
        <f aca="false">IFERROR($I362-INDEX(Cadastro!$N$7:$N$66,MATCH($B362,Cadastro!$B$7:$B$66,0)),"")</f>
        <v/>
      </c>
      <c r="L362" s="76"/>
      <c r="M362" s="76"/>
      <c r="N362" s="75"/>
      <c r="O362" s="22"/>
      <c r="P362" s="75"/>
      <c r="Q362" s="75"/>
      <c r="R362" s="20"/>
    </row>
    <row r="363" customFormat="false" ht="15" hidden="false" customHeight="false" outlineLevel="0" collapsed="false">
      <c r="A363" s="21"/>
      <c r="B363" s="20"/>
      <c r="C363" s="22"/>
      <c r="D363" s="75"/>
      <c r="E363" s="75"/>
      <c r="F363" s="75"/>
      <c r="G363" s="75"/>
      <c r="H363" s="75"/>
      <c r="I363" s="22"/>
      <c r="J363" s="22"/>
      <c r="K363" s="19" t="str">
        <f aca="false">IFERROR($I363-INDEX(Cadastro!$N$7:$N$66,MATCH($B363,Cadastro!$B$7:$B$66,0)),"")</f>
        <v/>
      </c>
      <c r="L363" s="76"/>
      <c r="M363" s="76"/>
      <c r="N363" s="75"/>
      <c r="O363" s="22"/>
      <c r="P363" s="75"/>
      <c r="Q363" s="75"/>
      <c r="R363" s="20"/>
    </row>
    <row r="364" customFormat="false" ht="15" hidden="false" customHeight="false" outlineLevel="0" collapsed="false">
      <c r="A364" s="21"/>
      <c r="B364" s="20"/>
      <c r="C364" s="22"/>
      <c r="D364" s="75"/>
      <c r="E364" s="75"/>
      <c r="F364" s="75"/>
      <c r="G364" s="75"/>
      <c r="H364" s="75"/>
      <c r="I364" s="22"/>
      <c r="J364" s="22"/>
      <c r="K364" s="19" t="str">
        <f aca="false">IFERROR($I364-INDEX(Cadastro!$N$7:$N$66,MATCH($B364,Cadastro!$B$7:$B$66,0)),"")</f>
        <v/>
      </c>
      <c r="L364" s="76"/>
      <c r="M364" s="76"/>
      <c r="N364" s="75"/>
      <c r="O364" s="22"/>
      <c r="P364" s="75"/>
      <c r="Q364" s="75"/>
      <c r="R364" s="20"/>
    </row>
    <row r="365" customFormat="false" ht="15" hidden="false" customHeight="false" outlineLevel="0" collapsed="false">
      <c r="A365" s="21"/>
      <c r="B365" s="20"/>
      <c r="C365" s="22"/>
      <c r="D365" s="75"/>
      <c r="E365" s="75"/>
      <c r="F365" s="75"/>
      <c r="G365" s="75"/>
      <c r="H365" s="75"/>
      <c r="I365" s="22"/>
      <c r="J365" s="22"/>
      <c r="K365" s="19" t="str">
        <f aca="false">IFERROR($I365-INDEX(Cadastro!$N$7:$N$66,MATCH($B365,Cadastro!$B$7:$B$66,0)),"")</f>
        <v/>
      </c>
      <c r="L365" s="76"/>
      <c r="M365" s="76"/>
      <c r="N365" s="75"/>
      <c r="O365" s="22"/>
      <c r="P365" s="75"/>
      <c r="Q365" s="75"/>
      <c r="R365" s="20"/>
    </row>
    <row r="366" customFormat="false" ht="15" hidden="false" customHeight="false" outlineLevel="0" collapsed="false">
      <c r="A366" s="21"/>
      <c r="B366" s="20"/>
      <c r="C366" s="22"/>
      <c r="D366" s="75"/>
      <c r="E366" s="75"/>
      <c r="F366" s="75"/>
      <c r="G366" s="75"/>
      <c r="H366" s="75"/>
      <c r="I366" s="22"/>
      <c r="J366" s="22"/>
      <c r="K366" s="19" t="str">
        <f aca="false">IFERROR($I366-INDEX(Cadastro!$N$7:$N$66,MATCH($B366,Cadastro!$B$7:$B$66,0)),"")</f>
        <v/>
      </c>
      <c r="L366" s="76"/>
      <c r="M366" s="76"/>
      <c r="N366" s="75"/>
      <c r="O366" s="22"/>
      <c r="P366" s="75"/>
      <c r="Q366" s="75"/>
      <c r="R366" s="20"/>
    </row>
    <row r="367" customFormat="false" ht="15" hidden="false" customHeight="false" outlineLevel="0" collapsed="false">
      <c r="A367" s="21"/>
      <c r="B367" s="20"/>
      <c r="C367" s="22"/>
      <c r="D367" s="75"/>
      <c r="E367" s="75"/>
      <c r="F367" s="75"/>
      <c r="G367" s="75"/>
      <c r="H367" s="75"/>
      <c r="I367" s="22"/>
      <c r="J367" s="22"/>
      <c r="K367" s="19" t="str">
        <f aca="false">IFERROR($I367-INDEX(Cadastro!$N$7:$N$66,MATCH($B367,Cadastro!$B$7:$B$66,0)),"")</f>
        <v/>
      </c>
      <c r="L367" s="76"/>
      <c r="M367" s="76"/>
      <c r="N367" s="75"/>
      <c r="O367" s="22"/>
      <c r="P367" s="75"/>
      <c r="Q367" s="75"/>
      <c r="R367" s="20"/>
    </row>
    <row r="368" customFormat="false" ht="15" hidden="false" customHeight="false" outlineLevel="0" collapsed="false">
      <c r="A368" s="21"/>
      <c r="B368" s="20"/>
      <c r="C368" s="22"/>
      <c r="D368" s="75"/>
      <c r="E368" s="75"/>
      <c r="F368" s="75"/>
      <c r="G368" s="75"/>
      <c r="H368" s="75"/>
      <c r="I368" s="22"/>
      <c r="J368" s="22"/>
      <c r="K368" s="19" t="str">
        <f aca="false">IFERROR($I368-INDEX(Cadastro!$N$7:$N$66,MATCH($B368,Cadastro!$B$7:$B$66,0)),"")</f>
        <v/>
      </c>
      <c r="L368" s="76"/>
      <c r="M368" s="76"/>
      <c r="N368" s="75"/>
      <c r="O368" s="22"/>
      <c r="P368" s="75"/>
      <c r="Q368" s="75"/>
      <c r="R368" s="20"/>
    </row>
    <row r="369" customFormat="false" ht="15" hidden="false" customHeight="false" outlineLevel="0" collapsed="false">
      <c r="A369" s="21"/>
      <c r="B369" s="20"/>
      <c r="C369" s="22"/>
      <c r="D369" s="75"/>
      <c r="E369" s="75"/>
      <c r="F369" s="75"/>
      <c r="G369" s="75"/>
      <c r="H369" s="75"/>
      <c r="I369" s="22"/>
      <c r="J369" s="22"/>
      <c r="K369" s="19" t="str">
        <f aca="false">IFERROR($I369-INDEX(Cadastro!$N$7:$N$66,MATCH($B369,Cadastro!$B$7:$B$66,0)),"")</f>
        <v/>
      </c>
      <c r="L369" s="76"/>
      <c r="M369" s="76"/>
      <c r="N369" s="75"/>
      <c r="O369" s="22"/>
      <c r="P369" s="75"/>
      <c r="Q369" s="75"/>
      <c r="R369" s="20"/>
    </row>
    <row r="370" customFormat="false" ht="15" hidden="false" customHeight="false" outlineLevel="0" collapsed="false">
      <c r="A370" s="21"/>
      <c r="B370" s="20"/>
      <c r="C370" s="22"/>
      <c r="D370" s="75"/>
      <c r="E370" s="75"/>
      <c r="F370" s="75"/>
      <c r="G370" s="75"/>
      <c r="H370" s="75"/>
      <c r="I370" s="22"/>
      <c r="J370" s="22"/>
      <c r="K370" s="19" t="str">
        <f aca="false">IFERROR($I370-INDEX(Cadastro!$N$7:$N$66,MATCH($B370,Cadastro!$B$7:$B$66,0)),"")</f>
        <v/>
      </c>
      <c r="L370" s="76"/>
      <c r="M370" s="76"/>
      <c r="N370" s="75"/>
      <c r="O370" s="22"/>
      <c r="P370" s="75"/>
      <c r="Q370" s="75"/>
      <c r="R370" s="20"/>
    </row>
    <row r="371" customFormat="false" ht="15" hidden="false" customHeight="false" outlineLevel="0" collapsed="false">
      <c r="A371" s="21"/>
      <c r="B371" s="20"/>
      <c r="C371" s="22"/>
      <c r="D371" s="75"/>
      <c r="E371" s="75"/>
      <c r="F371" s="75"/>
      <c r="G371" s="75"/>
      <c r="H371" s="75"/>
      <c r="I371" s="22"/>
      <c r="J371" s="22"/>
      <c r="K371" s="19" t="str">
        <f aca="false">IFERROR($I371-INDEX(Cadastro!$N$7:$N$66,MATCH($B371,Cadastro!$B$7:$B$66,0)),"")</f>
        <v/>
      </c>
      <c r="L371" s="76"/>
      <c r="M371" s="76"/>
      <c r="N371" s="75"/>
      <c r="O371" s="22"/>
      <c r="P371" s="75"/>
      <c r="Q371" s="75"/>
      <c r="R371" s="20"/>
    </row>
    <row r="372" customFormat="false" ht="15" hidden="false" customHeight="false" outlineLevel="0" collapsed="false">
      <c r="A372" s="21"/>
      <c r="B372" s="20"/>
      <c r="C372" s="22"/>
      <c r="D372" s="75"/>
      <c r="E372" s="75"/>
      <c r="F372" s="75"/>
      <c r="G372" s="75"/>
      <c r="H372" s="75"/>
      <c r="I372" s="22"/>
      <c r="J372" s="22"/>
      <c r="K372" s="19" t="str">
        <f aca="false">IFERROR($I372-INDEX(Cadastro!$N$7:$N$66,MATCH($B372,Cadastro!$B$7:$B$66,0)),"")</f>
        <v/>
      </c>
      <c r="L372" s="76"/>
      <c r="M372" s="76"/>
      <c r="N372" s="75"/>
      <c r="O372" s="22"/>
      <c r="P372" s="75"/>
      <c r="Q372" s="75"/>
      <c r="R372" s="20"/>
    </row>
    <row r="373" customFormat="false" ht="15" hidden="false" customHeight="false" outlineLevel="0" collapsed="false">
      <c r="A373" s="21"/>
      <c r="B373" s="20"/>
      <c r="C373" s="22"/>
      <c r="D373" s="75"/>
      <c r="E373" s="75"/>
      <c r="F373" s="75"/>
      <c r="G373" s="75"/>
      <c r="H373" s="75"/>
      <c r="I373" s="22"/>
      <c r="J373" s="22"/>
      <c r="K373" s="19" t="str">
        <f aca="false">IFERROR($I373-INDEX(Cadastro!$N$7:$N$66,MATCH($B373,Cadastro!$B$7:$B$66,0)),"")</f>
        <v/>
      </c>
      <c r="L373" s="76"/>
      <c r="M373" s="76"/>
      <c r="N373" s="75"/>
      <c r="O373" s="22"/>
      <c r="P373" s="75"/>
      <c r="Q373" s="75"/>
      <c r="R373" s="20"/>
    </row>
    <row r="374" customFormat="false" ht="15" hidden="false" customHeight="false" outlineLevel="0" collapsed="false">
      <c r="A374" s="21"/>
      <c r="B374" s="20"/>
      <c r="C374" s="22"/>
      <c r="D374" s="75"/>
      <c r="E374" s="75"/>
      <c r="F374" s="75"/>
      <c r="G374" s="75"/>
      <c r="H374" s="75"/>
      <c r="I374" s="22"/>
      <c r="J374" s="22"/>
      <c r="K374" s="19" t="str">
        <f aca="false">IFERROR($I374-INDEX(Cadastro!$N$7:$N$66,MATCH($B374,Cadastro!$B$7:$B$66,0)),"")</f>
        <v/>
      </c>
      <c r="L374" s="76"/>
      <c r="M374" s="76"/>
      <c r="N374" s="75"/>
      <c r="O374" s="22"/>
      <c r="P374" s="75"/>
      <c r="Q374" s="75"/>
      <c r="R374" s="20"/>
    </row>
    <row r="375" customFormat="false" ht="15" hidden="false" customHeight="false" outlineLevel="0" collapsed="false">
      <c r="A375" s="21"/>
      <c r="B375" s="20"/>
      <c r="C375" s="22"/>
      <c r="D375" s="75"/>
      <c r="E375" s="75"/>
      <c r="F375" s="75"/>
      <c r="G375" s="75"/>
      <c r="H375" s="75"/>
      <c r="I375" s="22"/>
      <c r="J375" s="22"/>
      <c r="K375" s="19" t="str">
        <f aca="false">IFERROR($I375-INDEX(Cadastro!$N$7:$N$66,MATCH($B375,Cadastro!$B$7:$B$66,0)),"")</f>
        <v/>
      </c>
      <c r="L375" s="76"/>
      <c r="M375" s="76"/>
      <c r="N375" s="75"/>
      <c r="O375" s="22"/>
      <c r="P375" s="75"/>
      <c r="Q375" s="75"/>
      <c r="R375" s="20"/>
    </row>
    <row r="376" customFormat="false" ht="15" hidden="false" customHeight="false" outlineLevel="0" collapsed="false">
      <c r="A376" s="21"/>
      <c r="B376" s="20"/>
      <c r="C376" s="22"/>
      <c r="D376" s="75"/>
      <c r="E376" s="75"/>
      <c r="F376" s="75"/>
      <c r="G376" s="75"/>
      <c r="H376" s="75"/>
      <c r="I376" s="22"/>
      <c r="J376" s="22"/>
      <c r="K376" s="19" t="str">
        <f aca="false">IFERROR($I376-INDEX(Cadastro!$N$7:$N$66,MATCH($B376,Cadastro!$B$7:$B$66,0)),"")</f>
        <v/>
      </c>
      <c r="L376" s="76"/>
      <c r="M376" s="76"/>
      <c r="N376" s="75"/>
      <c r="O376" s="22"/>
      <c r="P376" s="75"/>
      <c r="Q376" s="75"/>
      <c r="R376" s="20"/>
    </row>
    <row r="377" customFormat="false" ht="15" hidden="false" customHeight="false" outlineLevel="0" collapsed="false">
      <c r="A377" s="21"/>
      <c r="B377" s="20"/>
      <c r="C377" s="22"/>
      <c r="D377" s="75"/>
      <c r="E377" s="75"/>
      <c r="F377" s="75"/>
      <c r="G377" s="75"/>
      <c r="H377" s="75"/>
      <c r="I377" s="22"/>
      <c r="J377" s="22"/>
      <c r="K377" s="19" t="str">
        <f aca="false">IFERROR($I377-INDEX(Cadastro!$N$7:$N$66,MATCH($B377,Cadastro!$B$7:$B$66,0)),"")</f>
        <v/>
      </c>
      <c r="L377" s="76"/>
      <c r="M377" s="76"/>
      <c r="N377" s="75"/>
      <c r="O377" s="22"/>
      <c r="P377" s="75"/>
      <c r="Q377" s="75"/>
      <c r="R377" s="20"/>
    </row>
    <row r="378" customFormat="false" ht="15" hidden="false" customHeight="false" outlineLevel="0" collapsed="false">
      <c r="A378" s="21"/>
      <c r="B378" s="20"/>
      <c r="C378" s="22"/>
      <c r="D378" s="75"/>
      <c r="E378" s="75"/>
      <c r="F378" s="75"/>
      <c r="G378" s="75"/>
      <c r="H378" s="75"/>
      <c r="I378" s="22"/>
      <c r="J378" s="22"/>
      <c r="K378" s="19" t="str">
        <f aca="false">IFERROR($I378-INDEX(Cadastro!$N$7:$N$66,MATCH($B378,Cadastro!$B$7:$B$66,0)),"")</f>
        <v/>
      </c>
      <c r="L378" s="76"/>
      <c r="M378" s="76"/>
      <c r="N378" s="75"/>
      <c r="O378" s="22"/>
      <c r="P378" s="75"/>
      <c r="Q378" s="75"/>
      <c r="R378" s="20"/>
    </row>
    <row r="379" customFormat="false" ht="15" hidden="false" customHeight="false" outlineLevel="0" collapsed="false">
      <c r="A379" s="21"/>
      <c r="B379" s="20"/>
      <c r="C379" s="22"/>
      <c r="D379" s="75"/>
      <c r="E379" s="75"/>
      <c r="F379" s="75"/>
      <c r="G379" s="75"/>
      <c r="H379" s="75"/>
      <c r="I379" s="22"/>
      <c r="J379" s="22"/>
      <c r="K379" s="19" t="str">
        <f aca="false">IFERROR($I379-INDEX(Cadastro!$N$7:$N$66,MATCH($B379,Cadastro!$B$7:$B$66,0)),"")</f>
        <v/>
      </c>
      <c r="L379" s="76"/>
      <c r="M379" s="76"/>
      <c r="N379" s="75"/>
      <c r="O379" s="22"/>
      <c r="P379" s="75"/>
      <c r="Q379" s="75"/>
      <c r="R379" s="20"/>
    </row>
    <row r="380" customFormat="false" ht="15" hidden="false" customHeight="false" outlineLevel="0" collapsed="false">
      <c r="A380" s="21"/>
      <c r="B380" s="20"/>
      <c r="C380" s="22"/>
      <c r="D380" s="75"/>
      <c r="E380" s="75"/>
      <c r="F380" s="75"/>
      <c r="G380" s="75"/>
      <c r="H380" s="75"/>
      <c r="I380" s="22"/>
      <c r="J380" s="22"/>
      <c r="K380" s="19" t="str">
        <f aca="false">IFERROR($I380-INDEX(Cadastro!$N$7:$N$66,MATCH($B380,Cadastro!$B$7:$B$66,0)),"")</f>
        <v/>
      </c>
      <c r="L380" s="76"/>
      <c r="M380" s="76"/>
      <c r="N380" s="75"/>
      <c r="O380" s="22"/>
      <c r="P380" s="75"/>
      <c r="Q380" s="75"/>
      <c r="R380" s="20"/>
    </row>
    <row r="381" customFormat="false" ht="15" hidden="false" customHeight="false" outlineLevel="0" collapsed="false">
      <c r="A381" s="21"/>
      <c r="B381" s="20"/>
      <c r="C381" s="22"/>
      <c r="D381" s="75"/>
      <c r="E381" s="75"/>
      <c r="F381" s="75"/>
      <c r="G381" s="75"/>
      <c r="H381" s="75"/>
      <c r="I381" s="22"/>
      <c r="J381" s="22"/>
      <c r="K381" s="19" t="str">
        <f aca="false">IFERROR($I381-INDEX(Cadastro!$N$7:$N$66,MATCH($B381,Cadastro!$B$7:$B$66,0)),"")</f>
        <v/>
      </c>
      <c r="L381" s="76"/>
      <c r="M381" s="76"/>
      <c r="N381" s="75"/>
      <c r="O381" s="22"/>
      <c r="P381" s="75"/>
      <c r="Q381" s="75"/>
      <c r="R381" s="20"/>
    </row>
    <row r="382" customFormat="false" ht="15" hidden="false" customHeight="false" outlineLevel="0" collapsed="false">
      <c r="A382" s="21"/>
      <c r="B382" s="20"/>
      <c r="C382" s="22"/>
      <c r="D382" s="75"/>
      <c r="E382" s="75"/>
      <c r="F382" s="75"/>
      <c r="G382" s="75"/>
      <c r="H382" s="75"/>
      <c r="I382" s="22"/>
      <c r="J382" s="22"/>
      <c r="K382" s="19" t="str">
        <f aca="false">IFERROR($I382-INDEX(Cadastro!$N$7:$N$66,MATCH($B382,Cadastro!$B$7:$B$66,0)),"")</f>
        <v/>
      </c>
      <c r="L382" s="76"/>
      <c r="M382" s="76"/>
      <c r="N382" s="75"/>
      <c r="O382" s="22"/>
      <c r="P382" s="75"/>
      <c r="Q382" s="75"/>
      <c r="R382" s="20"/>
    </row>
    <row r="383" customFormat="false" ht="15" hidden="false" customHeight="false" outlineLevel="0" collapsed="false">
      <c r="A383" s="21"/>
      <c r="B383" s="20"/>
      <c r="C383" s="22"/>
      <c r="D383" s="75"/>
      <c r="E383" s="75"/>
      <c r="F383" s="75"/>
      <c r="G383" s="75"/>
      <c r="H383" s="75"/>
      <c r="I383" s="22"/>
      <c r="J383" s="22"/>
      <c r="K383" s="19" t="str">
        <f aca="false">IFERROR($I383-INDEX(Cadastro!$N$7:$N$66,MATCH($B383,Cadastro!$B$7:$B$66,0)),"")</f>
        <v/>
      </c>
      <c r="L383" s="76"/>
      <c r="M383" s="76"/>
      <c r="N383" s="75"/>
      <c r="O383" s="22"/>
      <c r="P383" s="75"/>
      <c r="Q383" s="75"/>
      <c r="R383" s="20"/>
    </row>
    <row r="384" customFormat="false" ht="15" hidden="false" customHeight="false" outlineLevel="0" collapsed="false">
      <c r="A384" s="21"/>
      <c r="B384" s="20"/>
      <c r="C384" s="22"/>
      <c r="D384" s="75"/>
      <c r="E384" s="75"/>
      <c r="F384" s="75"/>
      <c r="G384" s="75"/>
      <c r="H384" s="75"/>
      <c r="I384" s="22"/>
      <c r="J384" s="22"/>
      <c r="K384" s="19" t="str">
        <f aca="false">IFERROR($I384-INDEX(Cadastro!$N$7:$N$66,MATCH($B384,Cadastro!$B$7:$B$66,0)),"")</f>
        <v/>
      </c>
      <c r="L384" s="76"/>
      <c r="M384" s="76"/>
      <c r="N384" s="75"/>
      <c r="O384" s="22"/>
      <c r="P384" s="75"/>
      <c r="Q384" s="75"/>
      <c r="R384" s="20"/>
    </row>
    <row r="385" customFormat="false" ht="15" hidden="false" customHeight="false" outlineLevel="0" collapsed="false">
      <c r="A385" s="21"/>
      <c r="B385" s="20"/>
      <c r="C385" s="22"/>
      <c r="D385" s="75"/>
      <c r="E385" s="75"/>
      <c r="F385" s="75"/>
      <c r="G385" s="75"/>
      <c r="H385" s="75"/>
      <c r="I385" s="22"/>
      <c r="J385" s="22"/>
      <c r="K385" s="19" t="str">
        <f aca="false">IFERROR($I385-INDEX(Cadastro!$N$7:$N$66,MATCH($B385,Cadastro!$B$7:$B$66,0)),"")</f>
        <v/>
      </c>
      <c r="L385" s="76"/>
      <c r="M385" s="76"/>
      <c r="N385" s="75"/>
      <c r="O385" s="22"/>
      <c r="P385" s="75"/>
      <c r="Q385" s="75"/>
      <c r="R385" s="20"/>
    </row>
    <row r="386" customFormat="false" ht="15" hidden="false" customHeight="false" outlineLevel="0" collapsed="false">
      <c r="A386" s="21"/>
      <c r="B386" s="20"/>
      <c r="C386" s="22"/>
      <c r="D386" s="75"/>
      <c r="E386" s="75"/>
      <c r="F386" s="75"/>
      <c r="G386" s="75"/>
      <c r="H386" s="75"/>
      <c r="I386" s="22"/>
      <c r="J386" s="22"/>
      <c r="K386" s="19" t="str">
        <f aca="false">IFERROR($I386-INDEX(Cadastro!$N$7:$N$66,MATCH($B386,Cadastro!$B$7:$B$66,0)),"")</f>
        <v/>
      </c>
      <c r="L386" s="76"/>
      <c r="M386" s="76"/>
      <c r="N386" s="75"/>
      <c r="O386" s="22"/>
      <c r="P386" s="75"/>
      <c r="Q386" s="75"/>
      <c r="R386" s="20"/>
    </row>
    <row r="387" customFormat="false" ht="15" hidden="false" customHeight="false" outlineLevel="0" collapsed="false">
      <c r="A387" s="21"/>
      <c r="B387" s="20"/>
      <c r="C387" s="22"/>
      <c r="D387" s="75"/>
      <c r="E387" s="75"/>
      <c r="F387" s="75"/>
      <c r="G387" s="75"/>
      <c r="H387" s="75"/>
      <c r="I387" s="22"/>
      <c r="J387" s="22"/>
      <c r="K387" s="19" t="str">
        <f aca="false">IFERROR($I387-INDEX(Cadastro!$N$7:$N$66,MATCH($B387,Cadastro!$B$7:$B$66,0)),"")</f>
        <v/>
      </c>
      <c r="L387" s="76"/>
      <c r="M387" s="76"/>
      <c r="N387" s="75"/>
      <c r="O387" s="22"/>
      <c r="P387" s="75"/>
      <c r="Q387" s="75"/>
      <c r="R387" s="20"/>
    </row>
    <row r="388" customFormat="false" ht="15" hidden="false" customHeight="false" outlineLevel="0" collapsed="false">
      <c r="A388" s="21"/>
      <c r="B388" s="20"/>
      <c r="C388" s="22"/>
      <c r="D388" s="75"/>
      <c r="E388" s="75"/>
      <c r="F388" s="75"/>
      <c r="G388" s="75"/>
      <c r="H388" s="75"/>
      <c r="I388" s="22"/>
      <c r="J388" s="22"/>
      <c r="K388" s="19" t="str">
        <f aca="false">IFERROR($I388-INDEX(Cadastro!$N$7:$N$66,MATCH($B388,Cadastro!$B$7:$B$66,0)),"")</f>
        <v/>
      </c>
      <c r="L388" s="76"/>
      <c r="M388" s="76"/>
      <c r="N388" s="75"/>
      <c r="O388" s="22"/>
      <c r="P388" s="75"/>
      <c r="Q388" s="75"/>
      <c r="R388" s="20"/>
    </row>
    <row r="389" customFormat="false" ht="15" hidden="false" customHeight="false" outlineLevel="0" collapsed="false">
      <c r="A389" s="21"/>
      <c r="B389" s="20"/>
      <c r="C389" s="22"/>
      <c r="D389" s="75"/>
      <c r="E389" s="75"/>
      <c r="F389" s="75"/>
      <c r="G389" s="75"/>
      <c r="H389" s="75"/>
      <c r="I389" s="22"/>
      <c r="J389" s="22"/>
      <c r="K389" s="19" t="str">
        <f aca="false">IFERROR($I389-INDEX(Cadastro!$N$7:$N$66,MATCH($B389,Cadastro!$B$7:$B$66,0)),"")</f>
        <v/>
      </c>
      <c r="L389" s="76"/>
      <c r="M389" s="76"/>
      <c r="N389" s="75"/>
      <c r="O389" s="22"/>
      <c r="P389" s="75"/>
      <c r="Q389" s="75"/>
      <c r="R389" s="20"/>
    </row>
    <row r="390" customFormat="false" ht="15" hidden="false" customHeight="false" outlineLevel="0" collapsed="false">
      <c r="A390" s="21"/>
      <c r="B390" s="20"/>
      <c r="C390" s="22"/>
      <c r="D390" s="75"/>
      <c r="E390" s="75"/>
      <c r="F390" s="75"/>
      <c r="G390" s="75"/>
      <c r="H390" s="75"/>
      <c r="I390" s="22"/>
      <c r="J390" s="22"/>
      <c r="K390" s="19" t="str">
        <f aca="false">IFERROR($I390-INDEX(Cadastro!$N$7:$N$66,MATCH($B390,Cadastro!$B$7:$B$66,0)),"")</f>
        <v/>
      </c>
      <c r="L390" s="76"/>
      <c r="M390" s="76"/>
      <c r="N390" s="75"/>
      <c r="O390" s="22"/>
      <c r="P390" s="75"/>
      <c r="Q390" s="75"/>
      <c r="R390" s="20"/>
    </row>
    <row r="391" customFormat="false" ht="15" hidden="false" customHeight="false" outlineLevel="0" collapsed="false">
      <c r="A391" s="21"/>
      <c r="B391" s="20"/>
      <c r="C391" s="22"/>
      <c r="D391" s="75"/>
      <c r="E391" s="75"/>
      <c r="F391" s="75"/>
      <c r="G391" s="75"/>
      <c r="H391" s="75"/>
      <c r="I391" s="22"/>
      <c r="J391" s="22"/>
      <c r="K391" s="19" t="str">
        <f aca="false">IFERROR($I391-INDEX(Cadastro!$N$7:$N$66,MATCH($B391,Cadastro!$B$7:$B$66,0)),"")</f>
        <v/>
      </c>
      <c r="L391" s="76"/>
      <c r="M391" s="76"/>
      <c r="N391" s="75"/>
      <c r="O391" s="22"/>
      <c r="P391" s="75"/>
      <c r="Q391" s="75"/>
      <c r="R391" s="20"/>
    </row>
    <row r="392" customFormat="false" ht="15" hidden="false" customHeight="false" outlineLevel="0" collapsed="false">
      <c r="A392" s="21"/>
      <c r="B392" s="20"/>
      <c r="C392" s="22"/>
      <c r="D392" s="75"/>
      <c r="E392" s="75"/>
      <c r="F392" s="75"/>
      <c r="G392" s="75"/>
      <c r="H392" s="75"/>
      <c r="I392" s="22"/>
      <c r="J392" s="22"/>
      <c r="K392" s="19" t="str">
        <f aca="false">IFERROR($I392-INDEX(Cadastro!$N$7:$N$66,MATCH($B392,Cadastro!$B$7:$B$66,0)),"")</f>
        <v/>
      </c>
      <c r="L392" s="76"/>
      <c r="M392" s="76"/>
      <c r="N392" s="75"/>
      <c r="O392" s="22"/>
      <c r="P392" s="75"/>
      <c r="Q392" s="75"/>
      <c r="R392" s="20"/>
    </row>
    <row r="393" customFormat="false" ht="15" hidden="false" customHeight="false" outlineLevel="0" collapsed="false">
      <c r="A393" s="21"/>
      <c r="B393" s="20"/>
      <c r="C393" s="22"/>
      <c r="D393" s="75"/>
      <c r="E393" s="75"/>
      <c r="F393" s="75"/>
      <c r="G393" s="75"/>
      <c r="H393" s="75"/>
      <c r="I393" s="22"/>
      <c r="J393" s="22"/>
      <c r="K393" s="19" t="str">
        <f aca="false">IFERROR($I393-INDEX(Cadastro!$N$7:$N$66,MATCH($B393,Cadastro!$B$7:$B$66,0)),"")</f>
        <v/>
      </c>
      <c r="L393" s="76"/>
      <c r="M393" s="76"/>
      <c r="N393" s="75"/>
      <c r="O393" s="22"/>
      <c r="P393" s="75"/>
      <c r="Q393" s="75"/>
      <c r="R393" s="20"/>
    </row>
    <row r="394" customFormat="false" ht="15" hidden="false" customHeight="false" outlineLevel="0" collapsed="false">
      <c r="A394" s="21"/>
      <c r="B394" s="20"/>
      <c r="C394" s="22"/>
      <c r="D394" s="75"/>
      <c r="E394" s="75"/>
      <c r="F394" s="75"/>
      <c r="G394" s="75"/>
      <c r="H394" s="75"/>
      <c r="I394" s="22"/>
      <c r="J394" s="22"/>
      <c r="K394" s="19" t="str">
        <f aca="false">IFERROR($I394-INDEX(Cadastro!$N$7:$N$66,MATCH($B394,Cadastro!$B$7:$B$66,0)),"")</f>
        <v/>
      </c>
      <c r="L394" s="76"/>
      <c r="M394" s="76"/>
      <c r="N394" s="75"/>
      <c r="O394" s="22"/>
      <c r="P394" s="75"/>
      <c r="Q394" s="75"/>
      <c r="R394" s="20"/>
    </row>
    <row r="395" customFormat="false" ht="15" hidden="false" customHeight="false" outlineLevel="0" collapsed="false">
      <c r="A395" s="21"/>
      <c r="B395" s="20"/>
      <c r="C395" s="22"/>
      <c r="D395" s="75"/>
      <c r="E395" s="75"/>
      <c r="F395" s="75"/>
      <c r="G395" s="75"/>
      <c r="H395" s="75"/>
      <c r="I395" s="22"/>
      <c r="J395" s="22"/>
      <c r="K395" s="19" t="str">
        <f aca="false">IFERROR($I395-INDEX(Cadastro!$N$7:$N$66,MATCH($B395,Cadastro!$B$7:$B$66,0)),"")</f>
        <v/>
      </c>
      <c r="L395" s="76"/>
      <c r="M395" s="76"/>
      <c r="N395" s="75"/>
      <c r="O395" s="22"/>
      <c r="P395" s="75"/>
      <c r="Q395" s="75"/>
      <c r="R395" s="20"/>
    </row>
    <row r="396" customFormat="false" ht="15" hidden="false" customHeight="false" outlineLevel="0" collapsed="false">
      <c r="A396" s="21"/>
      <c r="B396" s="20"/>
      <c r="C396" s="22"/>
      <c r="D396" s="75"/>
      <c r="E396" s="75"/>
      <c r="F396" s="75"/>
      <c r="G396" s="75"/>
      <c r="H396" s="75"/>
      <c r="I396" s="22"/>
      <c r="J396" s="22"/>
      <c r="K396" s="19" t="str">
        <f aca="false">IFERROR($I396-INDEX(Cadastro!$N$7:$N$66,MATCH($B396,Cadastro!$B$7:$B$66,0)),"")</f>
        <v/>
      </c>
      <c r="L396" s="76"/>
      <c r="M396" s="76"/>
      <c r="N396" s="75"/>
      <c r="O396" s="22"/>
      <c r="P396" s="75"/>
      <c r="Q396" s="75"/>
      <c r="R396" s="20"/>
    </row>
    <row r="397" customFormat="false" ht="15" hidden="false" customHeight="false" outlineLevel="0" collapsed="false">
      <c r="A397" s="21"/>
      <c r="B397" s="20"/>
      <c r="C397" s="22"/>
      <c r="D397" s="75"/>
      <c r="E397" s="75"/>
      <c r="F397" s="75"/>
      <c r="G397" s="75"/>
      <c r="H397" s="75"/>
      <c r="I397" s="22"/>
      <c r="J397" s="22"/>
      <c r="K397" s="19" t="str">
        <f aca="false">IFERROR($I397-INDEX(Cadastro!$N$7:$N$66,MATCH($B397,Cadastro!$B$7:$B$66,0)),"")</f>
        <v/>
      </c>
      <c r="L397" s="76"/>
      <c r="M397" s="76"/>
      <c r="N397" s="75"/>
      <c r="O397" s="22"/>
      <c r="P397" s="75"/>
      <c r="Q397" s="75"/>
      <c r="R397" s="20"/>
    </row>
    <row r="398" customFormat="false" ht="15" hidden="false" customHeight="false" outlineLevel="0" collapsed="false">
      <c r="A398" s="21"/>
      <c r="B398" s="20"/>
      <c r="C398" s="22"/>
      <c r="D398" s="75"/>
      <c r="E398" s="75"/>
      <c r="F398" s="75"/>
      <c r="G398" s="75"/>
      <c r="H398" s="75"/>
      <c r="I398" s="22"/>
      <c r="J398" s="22"/>
      <c r="K398" s="19" t="str">
        <f aca="false">IFERROR($I398-INDEX(Cadastro!$N$7:$N$66,MATCH($B398,Cadastro!$B$7:$B$66,0)),"")</f>
        <v/>
      </c>
      <c r="L398" s="76"/>
      <c r="M398" s="76"/>
      <c r="N398" s="75"/>
      <c r="O398" s="22"/>
      <c r="P398" s="75"/>
      <c r="Q398" s="75"/>
      <c r="R398" s="20"/>
    </row>
    <row r="399" customFormat="false" ht="15" hidden="false" customHeight="false" outlineLevel="0" collapsed="false">
      <c r="A399" s="21"/>
      <c r="B399" s="20"/>
      <c r="C399" s="22"/>
      <c r="D399" s="75"/>
      <c r="E399" s="75"/>
      <c r="F399" s="75"/>
      <c r="G399" s="75"/>
      <c r="H399" s="75"/>
      <c r="I399" s="22"/>
      <c r="J399" s="22"/>
      <c r="K399" s="19" t="str">
        <f aca="false">IFERROR($I399-INDEX(Cadastro!$N$7:$N$66,MATCH($B399,Cadastro!$B$7:$B$66,0)),"")</f>
        <v/>
      </c>
      <c r="L399" s="76"/>
      <c r="M399" s="76"/>
      <c r="N399" s="75"/>
      <c r="O399" s="22"/>
      <c r="P399" s="75"/>
      <c r="Q399" s="75"/>
      <c r="R399" s="20"/>
    </row>
    <row r="400" customFormat="false" ht="15" hidden="false" customHeight="false" outlineLevel="0" collapsed="false">
      <c r="A400" s="21"/>
      <c r="B400" s="20"/>
      <c r="C400" s="22"/>
      <c r="D400" s="75"/>
      <c r="E400" s="75"/>
      <c r="F400" s="75"/>
      <c r="G400" s="75"/>
      <c r="H400" s="75"/>
      <c r="I400" s="22"/>
      <c r="J400" s="22"/>
      <c r="K400" s="19" t="str">
        <f aca="false">IFERROR($I400-INDEX(Cadastro!$N$7:$N$66,MATCH($B400,Cadastro!$B$7:$B$66,0)),"")</f>
        <v/>
      </c>
      <c r="L400" s="76"/>
      <c r="M400" s="76"/>
      <c r="N400" s="75"/>
      <c r="O400" s="22"/>
      <c r="P400" s="75"/>
      <c r="Q400" s="75"/>
      <c r="R400" s="20"/>
    </row>
    <row r="401" customFormat="false" ht="15" hidden="false" customHeight="false" outlineLevel="0" collapsed="false">
      <c r="A401" s="21"/>
      <c r="B401" s="20"/>
      <c r="C401" s="22"/>
      <c r="D401" s="75"/>
      <c r="E401" s="75"/>
      <c r="F401" s="75"/>
      <c r="G401" s="75"/>
      <c r="H401" s="75"/>
      <c r="I401" s="22"/>
      <c r="J401" s="22"/>
      <c r="K401" s="19" t="str">
        <f aca="false">IFERROR($I401-INDEX(Cadastro!$N$7:$N$66,MATCH($B401,Cadastro!$B$7:$B$66,0)),"")</f>
        <v/>
      </c>
      <c r="L401" s="76"/>
      <c r="M401" s="76"/>
      <c r="N401" s="75"/>
      <c r="O401" s="22"/>
      <c r="P401" s="75"/>
      <c r="Q401" s="75"/>
      <c r="R401" s="20"/>
    </row>
    <row r="402" customFormat="false" ht="15" hidden="false" customHeight="false" outlineLevel="0" collapsed="false">
      <c r="A402" s="21"/>
      <c r="B402" s="20"/>
      <c r="C402" s="22"/>
      <c r="D402" s="75"/>
      <c r="E402" s="75"/>
      <c r="F402" s="75"/>
      <c r="G402" s="75"/>
      <c r="H402" s="75"/>
      <c r="I402" s="22"/>
      <c r="J402" s="22"/>
      <c r="K402" s="19" t="str">
        <f aca="false">IFERROR($I402-INDEX(Cadastro!$N$7:$N$66,MATCH($B402,Cadastro!$B$7:$B$66,0)),"")</f>
        <v/>
      </c>
      <c r="L402" s="76"/>
      <c r="M402" s="76"/>
      <c r="N402" s="75"/>
      <c r="O402" s="22"/>
      <c r="P402" s="75"/>
      <c r="Q402" s="75"/>
      <c r="R402" s="20"/>
    </row>
    <row r="403" customFormat="false" ht="15" hidden="false" customHeight="false" outlineLevel="0" collapsed="false">
      <c r="A403" s="21"/>
      <c r="B403" s="20"/>
      <c r="C403" s="22"/>
      <c r="D403" s="75"/>
      <c r="E403" s="75"/>
      <c r="F403" s="75"/>
      <c r="G403" s="75"/>
      <c r="H403" s="75"/>
      <c r="I403" s="22"/>
      <c r="J403" s="22"/>
      <c r="K403" s="19" t="str">
        <f aca="false">IFERROR($I403-INDEX(Cadastro!$N$7:$N$66,MATCH($B403,Cadastro!$B$7:$B$66,0)),"")</f>
        <v/>
      </c>
      <c r="L403" s="76"/>
      <c r="M403" s="76"/>
      <c r="N403" s="75"/>
      <c r="O403" s="22"/>
      <c r="P403" s="75"/>
      <c r="Q403" s="75"/>
      <c r="R403" s="20"/>
    </row>
    <row r="404" customFormat="false" ht="15" hidden="false" customHeight="false" outlineLevel="0" collapsed="false">
      <c r="A404" s="21"/>
      <c r="B404" s="20"/>
      <c r="C404" s="22"/>
      <c r="D404" s="75"/>
      <c r="E404" s="75"/>
      <c r="F404" s="75"/>
      <c r="G404" s="75"/>
      <c r="H404" s="75"/>
      <c r="I404" s="22"/>
      <c r="J404" s="22"/>
      <c r="K404" s="19" t="str">
        <f aca="false">IFERROR($I404-INDEX(Cadastro!$N$7:$N$66,MATCH($B404,Cadastro!$B$7:$B$66,0)),"")</f>
        <v/>
      </c>
      <c r="L404" s="76"/>
      <c r="M404" s="76"/>
      <c r="N404" s="75"/>
      <c r="O404" s="22"/>
      <c r="P404" s="75"/>
      <c r="Q404" s="75"/>
      <c r="R404" s="20"/>
    </row>
    <row r="405" customFormat="false" ht="15" hidden="false" customHeight="false" outlineLevel="0" collapsed="false">
      <c r="A405" s="21"/>
      <c r="B405" s="20"/>
      <c r="C405" s="22"/>
      <c r="D405" s="75"/>
      <c r="E405" s="75"/>
      <c r="F405" s="75"/>
      <c r="G405" s="75"/>
      <c r="H405" s="75"/>
      <c r="I405" s="22"/>
      <c r="J405" s="22"/>
      <c r="K405" s="19" t="str">
        <f aca="false">IFERROR($I405-INDEX(Cadastro!$N$7:$N$66,MATCH($B405,Cadastro!$B$7:$B$66,0)),"")</f>
        <v/>
      </c>
      <c r="L405" s="76"/>
      <c r="M405" s="76"/>
      <c r="N405" s="75"/>
      <c r="O405" s="22"/>
      <c r="P405" s="75"/>
      <c r="Q405" s="75"/>
      <c r="R405" s="20"/>
    </row>
    <row r="406" customFormat="false" ht="15" hidden="false" customHeight="false" outlineLevel="0" collapsed="false">
      <c r="A406" s="21"/>
      <c r="B406" s="20"/>
      <c r="C406" s="22"/>
      <c r="D406" s="75"/>
      <c r="E406" s="75"/>
      <c r="F406" s="75"/>
      <c r="G406" s="75"/>
      <c r="H406" s="75"/>
      <c r="I406" s="22"/>
      <c r="J406" s="22"/>
      <c r="K406" s="19" t="str">
        <f aca="false">IFERROR($I406-INDEX(Cadastro!$N$7:$N$66,MATCH($B406,Cadastro!$B$7:$B$66,0)),"")</f>
        <v/>
      </c>
      <c r="L406" s="76"/>
      <c r="M406" s="76"/>
      <c r="N406" s="75"/>
      <c r="O406" s="22"/>
      <c r="P406" s="75"/>
      <c r="Q406" s="75"/>
      <c r="R406" s="20"/>
    </row>
    <row r="407" customFormat="false" ht="15" hidden="false" customHeight="false" outlineLevel="0" collapsed="false">
      <c r="A407" s="21"/>
      <c r="B407" s="20"/>
      <c r="C407" s="22"/>
      <c r="D407" s="75"/>
      <c r="E407" s="75"/>
      <c r="F407" s="75"/>
      <c r="G407" s="75"/>
      <c r="H407" s="75"/>
      <c r="I407" s="22"/>
      <c r="J407" s="22"/>
      <c r="K407" s="19" t="str">
        <f aca="false">IFERROR($I407-INDEX(Cadastro!$N$7:$N$66,MATCH($B407,Cadastro!$B$7:$B$66,0)),"")</f>
        <v/>
      </c>
      <c r="L407" s="76"/>
      <c r="M407" s="76"/>
      <c r="N407" s="75"/>
      <c r="O407" s="22"/>
      <c r="P407" s="75"/>
      <c r="Q407" s="75"/>
      <c r="R407" s="20"/>
    </row>
  </sheetData>
  <autoFilter ref="A7:R407"/>
  <mergeCells count="3">
    <mergeCell ref="A1:R1"/>
    <mergeCell ref="A2:R2"/>
    <mergeCell ref="A4:R4"/>
  </mergeCells>
  <dataValidations count="2">
    <dataValidation allowBlank="true" errorStyle="stop" operator="between" showDropDown="false" showErrorMessage="false" showInputMessage="false" sqref="B8:B407" type="list">
      <formula1>Cadastro!$B$7:$B$66</formula1>
      <formula2>0</formula2>
    </dataValidation>
    <dataValidation allowBlank="true" errorStyle="stop" operator="between" showDropDown="false" showErrorMessage="false" showInputMessage="false" sqref="C8:C407" type="list">
      <formula1>Listas!$T$5:$T$15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A33D"/>
    <pageSetUpPr fitToPage="true"/>
  </sheetPr>
  <dimension ref="A1:Q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9" min="5" style="0" width="13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8"/>
  </cols>
  <sheetData>
    <row r="1" customFormat="false" ht="30" hidden="false" customHeight="true" outlineLevel="0" collapsed="false">
      <c r="A1" s="1" t="s">
        <v>429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430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4" hidden="false" customHeight="true" outlineLevel="0" collapsed="false">
      <c r="A4" s="29" t="s">
        <v>431</v>
      </c>
      <c r="C4" s="77" t="s">
        <v>432</v>
      </c>
      <c r="D4" s="77"/>
      <c r="E4" s="77"/>
      <c r="F4" s="77"/>
    </row>
    <row r="5" customFormat="false" ht="15" hidden="false" customHeight="false" outlineLevel="0" collapsed="false">
      <c r="A5" s="29" t="s">
        <v>433</v>
      </c>
      <c r="C5" s="31" t="n">
        <v>46265</v>
      </c>
      <c r="D5" s="31"/>
      <c r="E5" s="31"/>
      <c r="F5" s="31"/>
    </row>
    <row r="7" customFormat="false" ht="19.5" hidden="false" customHeight="true" outlineLevel="0" collapsed="false">
      <c r="A7" s="3" t="s">
        <v>434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5" hidden="false" customHeight="false" outlineLevel="0" collapsed="false">
      <c r="A8" s="29" t="s">
        <v>57</v>
      </c>
      <c r="B8" s="42" t="str">
        <f aca="false">IFERROR(INDEX(Cadastro!$A$7:$A$66,MATCH($C$4,Cadastro!$B$7:$B$66,0)),"")</f>
        <v/>
      </c>
      <c r="C8" s="42"/>
      <c r="D8" s="42"/>
      <c r="E8" s="42"/>
      <c r="G8" s="29" t="s">
        <v>64</v>
      </c>
      <c r="H8" s="45" t="str">
        <f aca="false">IFERROR(INDEX(Cadastro!$H$7:$H$66,MATCH($C$4,Cadastro!$B$7:$B$66,0)),"")</f>
        <v/>
      </c>
      <c r="I8" s="45"/>
      <c r="J8" s="45"/>
      <c r="K8" s="45"/>
      <c r="M8" s="29" t="s">
        <v>435</v>
      </c>
      <c r="N8" s="78" t="str">
        <f aca="false">IFERROR(INDEX(Cadastro!$O$7:$O$66,MATCH($C$4,Cadastro!$B$7:$B$66,0)),"")</f>
        <v/>
      </c>
      <c r="O8" s="78"/>
      <c r="P8" s="78"/>
      <c r="Q8" s="78"/>
    </row>
    <row r="9" customFormat="false" ht="15" hidden="false" customHeight="false" outlineLevel="0" collapsed="false">
      <c r="A9" s="29" t="s">
        <v>60</v>
      </c>
      <c r="B9" s="79" t="str">
        <f aca="false">IFERROR(INDEX(Cadastro!$D$7:$D$66,MATCH($C$4,Cadastro!$B$7:$B$66,0)),"")</f>
        <v/>
      </c>
      <c r="C9" s="79"/>
      <c r="D9" s="79"/>
      <c r="E9" s="79"/>
      <c r="G9" s="29" t="s">
        <v>66</v>
      </c>
      <c r="H9" s="80" t="str">
        <f aca="false">IFERROR(INDEX(Cadastro!$J$7:$J$66,MATCH($C$4,Cadastro!$B$7:$B$66,0)),"")</f>
        <v/>
      </c>
      <c r="I9" s="80"/>
      <c r="J9" s="80"/>
      <c r="K9" s="80"/>
      <c r="M9" s="29" t="s">
        <v>436</v>
      </c>
      <c r="N9" s="78" t="str">
        <f aca="false">IFERROR(INDEX(Cadastro!$Q$7:$Q$66,MATCH($C$4,Cadastro!$B$7:$B$66,0)),"")</f>
        <v/>
      </c>
      <c r="O9" s="78"/>
      <c r="P9" s="78"/>
      <c r="Q9" s="78"/>
    </row>
    <row r="10" customFormat="false" ht="15" hidden="false" customHeight="false" outlineLevel="0" collapsed="false">
      <c r="A10" s="29" t="s">
        <v>62</v>
      </c>
      <c r="B10" s="42" t="str">
        <f aca="false">IFERROR(INDEX(Cadastro!$F$7:$F$66,MATCH($C$4,Cadastro!$B$7:$B$66,0)),"")</f>
        <v/>
      </c>
      <c r="C10" s="42"/>
      <c r="D10" s="42"/>
      <c r="E10" s="42"/>
      <c r="G10" s="29" t="s">
        <v>67</v>
      </c>
      <c r="H10" s="81" t="str">
        <f aca="false">IFERROR(INDEX(Cadastro!$K$7:$K$66,MATCH($C$4,Cadastro!$B$7:$B$66,0)),"")</f>
        <v/>
      </c>
      <c r="I10" s="81"/>
      <c r="J10" s="81"/>
      <c r="K10" s="81"/>
      <c r="M10" s="29" t="s">
        <v>437</v>
      </c>
      <c r="N10" s="78" t="str">
        <f aca="false">IFERROR(INDEX(Cadastro!$P$7:$P$66,MATCH($C$4,Cadastro!$B$7:$B$66,0)),"")</f>
        <v/>
      </c>
      <c r="O10" s="78"/>
      <c r="P10" s="78"/>
      <c r="Q10" s="78"/>
    </row>
    <row r="11" customFormat="false" ht="15" hidden="false" customHeight="false" outlineLevel="0" collapsed="false">
      <c r="A11" s="29" t="s">
        <v>63</v>
      </c>
      <c r="B11" s="42" t="str">
        <f aca="false">IFERROR(INDEX(Cadastro!$G$7:$G$66,MATCH($C$4,Cadastro!$B$7:$B$66,0)),"")</f>
        <v/>
      </c>
      <c r="C11" s="42"/>
      <c r="D11" s="42"/>
      <c r="E11" s="42"/>
      <c r="G11" s="29" t="s">
        <v>68</v>
      </c>
      <c r="H11" s="81" t="str">
        <f aca="false">IFERROR(INDEX(Cadastro!$L$7:$L$66,MATCH($C$4,Cadastro!$B$7:$B$66,0)),"")</f>
        <v/>
      </c>
      <c r="I11" s="81"/>
      <c r="J11" s="81"/>
      <c r="K11" s="81"/>
      <c r="M11" s="29" t="s">
        <v>76</v>
      </c>
      <c r="N11" s="42" t="str">
        <f aca="false">IFERROR(INDEX(Cadastro!$T$7:$T$66,MATCH($C$4,Cadastro!$B$7:$B$66,0)),"")</f>
        <v/>
      </c>
      <c r="O11" s="42"/>
      <c r="P11" s="42"/>
      <c r="Q11" s="42"/>
    </row>
    <row r="13" customFormat="false" ht="19.5" hidden="false" customHeight="true" outlineLevel="0" collapsed="false">
      <c r="A13" s="3" t="s">
        <v>438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25.5" hidden="false" customHeight="true" outlineLevel="0" collapsed="false">
      <c r="A14" s="57" t="s">
        <v>439</v>
      </c>
      <c r="B14" s="57"/>
      <c r="C14" s="57" t="s">
        <v>440</v>
      </c>
      <c r="D14" s="57"/>
      <c r="E14" s="57" t="s">
        <v>441</v>
      </c>
      <c r="F14" s="57"/>
      <c r="G14" s="58" t="s">
        <v>442</v>
      </c>
      <c r="H14" s="58"/>
      <c r="I14" s="58" t="s">
        <v>443</v>
      </c>
      <c r="J14" s="58"/>
      <c r="K14" s="58" t="s">
        <v>444</v>
      </c>
      <c r="L14" s="58"/>
      <c r="M14" s="57" t="s">
        <v>445</v>
      </c>
      <c r="N14" s="57"/>
      <c r="O14" s="82" t="s">
        <v>446</v>
      </c>
      <c r="P14" s="82"/>
    </row>
    <row r="15" customFormat="false" ht="30" hidden="false" customHeight="true" outlineLevel="0" collapsed="false">
      <c r="A15" s="59" t="n">
        <f aca="false">COUNTIFS('Carga (PSE)'!$C$8:$C$1007,$C$4)</f>
        <v>0</v>
      </c>
      <c r="B15" s="59"/>
      <c r="C15" s="60" t="n">
        <f aca="false">SUMIFS('Carga (PSE)'!$G$8:$G$1007,'Carga (PSE)'!$C$8:$C$1007,$C$4)</f>
        <v>0</v>
      </c>
      <c r="D15" s="60"/>
      <c r="E15" s="60" t="n">
        <f aca="false">IFERROR(AVERAGEIF($J$20:$J$67,"&gt;0"),0)</f>
        <v>0</v>
      </c>
      <c r="F15" s="60"/>
      <c r="G15" s="83" t="str">
        <f aca="false">IFERROR(IF(SUMPRODUCT(MAX(('Carga (PSE)'!$C$8:$C$1007=$C$4)*'Carga (PSE)'!$A$8:$A$1007))=0,"",SUMPRODUCT(MAX(('Carga (PSE)'!$C$8:$C$1007=$C$4)*'Carga (PSE)'!$A$8:$A$1007))),"")</f>
        <v/>
      </c>
      <c r="H15" s="83"/>
      <c r="I15" s="84" t="n">
        <f aca="false">IF($G$15="",0,IFERROR(AVERAGEIFS('Carga (PSE)'!$J$8:$J$1007,'Carga (PSE)'!$C$8:$C$1007,$C$4,'Carga (PSE)'!$A$8:$A$1007,$G$15),0))</f>
        <v>0</v>
      </c>
      <c r="J15" s="84"/>
      <c r="K15" s="84" t="n">
        <f aca="false">IFERROR(AVERAGEIF($N$20:$N$67,"&gt;0"),0)</f>
        <v>0</v>
      </c>
      <c r="L15" s="84"/>
      <c r="M15" s="62" t="n">
        <f aca="false">IFERROR(INDEX(Presença!$L$8:$L$67,MATCH($C$4,Presença!$I$8:$I$67,0)),0)</f>
        <v>0</v>
      </c>
      <c r="N15" s="62"/>
      <c r="O15" s="85" t="n">
        <f aca="false">IFERROR(AVERAGEIFS(Wellness!$H$8:$H$1007,Wellness!$C$8:$C$1007,$C$4),0)</f>
        <v>0</v>
      </c>
      <c r="P15" s="85"/>
    </row>
    <row r="16" customFormat="false" ht="24" hidden="false" customHeight="true" outlineLevel="0" collapsed="false">
      <c r="A16" s="86" t="str">
        <f aca="false">IF($C$4="","Selecione um atleta em C4.",IF($I$15&gt;1.5,"ALERTA: ACWR acima de 1,50 — pico de carga aguda. Avaliar redução do volume nas próximas sessões.",IF($I$15&lt;0.8,"ATENÇÃO: ACWR abaixo de 0,80 — carga recente baixa em relação à crônica. Progredir gradualmente.",IF($O$15&gt;16,"ATENÇÃO: Índice de Hooper médio elevado — monitorar sono, fadiga e dor muscular.",IF($K$15&gt;2,"ATENÇÃO: monotonia média acima de 2,0 — variar mais as cargas ao longo da semana.","Situação dentro dos parâmetros de referência.")))))</f>
        <v>ATENÇÃO: ACWR abaixo de 0,80 — carga recente baixa em relação à crônica. Progredir gradualmente.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</row>
    <row r="18" customFormat="false" ht="19.5" hidden="false" customHeight="true" outlineLevel="0" collapsed="false">
      <c r="A18" s="3" t="s">
        <v>447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31.5" hidden="false" customHeight="true" outlineLevel="0" collapsed="false">
      <c r="A19" s="18" t="s">
        <v>370</v>
      </c>
      <c r="B19" s="18" t="s">
        <v>448</v>
      </c>
      <c r="C19" s="18" t="s">
        <v>449</v>
      </c>
      <c r="D19" s="18" t="s">
        <v>450</v>
      </c>
      <c r="E19" s="18" t="s">
        <v>451</v>
      </c>
      <c r="F19" s="18" t="s">
        <v>452</v>
      </c>
      <c r="G19" s="18" t="s">
        <v>453</v>
      </c>
      <c r="H19" s="18" t="s">
        <v>454</v>
      </c>
      <c r="I19" s="18" t="s">
        <v>455</v>
      </c>
      <c r="J19" s="18" t="s">
        <v>456</v>
      </c>
      <c r="K19" s="18" t="s">
        <v>457</v>
      </c>
      <c r="L19" s="18" t="s">
        <v>458</v>
      </c>
      <c r="M19" s="18" t="s">
        <v>459</v>
      </c>
      <c r="N19" s="18" t="s">
        <v>45</v>
      </c>
      <c r="O19" s="18" t="s">
        <v>47</v>
      </c>
      <c r="P19" s="18" t="s">
        <v>400</v>
      </c>
    </row>
    <row r="20" customFormat="false" ht="15" hidden="false" customHeight="false" outlineLevel="0" collapsed="false">
      <c r="A20" s="70" t="n">
        <v>1</v>
      </c>
      <c r="B20" s="87" t="n">
        <f aca="false">IF(Macrociclo!$C$11="","",Macrociclo!$C$11+($A20-1)*7)</f>
        <v>46027</v>
      </c>
      <c r="C20" s="88" t="n">
        <f aca="false">IF($B20="",0,SUMIFS('Carga (PSE)'!$G$8:$G$1007,'Carga (PSE)'!$C$8:$C$1007,$C$4,'Carga (PSE)'!$A$8:$A$1007,$B20+0))</f>
        <v>0</v>
      </c>
      <c r="D20" s="88" t="n">
        <f aca="false">IF($B20="",0,SUMIFS('Carga (PSE)'!$G$8:$G$1007,'Carga (PSE)'!$C$8:$C$1007,$C$4,'Carga (PSE)'!$A$8:$A$1007,$B20+1))</f>
        <v>0</v>
      </c>
      <c r="E20" s="88" t="n">
        <f aca="false">IF($B20="",0,SUMIFS('Carga (PSE)'!$G$8:$G$1007,'Carga (PSE)'!$C$8:$C$1007,$C$4,'Carga (PSE)'!$A$8:$A$1007,$B20+2))</f>
        <v>0</v>
      </c>
      <c r="F20" s="88" t="n">
        <f aca="false">IF($B20="",0,SUMIFS('Carga (PSE)'!$G$8:$G$1007,'Carga (PSE)'!$C$8:$C$1007,$C$4,'Carga (PSE)'!$A$8:$A$1007,$B20+3))</f>
        <v>0</v>
      </c>
      <c r="G20" s="88" t="n">
        <f aca="false">IF($B20="",0,SUMIFS('Carga (PSE)'!$G$8:$G$1007,'Carga (PSE)'!$C$8:$C$1007,$C$4,'Carga (PSE)'!$A$8:$A$1007,$B20+4))</f>
        <v>0</v>
      </c>
      <c r="H20" s="88" t="n">
        <f aca="false">IF($B20="",0,SUMIFS('Carga (PSE)'!$G$8:$G$1007,'Carga (PSE)'!$C$8:$C$1007,$C$4,'Carga (PSE)'!$A$8:$A$1007,$B20+5))</f>
        <v>0</v>
      </c>
      <c r="I20" s="88" t="n">
        <f aca="false">IF($B20="",0,SUMIFS('Carga (PSE)'!$G$8:$G$1007,'Carga (PSE)'!$C$8:$C$1007,$C$4,'Carga (PSE)'!$A$8:$A$1007,$B20+6))</f>
        <v>0</v>
      </c>
      <c r="J20" s="48" t="n">
        <f aca="false">SUM($C20:$I20)</f>
        <v>0</v>
      </c>
      <c r="K20" s="88" t="n">
        <f aca="false">COUNTIFS('Carga (PSE)'!$C$8:$C$1007,$C$4,'Carga (PSE)'!$B$8:$B$1007,$A20)</f>
        <v>0</v>
      </c>
      <c r="L20" s="89" t="n">
        <f aca="false">IF($J20=0,0,$J20/7)</f>
        <v>0</v>
      </c>
      <c r="M20" s="89" t="n">
        <f aca="false">IF($J20=0,0,STDEV($C20:$I20))</f>
        <v>0</v>
      </c>
      <c r="N20" s="67" t="n">
        <f aca="false">IF($M20=0,0,$L20/$M20)</f>
        <v>0</v>
      </c>
      <c r="O20" s="48" t="n">
        <f aca="false">$J20*$N20</f>
        <v>0</v>
      </c>
      <c r="P20" s="70" t="str">
        <f aca="false">IF($J20=0,"",IF($N20&gt;2,"Monotonia alta",IF($N20&gt;=1.5,"Atenção","Adequada")))</f>
        <v/>
      </c>
    </row>
    <row r="21" customFormat="false" ht="15" hidden="false" customHeight="false" outlineLevel="0" collapsed="false">
      <c r="A21" s="74" t="n">
        <v>2</v>
      </c>
      <c r="B21" s="90" t="n">
        <f aca="false">IF(Macrociclo!$C$11="","",Macrociclo!$C$11+($A21-1)*7)</f>
        <v>46034</v>
      </c>
      <c r="C21" s="91" t="n">
        <f aca="false">IF($B21="",0,SUMIFS('Carga (PSE)'!$G$8:$G$1007,'Carga (PSE)'!$C$8:$C$1007,$C$4,'Carga (PSE)'!$A$8:$A$1007,$B21+0))</f>
        <v>0</v>
      </c>
      <c r="D21" s="91" t="n">
        <f aca="false">IF($B21="",0,SUMIFS('Carga (PSE)'!$G$8:$G$1007,'Carga (PSE)'!$C$8:$C$1007,$C$4,'Carga (PSE)'!$A$8:$A$1007,$B21+1))</f>
        <v>0</v>
      </c>
      <c r="E21" s="91" t="n">
        <f aca="false">IF($B21="",0,SUMIFS('Carga (PSE)'!$G$8:$G$1007,'Carga (PSE)'!$C$8:$C$1007,$C$4,'Carga (PSE)'!$A$8:$A$1007,$B21+2))</f>
        <v>0</v>
      </c>
      <c r="F21" s="91" t="n">
        <f aca="false">IF($B21="",0,SUMIFS('Carga (PSE)'!$G$8:$G$1007,'Carga (PSE)'!$C$8:$C$1007,$C$4,'Carga (PSE)'!$A$8:$A$1007,$B21+3))</f>
        <v>0</v>
      </c>
      <c r="G21" s="91" t="n">
        <f aca="false">IF($B21="",0,SUMIFS('Carga (PSE)'!$G$8:$G$1007,'Carga (PSE)'!$C$8:$C$1007,$C$4,'Carga (PSE)'!$A$8:$A$1007,$B21+4))</f>
        <v>0</v>
      </c>
      <c r="H21" s="91" t="n">
        <f aca="false">IF($B21="",0,SUMIFS('Carga (PSE)'!$G$8:$G$1007,'Carga (PSE)'!$C$8:$C$1007,$C$4,'Carga (PSE)'!$A$8:$A$1007,$B21+5))</f>
        <v>0</v>
      </c>
      <c r="I21" s="91" t="n">
        <f aca="false">IF($B21="",0,SUMIFS('Carga (PSE)'!$G$8:$G$1007,'Carga (PSE)'!$C$8:$C$1007,$C$4,'Carga (PSE)'!$A$8:$A$1007,$B21+6))</f>
        <v>0</v>
      </c>
      <c r="J21" s="92" t="n">
        <f aca="false">SUM($C21:$I21)</f>
        <v>0</v>
      </c>
      <c r="K21" s="91" t="n">
        <f aca="false">COUNTIFS('Carga (PSE)'!$C$8:$C$1007,$C$4,'Carga (PSE)'!$B$8:$B$1007,$A21)</f>
        <v>0</v>
      </c>
      <c r="L21" s="93" t="n">
        <f aca="false">IF($J21=0,0,$J21/7)</f>
        <v>0</v>
      </c>
      <c r="M21" s="93" t="n">
        <f aca="false">IF($J21=0,0,STDEV($C21:$I21))</f>
        <v>0</v>
      </c>
      <c r="N21" s="94" t="n">
        <f aca="false">IF($M21=0,0,$L21/$M21)</f>
        <v>0</v>
      </c>
      <c r="O21" s="92" t="n">
        <f aca="false">$J21*$N21</f>
        <v>0</v>
      </c>
      <c r="P21" s="74" t="str">
        <f aca="false">IF($J21=0,"",IF($N21&gt;2,"Monotonia alta",IF($N21&gt;=1.5,"Atenção","Adequada")))</f>
        <v/>
      </c>
    </row>
    <row r="22" customFormat="false" ht="15" hidden="false" customHeight="false" outlineLevel="0" collapsed="false">
      <c r="A22" s="70" t="n">
        <v>3</v>
      </c>
      <c r="B22" s="87" t="n">
        <f aca="false">IF(Macrociclo!$C$11="","",Macrociclo!$C$11+($A22-1)*7)</f>
        <v>46041</v>
      </c>
      <c r="C22" s="88" t="n">
        <f aca="false">IF($B22="",0,SUMIFS('Carga (PSE)'!$G$8:$G$1007,'Carga (PSE)'!$C$8:$C$1007,$C$4,'Carga (PSE)'!$A$8:$A$1007,$B22+0))</f>
        <v>0</v>
      </c>
      <c r="D22" s="88" t="n">
        <f aca="false">IF($B22="",0,SUMIFS('Carga (PSE)'!$G$8:$G$1007,'Carga (PSE)'!$C$8:$C$1007,$C$4,'Carga (PSE)'!$A$8:$A$1007,$B22+1))</f>
        <v>0</v>
      </c>
      <c r="E22" s="88" t="n">
        <f aca="false">IF($B22="",0,SUMIFS('Carga (PSE)'!$G$8:$G$1007,'Carga (PSE)'!$C$8:$C$1007,$C$4,'Carga (PSE)'!$A$8:$A$1007,$B22+2))</f>
        <v>0</v>
      </c>
      <c r="F22" s="88" t="n">
        <f aca="false">IF($B22="",0,SUMIFS('Carga (PSE)'!$G$8:$G$1007,'Carga (PSE)'!$C$8:$C$1007,$C$4,'Carga (PSE)'!$A$8:$A$1007,$B22+3))</f>
        <v>0</v>
      </c>
      <c r="G22" s="88" t="n">
        <f aca="false">IF($B22="",0,SUMIFS('Carga (PSE)'!$G$8:$G$1007,'Carga (PSE)'!$C$8:$C$1007,$C$4,'Carga (PSE)'!$A$8:$A$1007,$B22+4))</f>
        <v>0</v>
      </c>
      <c r="H22" s="88" t="n">
        <f aca="false">IF($B22="",0,SUMIFS('Carga (PSE)'!$G$8:$G$1007,'Carga (PSE)'!$C$8:$C$1007,$C$4,'Carga (PSE)'!$A$8:$A$1007,$B22+5))</f>
        <v>0</v>
      </c>
      <c r="I22" s="88" t="n">
        <f aca="false">IF($B22="",0,SUMIFS('Carga (PSE)'!$G$8:$G$1007,'Carga (PSE)'!$C$8:$C$1007,$C$4,'Carga (PSE)'!$A$8:$A$1007,$B22+6))</f>
        <v>0</v>
      </c>
      <c r="J22" s="48" t="n">
        <f aca="false">SUM($C22:$I22)</f>
        <v>0</v>
      </c>
      <c r="K22" s="88" t="n">
        <f aca="false">COUNTIFS('Carga (PSE)'!$C$8:$C$1007,$C$4,'Carga (PSE)'!$B$8:$B$1007,$A22)</f>
        <v>0</v>
      </c>
      <c r="L22" s="89" t="n">
        <f aca="false">IF($J22=0,0,$J22/7)</f>
        <v>0</v>
      </c>
      <c r="M22" s="89" t="n">
        <f aca="false">IF($J22=0,0,STDEV($C22:$I22))</f>
        <v>0</v>
      </c>
      <c r="N22" s="67" t="n">
        <f aca="false">IF($M22=0,0,$L22/$M22)</f>
        <v>0</v>
      </c>
      <c r="O22" s="48" t="n">
        <f aca="false">$J22*$N22</f>
        <v>0</v>
      </c>
      <c r="P22" s="70" t="str">
        <f aca="false">IF($J22=0,"",IF($N22&gt;2,"Monotonia alta",IF($N22&gt;=1.5,"Atenção","Adequada")))</f>
        <v/>
      </c>
    </row>
    <row r="23" customFormat="false" ht="15" hidden="false" customHeight="false" outlineLevel="0" collapsed="false">
      <c r="A23" s="74" t="n">
        <v>4</v>
      </c>
      <c r="B23" s="90" t="n">
        <f aca="false">IF(Macrociclo!$C$11="","",Macrociclo!$C$11+($A23-1)*7)</f>
        <v>46048</v>
      </c>
      <c r="C23" s="91" t="n">
        <f aca="false">IF($B23="",0,SUMIFS('Carga (PSE)'!$G$8:$G$1007,'Carga (PSE)'!$C$8:$C$1007,$C$4,'Carga (PSE)'!$A$8:$A$1007,$B23+0))</f>
        <v>0</v>
      </c>
      <c r="D23" s="91" t="n">
        <f aca="false">IF($B23="",0,SUMIFS('Carga (PSE)'!$G$8:$G$1007,'Carga (PSE)'!$C$8:$C$1007,$C$4,'Carga (PSE)'!$A$8:$A$1007,$B23+1))</f>
        <v>0</v>
      </c>
      <c r="E23" s="91" t="n">
        <f aca="false">IF($B23="",0,SUMIFS('Carga (PSE)'!$G$8:$G$1007,'Carga (PSE)'!$C$8:$C$1007,$C$4,'Carga (PSE)'!$A$8:$A$1007,$B23+2))</f>
        <v>0</v>
      </c>
      <c r="F23" s="91" t="n">
        <f aca="false">IF($B23="",0,SUMIFS('Carga (PSE)'!$G$8:$G$1007,'Carga (PSE)'!$C$8:$C$1007,$C$4,'Carga (PSE)'!$A$8:$A$1007,$B23+3))</f>
        <v>0</v>
      </c>
      <c r="G23" s="91" t="n">
        <f aca="false">IF($B23="",0,SUMIFS('Carga (PSE)'!$G$8:$G$1007,'Carga (PSE)'!$C$8:$C$1007,$C$4,'Carga (PSE)'!$A$8:$A$1007,$B23+4))</f>
        <v>0</v>
      </c>
      <c r="H23" s="91" t="n">
        <f aca="false">IF($B23="",0,SUMIFS('Carga (PSE)'!$G$8:$G$1007,'Carga (PSE)'!$C$8:$C$1007,$C$4,'Carga (PSE)'!$A$8:$A$1007,$B23+5))</f>
        <v>0</v>
      </c>
      <c r="I23" s="91" t="n">
        <f aca="false">IF($B23="",0,SUMIFS('Carga (PSE)'!$G$8:$G$1007,'Carga (PSE)'!$C$8:$C$1007,$C$4,'Carga (PSE)'!$A$8:$A$1007,$B23+6))</f>
        <v>0</v>
      </c>
      <c r="J23" s="92" t="n">
        <f aca="false">SUM($C23:$I23)</f>
        <v>0</v>
      </c>
      <c r="K23" s="91" t="n">
        <f aca="false">COUNTIFS('Carga (PSE)'!$C$8:$C$1007,$C$4,'Carga (PSE)'!$B$8:$B$1007,$A23)</f>
        <v>0</v>
      </c>
      <c r="L23" s="93" t="n">
        <f aca="false">IF($J23=0,0,$J23/7)</f>
        <v>0</v>
      </c>
      <c r="M23" s="93" t="n">
        <f aca="false">IF($J23=0,0,STDEV($C23:$I23))</f>
        <v>0</v>
      </c>
      <c r="N23" s="94" t="n">
        <f aca="false">IF($M23=0,0,$L23/$M23)</f>
        <v>0</v>
      </c>
      <c r="O23" s="92" t="n">
        <f aca="false">$J23*$N23</f>
        <v>0</v>
      </c>
      <c r="P23" s="74" t="str">
        <f aca="false">IF($J23=0,"",IF($N23&gt;2,"Monotonia alta",IF($N23&gt;=1.5,"Atenção","Adequada")))</f>
        <v/>
      </c>
    </row>
    <row r="24" customFormat="false" ht="15" hidden="false" customHeight="false" outlineLevel="0" collapsed="false">
      <c r="A24" s="70" t="n">
        <v>5</v>
      </c>
      <c r="B24" s="87" t="n">
        <f aca="false">IF(Macrociclo!$C$11="","",Macrociclo!$C$11+($A24-1)*7)</f>
        <v>46055</v>
      </c>
      <c r="C24" s="88" t="n">
        <f aca="false">IF($B24="",0,SUMIFS('Carga (PSE)'!$G$8:$G$1007,'Carga (PSE)'!$C$8:$C$1007,$C$4,'Carga (PSE)'!$A$8:$A$1007,$B24+0))</f>
        <v>0</v>
      </c>
      <c r="D24" s="88" t="n">
        <f aca="false">IF($B24="",0,SUMIFS('Carga (PSE)'!$G$8:$G$1007,'Carga (PSE)'!$C$8:$C$1007,$C$4,'Carga (PSE)'!$A$8:$A$1007,$B24+1))</f>
        <v>0</v>
      </c>
      <c r="E24" s="88" t="n">
        <f aca="false">IF($B24="",0,SUMIFS('Carga (PSE)'!$G$8:$G$1007,'Carga (PSE)'!$C$8:$C$1007,$C$4,'Carga (PSE)'!$A$8:$A$1007,$B24+2))</f>
        <v>0</v>
      </c>
      <c r="F24" s="88" t="n">
        <f aca="false">IF($B24="",0,SUMIFS('Carga (PSE)'!$G$8:$G$1007,'Carga (PSE)'!$C$8:$C$1007,$C$4,'Carga (PSE)'!$A$8:$A$1007,$B24+3))</f>
        <v>0</v>
      </c>
      <c r="G24" s="88" t="n">
        <f aca="false">IF($B24="",0,SUMIFS('Carga (PSE)'!$G$8:$G$1007,'Carga (PSE)'!$C$8:$C$1007,$C$4,'Carga (PSE)'!$A$8:$A$1007,$B24+4))</f>
        <v>0</v>
      </c>
      <c r="H24" s="88" t="n">
        <f aca="false">IF($B24="",0,SUMIFS('Carga (PSE)'!$G$8:$G$1007,'Carga (PSE)'!$C$8:$C$1007,$C$4,'Carga (PSE)'!$A$8:$A$1007,$B24+5))</f>
        <v>0</v>
      </c>
      <c r="I24" s="88" t="n">
        <f aca="false">IF($B24="",0,SUMIFS('Carga (PSE)'!$G$8:$G$1007,'Carga (PSE)'!$C$8:$C$1007,$C$4,'Carga (PSE)'!$A$8:$A$1007,$B24+6))</f>
        <v>0</v>
      </c>
      <c r="J24" s="48" t="n">
        <f aca="false">SUM($C24:$I24)</f>
        <v>0</v>
      </c>
      <c r="K24" s="88" t="n">
        <f aca="false">COUNTIFS('Carga (PSE)'!$C$8:$C$1007,$C$4,'Carga (PSE)'!$B$8:$B$1007,$A24)</f>
        <v>0</v>
      </c>
      <c r="L24" s="89" t="n">
        <f aca="false">IF($J24=0,0,$J24/7)</f>
        <v>0</v>
      </c>
      <c r="M24" s="89" t="n">
        <f aca="false">IF($J24=0,0,STDEV($C24:$I24))</f>
        <v>0</v>
      </c>
      <c r="N24" s="67" t="n">
        <f aca="false">IF($M24=0,0,$L24/$M24)</f>
        <v>0</v>
      </c>
      <c r="O24" s="48" t="n">
        <f aca="false">$J24*$N24</f>
        <v>0</v>
      </c>
      <c r="P24" s="70" t="str">
        <f aca="false">IF($J24=0,"",IF($N24&gt;2,"Monotonia alta",IF($N24&gt;=1.5,"Atenção","Adequada")))</f>
        <v/>
      </c>
    </row>
    <row r="25" customFormat="false" ht="15" hidden="false" customHeight="false" outlineLevel="0" collapsed="false">
      <c r="A25" s="74" t="n">
        <v>6</v>
      </c>
      <c r="B25" s="90" t="n">
        <f aca="false">IF(Macrociclo!$C$11="","",Macrociclo!$C$11+($A25-1)*7)</f>
        <v>46062</v>
      </c>
      <c r="C25" s="91" t="n">
        <f aca="false">IF($B25="",0,SUMIFS('Carga (PSE)'!$G$8:$G$1007,'Carga (PSE)'!$C$8:$C$1007,$C$4,'Carga (PSE)'!$A$8:$A$1007,$B25+0))</f>
        <v>0</v>
      </c>
      <c r="D25" s="91" t="n">
        <f aca="false">IF($B25="",0,SUMIFS('Carga (PSE)'!$G$8:$G$1007,'Carga (PSE)'!$C$8:$C$1007,$C$4,'Carga (PSE)'!$A$8:$A$1007,$B25+1))</f>
        <v>0</v>
      </c>
      <c r="E25" s="91" t="n">
        <f aca="false">IF($B25="",0,SUMIFS('Carga (PSE)'!$G$8:$G$1007,'Carga (PSE)'!$C$8:$C$1007,$C$4,'Carga (PSE)'!$A$8:$A$1007,$B25+2))</f>
        <v>0</v>
      </c>
      <c r="F25" s="91" t="n">
        <f aca="false">IF($B25="",0,SUMIFS('Carga (PSE)'!$G$8:$G$1007,'Carga (PSE)'!$C$8:$C$1007,$C$4,'Carga (PSE)'!$A$8:$A$1007,$B25+3))</f>
        <v>0</v>
      </c>
      <c r="G25" s="91" t="n">
        <f aca="false">IF($B25="",0,SUMIFS('Carga (PSE)'!$G$8:$G$1007,'Carga (PSE)'!$C$8:$C$1007,$C$4,'Carga (PSE)'!$A$8:$A$1007,$B25+4))</f>
        <v>0</v>
      </c>
      <c r="H25" s="91" t="n">
        <f aca="false">IF($B25="",0,SUMIFS('Carga (PSE)'!$G$8:$G$1007,'Carga (PSE)'!$C$8:$C$1007,$C$4,'Carga (PSE)'!$A$8:$A$1007,$B25+5))</f>
        <v>0</v>
      </c>
      <c r="I25" s="91" t="n">
        <f aca="false">IF($B25="",0,SUMIFS('Carga (PSE)'!$G$8:$G$1007,'Carga (PSE)'!$C$8:$C$1007,$C$4,'Carga (PSE)'!$A$8:$A$1007,$B25+6))</f>
        <v>0</v>
      </c>
      <c r="J25" s="92" t="n">
        <f aca="false">SUM($C25:$I25)</f>
        <v>0</v>
      </c>
      <c r="K25" s="91" t="n">
        <f aca="false">COUNTIFS('Carga (PSE)'!$C$8:$C$1007,$C$4,'Carga (PSE)'!$B$8:$B$1007,$A25)</f>
        <v>0</v>
      </c>
      <c r="L25" s="93" t="n">
        <f aca="false">IF($J25=0,0,$J25/7)</f>
        <v>0</v>
      </c>
      <c r="M25" s="93" t="n">
        <f aca="false">IF($J25=0,0,STDEV($C25:$I25))</f>
        <v>0</v>
      </c>
      <c r="N25" s="94" t="n">
        <f aca="false">IF($M25=0,0,$L25/$M25)</f>
        <v>0</v>
      </c>
      <c r="O25" s="92" t="n">
        <f aca="false">$J25*$N25</f>
        <v>0</v>
      </c>
      <c r="P25" s="74" t="str">
        <f aca="false">IF($J25=0,"",IF($N25&gt;2,"Monotonia alta",IF($N25&gt;=1.5,"Atenção","Adequada")))</f>
        <v/>
      </c>
    </row>
    <row r="26" customFormat="false" ht="15" hidden="false" customHeight="false" outlineLevel="0" collapsed="false">
      <c r="A26" s="70" t="n">
        <v>7</v>
      </c>
      <c r="B26" s="87" t="n">
        <f aca="false">IF(Macrociclo!$C$11="","",Macrociclo!$C$11+($A26-1)*7)</f>
        <v>46069</v>
      </c>
      <c r="C26" s="88" t="n">
        <f aca="false">IF($B26="",0,SUMIFS('Carga (PSE)'!$G$8:$G$1007,'Carga (PSE)'!$C$8:$C$1007,$C$4,'Carga (PSE)'!$A$8:$A$1007,$B26+0))</f>
        <v>0</v>
      </c>
      <c r="D26" s="88" t="n">
        <f aca="false">IF($B26="",0,SUMIFS('Carga (PSE)'!$G$8:$G$1007,'Carga (PSE)'!$C$8:$C$1007,$C$4,'Carga (PSE)'!$A$8:$A$1007,$B26+1))</f>
        <v>0</v>
      </c>
      <c r="E26" s="88" t="n">
        <f aca="false">IF($B26="",0,SUMIFS('Carga (PSE)'!$G$8:$G$1007,'Carga (PSE)'!$C$8:$C$1007,$C$4,'Carga (PSE)'!$A$8:$A$1007,$B26+2))</f>
        <v>0</v>
      </c>
      <c r="F26" s="88" t="n">
        <f aca="false">IF($B26="",0,SUMIFS('Carga (PSE)'!$G$8:$G$1007,'Carga (PSE)'!$C$8:$C$1007,$C$4,'Carga (PSE)'!$A$8:$A$1007,$B26+3))</f>
        <v>0</v>
      </c>
      <c r="G26" s="88" t="n">
        <f aca="false">IF($B26="",0,SUMIFS('Carga (PSE)'!$G$8:$G$1007,'Carga (PSE)'!$C$8:$C$1007,$C$4,'Carga (PSE)'!$A$8:$A$1007,$B26+4))</f>
        <v>0</v>
      </c>
      <c r="H26" s="88" t="n">
        <f aca="false">IF($B26="",0,SUMIFS('Carga (PSE)'!$G$8:$G$1007,'Carga (PSE)'!$C$8:$C$1007,$C$4,'Carga (PSE)'!$A$8:$A$1007,$B26+5))</f>
        <v>0</v>
      </c>
      <c r="I26" s="88" t="n">
        <f aca="false">IF($B26="",0,SUMIFS('Carga (PSE)'!$G$8:$G$1007,'Carga (PSE)'!$C$8:$C$1007,$C$4,'Carga (PSE)'!$A$8:$A$1007,$B26+6))</f>
        <v>0</v>
      </c>
      <c r="J26" s="48" t="n">
        <f aca="false">SUM($C26:$I26)</f>
        <v>0</v>
      </c>
      <c r="K26" s="88" t="n">
        <f aca="false">COUNTIFS('Carga (PSE)'!$C$8:$C$1007,$C$4,'Carga (PSE)'!$B$8:$B$1007,$A26)</f>
        <v>0</v>
      </c>
      <c r="L26" s="89" t="n">
        <f aca="false">IF($J26=0,0,$J26/7)</f>
        <v>0</v>
      </c>
      <c r="M26" s="89" t="n">
        <f aca="false">IF($J26=0,0,STDEV($C26:$I26))</f>
        <v>0</v>
      </c>
      <c r="N26" s="67" t="n">
        <f aca="false">IF($M26=0,0,$L26/$M26)</f>
        <v>0</v>
      </c>
      <c r="O26" s="48" t="n">
        <f aca="false">$J26*$N26</f>
        <v>0</v>
      </c>
      <c r="P26" s="70" t="str">
        <f aca="false">IF($J26=0,"",IF($N26&gt;2,"Monotonia alta",IF($N26&gt;=1.5,"Atenção","Adequada")))</f>
        <v/>
      </c>
    </row>
    <row r="27" customFormat="false" ht="15" hidden="false" customHeight="false" outlineLevel="0" collapsed="false">
      <c r="A27" s="74" t="n">
        <v>8</v>
      </c>
      <c r="B27" s="90" t="n">
        <f aca="false">IF(Macrociclo!$C$11="","",Macrociclo!$C$11+($A27-1)*7)</f>
        <v>46076</v>
      </c>
      <c r="C27" s="91" t="n">
        <f aca="false">IF($B27="",0,SUMIFS('Carga (PSE)'!$G$8:$G$1007,'Carga (PSE)'!$C$8:$C$1007,$C$4,'Carga (PSE)'!$A$8:$A$1007,$B27+0))</f>
        <v>0</v>
      </c>
      <c r="D27" s="91" t="n">
        <f aca="false">IF($B27="",0,SUMIFS('Carga (PSE)'!$G$8:$G$1007,'Carga (PSE)'!$C$8:$C$1007,$C$4,'Carga (PSE)'!$A$8:$A$1007,$B27+1))</f>
        <v>0</v>
      </c>
      <c r="E27" s="91" t="n">
        <f aca="false">IF($B27="",0,SUMIFS('Carga (PSE)'!$G$8:$G$1007,'Carga (PSE)'!$C$8:$C$1007,$C$4,'Carga (PSE)'!$A$8:$A$1007,$B27+2))</f>
        <v>0</v>
      </c>
      <c r="F27" s="91" t="n">
        <f aca="false">IF($B27="",0,SUMIFS('Carga (PSE)'!$G$8:$G$1007,'Carga (PSE)'!$C$8:$C$1007,$C$4,'Carga (PSE)'!$A$8:$A$1007,$B27+3))</f>
        <v>0</v>
      </c>
      <c r="G27" s="91" t="n">
        <f aca="false">IF($B27="",0,SUMIFS('Carga (PSE)'!$G$8:$G$1007,'Carga (PSE)'!$C$8:$C$1007,$C$4,'Carga (PSE)'!$A$8:$A$1007,$B27+4))</f>
        <v>0</v>
      </c>
      <c r="H27" s="91" t="n">
        <f aca="false">IF($B27="",0,SUMIFS('Carga (PSE)'!$G$8:$G$1007,'Carga (PSE)'!$C$8:$C$1007,$C$4,'Carga (PSE)'!$A$8:$A$1007,$B27+5))</f>
        <v>0</v>
      </c>
      <c r="I27" s="91" t="n">
        <f aca="false">IF($B27="",0,SUMIFS('Carga (PSE)'!$G$8:$G$1007,'Carga (PSE)'!$C$8:$C$1007,$C$4,'Carga (PSE)'!$A$8:$A$1007,$B27+6))</f>
        <v>0</v>
      </c>
      <c r="J27" s="92" t="n">
        <f aca="false">SUM($C27:$I27)</f>
        <v>0</v>
      </c>
      <c r="K27" s="91" t="n">
        <f aca="false">COUNTIFS('Carga (PSE)'!$C$8:$C$1007,$C$4,'Carga (PSE)'!$B$8:$B$1007,$A27)</f>
        <v>0</v>
      </c>
      <c r="L27" s="93" t="n">
        <f aca="false">IF($J27=0,0,$J27/7)</f>
        <v>0</v>
      </c>
      <c r="M27" s="93" t="n">
        <f aca="false">IF($J27=0,0,STDEV($C27:$I27))</f>
        <v>0</v>
      </c>
      <c r="N27" s="94" t="n">
        <f aca="false">IF($M27=0,0,$L27/$M27)</f>
        <v>0</v>
      </c>
      <c r="O27" s="92" t="n">
        <f aca="false">$J27*$N27</f>
        <v>0</v>
      </c>
      <c r="P27" s="74" t="str">
        <f aca="false">IF($J27=0,"",IF($N27&gt;2,"Monotonia alta",IF($N27&gt;=1.5,"Atenção","Adequada")))</f>
        <v/>
      </c>
    </row>
    <row r="28" customFormat="false" ht="15" hidden="false" customHeight="false" outlineLevel="0" collapsed="false">
      <c r="A28" s="70" t="n">
        <v>9</v>
      </c>
      <c r="B28" s="87" t="n">
        <f aca="false">IF(Macrociclo!$C$11="","",Macrociclo!$C$11+($A28-1)*7)</f>
        <v>46083</v>
      </c>
      <c r="C28" s="88" t="n">
        <f aca="false">IF($B28="",0,SUMIFS('Carga (PSE)'!$G$8:$G$1007,'Carga (PSE)'!$C$8:$C$1007,$C$4,'Carga (PSE)'!$A$8:$A$1007,$B28+0))</f>
        <v>0</v>
      </c>
      <c r="D28" s="88" t="n">
        <f aca="false">IF($B28="",0,SUMIFS('Carga (PSE)'!$G$8:$G$1007,'Carga (PSE)'!$C$8:$C$1007,$C$4,'Carga (PSE)'!$A$8:$A$1007,$B28+1))</f>
        <v>0</v>
      </c>
      <c r="E28" s="88" t="n">
        <f aca="false">IF($B28="",0,SUMIFS('Carga (PSE)'!$G$8:$G$1007,'Carga (PSE)'!$C$8:$C$1007,$C$4,'Carga (PSE)'!$A$8:$A$1007,$B28+2))</f>
        <v>0</v>
      </c>
      <c r="F28" s="88" t="n">
        <f aca="false">IF($B28="",0,SUMIFS('Carga (PSE)'!$G$8:$G$1007,'Carga (PSE)'!$C$8:$C$1007,$C$4,'Carga (PSE)'!$A$8:$A$1007,$B28+3))</f>
        <v>0</v>
      </c>
      <c r="G28" s="88" t="n">
        <f aca="false">IF($B28="",0,SUMIFS('Carga (PSE)'!$G$8:$G$1007,'Carga (PSE)'!$C$8:$C$1007,$C$4,'Carga (PSE)'!$A$8:$A$1007,$B28+4))</f>
        <v>0</v>
      </c>
      <c r="H28" s="88" t="n">
        <f aca="false">IF($B28="",0,SUMIFS('Carga (PSE)'!$G$8:$G$1007,'Carga (PSE)'!$C$8:$C$1007,$C$4,'Carga (PSE)'!$A$8:$A$1007,$B28+5))</f>
        <v>0</v>
      </c>
      <c r="I28" s="88" t="n">
        <f aca="false">IF($B28="",0,SUMIFS('Carga (PSE)'!$G$8:$G$1007,'Carga (PSE)'!$C$8:$C$1007,$C$4,'Carga (PSE)'!$A$8:$A$1007,$B28+6))</f>
        <v>0</v>
      </c>
      <c r="J28" s="48" t="n">
        <f aca="false">SUM($C28:$I28)</f>
        <v>0</v>
      </c>
      <c r="K28" s="88" t="n">
        <f aca="false">COUNTIFS('Carga (PSE)'!$C$8:$C$1007,$C$4,'Carga (PSE)'!$B$8:$B$1007,$A28)</f>
        <v>0</v>
      </c>
      <c r="L28" s="89" t="n">
        <f aca="false">IF($J28=0,0,$J28/7)</f>
        <v>0</v>
      </c>
      <c r="M28" s="89" t="n">
        <f aca="false">IF($J28=0,0,STDEV($C28:$I28))</f>
        <v>0</v>
      </c>
      <c r="N28" s="67" t="n">
        <f aca="false">IF($M28=0,0,$L28/$M28)</f>
        <v>0</v>
      </c>
      <c r="O28" s="48" t="n">
        <f aca="false">$J28*$N28</f>
        <v>0</v>
      </c>
      <c r="P28" s="70" t="str">
        <f aca="false">IF($J28=0,"",IF($N28&gt;2,"Monotonia alta",IF($N28&gt;=1.5,"Atenção","Adequada")))</f>
        <v/>
      </c>
    </row>
    <row r="29" customFormat="false" ht="15" hidden="false" customHeight="false" outlineLevel="0" collapsed="false">
      <c r="A29" s="74" t="n">
        <v>10</v>
      </c>
      <c r="B29" s="90" t="n">
        <f aca="false">IF(Macrociclo!$C$11="","",Macrociclo!$C$11+($A29-1)*7)</f>
        <v>46090</v>
      </c>
      <c r="C29" s="91" t="n">
        <f aca="false">IF($B29="",0,SUMIFS('Carga (PSE)'!$G$8:$G$1007,'Carga (PSE)'!$C$8:$C$1007,$C$4,'Carga (PSE)'!$A$8:$A$1007,$B29+0))</f>
        <v>0</v>
      </c>
      <c r="D29" s="91" t="n">
        <f aca="false">IF($B29="",0,SUMIFS('Carga (PSE)'!$G$8:$G$1007,'Carga (PSE)'!$C$8:$C$1007,$C$4,'Carga (PSE)'!$A$8:$A$1007,$B29+1))</f>
        <v>0</v>
      </c>
      <c r="E29" s="91" t="n">
        <f aca="false">IF($B29="",0,SUMIFS('Carga (PSE)'!$G$8:$G$1007,'Carga (PSE)'!$C$8:$C$1007,$C$4,'Carga (PSE)'!$A$8:$A$1007,$B29+2))</f>
        <v>0</v>
      </c>
      <c r="F29" s="91" t="n">
        <f aca="false">IF($B29="",0,SUMIFS('Carga (PSE)'!$G$8:$G$1007,'Carga (PSE)'!$C$8:$C$1007,$C$4,'Carga (PSE)'!$A$8:$A$1007,$B29+3))</f>
        <v>0</v>
      </c>
      <c r="G29" s="91" t="n">
        <f aca="false">IF($B29="",0,SUMIFS('Carga (PSE)'!$G$8:$G$1007,'Carga (PSE)'!$C$8:$C$1007,$C$4,'Carga (PSE)'!$A$8:$A$1007,$B29+4))</f>
        <v>0</v>
      </c>
      <c r="H29" s="91" t="n">
        <f aca="false">IF($B29="",0,SUMIFS('Carga (PSE)'!$G$8:$G$1007,'Carga (PSE)'!$C$8:$C$1007,$C$4,'Carga (PSE)'!$A$8:$A$1007,$B29+5))</f>
        <v>0</v>
      </c>
      <c r="I29" s="91" t="n">
        <f aca="false">IF($B29="",0,SUMIFS('Carga (PSE)'!$G$8:$G$1007,'Carga (PSE)'!$C$8:$C$1007,$C$4,'Carga (PSE)'!$A$8:$A$1007,$B29+6))</f>
        <v>0</v>
      </c>
      <c r="J29" s="92" t="n">
        <f aca="false">SUM($C29:$I29)</f>
        <v>0</v>
      </c>
      <c r="K29" s="91" t="n">
        <f aca="false">COUNTIFS('Carga (PSE)'!$C$8:$C$1007,$C$4,'Carga (PSE)'!$B$8:$B$1007,$A29)</f>
        <v>0</v>
      </c>
      <c r="L29" s="93" t="n">
        <f aca="false">IF($J29=0,0,$J29/7)</f>
        <v>0</v>
      </c>
      <c r="M29" s="93" t="n">
        <f aca="false">IF($J29=0,0,STDEV($C29:$I29))</f>
        <v>0</v>
      </c>
      <c r="N29" s="94" t="n">
        <f aca="false">IF($M29=0,0,$L29/$M29)</f>
        <v>0</v>
      </c>
      <c r="O29" s="92" t="n">
        <f aca="false">$J29*$N29</f>
        <v>0</v>
      </c>
      <c r="P29" s="74" t="str">
        <f aca="false">IF($J29=0,"",IF($N29&gt;2,"Monotonia alta",IF($N29&gt;=1.5,"Atenção","Adequada")))</f>
        <v/>
      </c>
    </row>
    <row r="30" customFormat="false" ht="15" hidden="false" customHeight="false" outlineLevel="0" collapsed="false">
      <c r="A30" s="70" t="n">
        <v>11</v>
      </c>
      <c r="B30" s="87" t="n">
        <f aca="false">IF(Macrociclo!$C$11="","",Macrociclo!$C$11+($A30-1)*7)</f>
        <v>46097</v>
      </c>
      <c r="C30" s="88" t="n">
        <f aca="false">IF($B30="",0,SUMIFS('Carga (PSE)'!$G$8:$G$1007,'Carga (PSE)'!$C$8:$C$1007,$C$4,'Carga (PSE)'!$A$8:$A$1007,$B30+0))</f>
        <v>0</v>
      </c>
      <c r="D30" s="88" t="n">
        <f aca="false">IF($B30="",0,SUMIFS('Carga (PSE)'!$G$8:$G$1007,'Carga (PSE)'!$C$8:$C$1007,$C$4,'Carga (PSE)'!$A$8:$A$1007,$B30+1))</f>
        <v>0</v>
      </c>
      <c r="E30" s="88" t="n">
        <f aca="false">IF($B30="",0,SUMIFS('Carga (PSE)'!$G$8:$G$1007,'Carga (PSE)'!$C$8:$C$1007,$C$4,'Carga (PSE)'!$A$8:$A$1007,$B30+2))</f>
        <v>0</v>
      </c>
      <c r="F30" s="88" t="n">
        <f aca="false">IF($B30="",0,SUMIFS('Carga (PSE)'!$G$8:$G$1007,'Carga (PSE)'!$C$8:$C$1007,$C$4,'Carga (PSE)'!$A$8:$A$1007,$B30+3))</f>
        <v>0</v>
      </c>
      <c r="G30" s="88" t="n">
        <f aca="false">IF($B30="",0,SUMIFS('Carga (PSE)'!$G$8:$G$1007,'Carga (PSE)'!$C$8:$C$1007,$C$4,'Carga (PSE)'!$A$8:$A$1007,$B30+4))</f>
        <v>0</v>
      </c>
      <c r="H30" s="88" t="n">
        <f aca="false">IF($B30="",0,SUMIFS('Carga (PSE)'!$G$8:$G$1007,'Carga (PSE)'!$C$8:$C$1007,$C$4,'Carga (PSE)'!$A$8:$A$1007,$B30+5))</f>
        <v>0</v>
      </c>
      <c r="I30" s="88" t="n">
        <f aca="false">IF($B30="",0,SUMIFS('Carga (PSE)'!$G$8:$G$1007,'Carga (PSE)'!$C$8:$C$1007,$C$4,'Carga (PSE)'!$A$8:$A$1007,$B30+6))</f>
        <v>0</v>
      </c>
      <c r="J30" s="48" t="n">
        <f aca="false">SUM($C30:$I30)</f>
        <v>0</v>
      </c>
      <c r="K30" s="88" t="n">
        <f aca="false">COUNTIFS('Carga (PSE)'!$C$8:$C$1007,$C$4,'Carga (PSE)'!$B$8:$B$1007,$A30)</f>
        <v>0</v>
      </c>
      <c r="L30" s="89" t="n">
        <f aca="false">IF($J30=0,0,$J30/7)</f>
        <v>0</v>
      </c>
      <c r="M30" s="89" t="n">
        <f aca="false">IF($J30=0,0,STDEV($C30:$I30))</f>
        <v>0</v>
      </c>
      <c r="N30" s="67" t="n">
        <f aca="false">IF($M30=0,0,$L30/$M30)</f>
        <v>0</v>
      </c>
      <c r="O30" s="48" t="n">
        <f aca="false">$J30*$N30</f>
        <v>0</v>
      </c>
      <c r="P30" s="70" t="str">
        <f aca="false">IF($J30=0,"",IF($N30&gt;2,"Monotonia alta",IF($N30&gt;=1.5,"Atenção","Adequada")))</f>
        <v/>
      </c>
    </row>
    <row r="31" customFormat="false" ht="15" hidden="false" customHeight="false" outlineLevel="0" collapsed="false">
      <c r="A31" s="74" t="n">
        <v>12</v>
      </c>
      <c r="B31" s="90" t="n">
        <f aca="false">IF(Macrociclo!$C$11="","",Macrociclo!$C$11+($A31-1)*7)</f>
        <v>46104</v>
      </c>
      <c r="C31" s="91" t="n">
        <f aca="false">IF($B31="",0,SUMIFS('Carga (PSE)'!$G$8:$G$1007,'Carga (PSE)'!$C$8:$C$1007,$C$4,'Carga (PSE)'!$A$8:$A$1007,$B31+0))</f>
        <v>0</v>
      </c>
      <c r="D31" s="91" t="n">
        <f aca="false">IF($B31="",0,SUMIFS('Carga (PSE)'!$G$8:$G$1007,'Carga (PSE)'!$C$8:$C$1007,$C$4,'Carga (PSE)'!$A$8:$A$1007,$B31+1))</f>
        <v>0</v>
      </c>
      <c r="E31" s="91" t="n">
        <f aca="false">IF($B31="",0,SUMIFS('Carga (PSE)'!$G$8:$G$1007,'Carga (PSE)'!$C$8:$C$1007,$C$4,'Carga (PSE)'!$A$8:$A$1007,$B31+2))</f>
        <v>0</v>
      </c>
      <c r="F31" s="91" t="n">
        <f aca="false">IF($B31="",0,SUMIFS('Carga (PSE)'!$G$8:$G$1007,'Carga (PSE)'!$C$8:$C$1007,$C$4,'Carga (PSE)'!$A$8:$A$1007,$B31+3))</f>
        <v>0</v>
      </c>
      <c r="G31" s="91" t="n">
        <f aca="false">IF($B31="",0,SUMIFS('Carga (PSE)'!$G$8:$G$1007,'Carga (PSE)'!$C$8:$C$1007,$C$4,'Carga (PSE)'!$A$8:$A$1007,$B31+4))</f>
        <v>0</v>
      </c>
      <c r="H31" s="91" t="n">
        <f aca="false">IF($B31="",0,SUMIFS('Carga (PSE)'!$G$8:$G$1007,'Carga (PSE)'!$C$8:$C$1007,$C$4,'Carga (PSE)'!$A$8:$A$1007,$B31+5))</f>
        <v>0</v>
      </c>
      <c r="I31" s="91" t="n">
        <f aca="false">IF($B31="",0,SUMIFS('Carga (PSE)'!$G$8:$G$1007,'Carga (PSE)'!$C$8:$C$1007,$C$4,'Carga (PSE)'!$A$8:$A$1007,$B31+6))</f>
        <v>0</v>
      </c>
      <c r="J31" s="92" t="n">
        <f aca="false">SUM($C31:$I31)</f>
        <v>0</v>
      </c>
      <c r="K31" s="91" t="n">
        <f aca="false">COUNTIFS('Carga (PSE)'!$C$8:$C$1007,$C$4,'Carga (PSE)'!$B$8:$B$1007,$A31)</f>
        <v>0</v>
      </c>
      <c r="L31" s="93" t="n">
        <f aca="false">IF($J31=0,0,$J31/7)</f>
        <v>0</v>
      </c>
      <c r="M31" s="93" t="n">
        <f aca="false">IF($J31=0,0,STDEV($C31:$I31))</f>
        <v>0</v>
      </c>
      <c r="N31" s="94" t="n">
        <f aca="false">IF($M31=0,0,$L31/$M31)</f>
        <v>0</v>
      </c>
      <c r="O31" s="92" t="n">
        <f aca="false">$J31*$N31</f>
        <v>0</v>
      </c>
      <c r="P31" s="74" t="str">
        <f aca="false">IF($J31=0,"",IF($N31&gt;2,"Monotonia alta",IF($N31&gt;=1.5,"Atenção","Adequada")))</f>
        <v/>
      </c>
    </row>
    <row r="32" customFormat="false" ht="15" hidden="false" customHeight="false" outlineLevel="0" collapsed="false">
      <c r="A32" s="70" t="n">
        <v>13</v>
      </c>
      <c r="B32" s="87" t="n">
        <f aca="false">IF(Macrociclo!$C$11="","",Macrociclo!$C$11+($A32-1)*7)</f>
        <v>46111</v>
      </c>
      <c r="C32" s="88" t="n">
        <f aca="false">IF($B32="",0,SUMIFS('Carga (PSE)'!$G$8:$G$1007,'Carga (PSE)'!$C$8:$C$1007,$C$4,'Carga (PSE)'!$A$8:$A$1007,$B32+0))</f>
        <v>0</v>
      </c>
      <c r="D32" s="88" t="n">
        <f aca="false">IF($B32="",0,SUMIFS('Carga (PSE)'!$G$8:$G$1007,'Carga (PSE)'!$C$8:$C$1007,$C$4,'Carga (PSE)'!$A$8:$A$1007,$B32+1))</f>
        <v>0</v>
      </c>
      <c r="E32" s="88" t="n">
        <f aca="false">IF($B32="",0,SUMIFS('Carga (PSE)'!$G$8:$G$1007,'Carga (PSE)'!$C$8:$C$1007,$C$4,'Carga (PSE)'!$A$8:$A$1007,$B32+2))</f>
        <v>0</v>
      </c>
      <c r="F32" s="88" t="n">
        <f aca="false">IF($B32="",0,SUMIFS('Carga (PSE)'!$G$8:$G$1007,'Carga (PSE)'!$C$8:$C$1007,$C$4,'Carga (PSE)'!$A$8:$A$1007,$B32+3))</f>
        <v>0</v>
      </c>
      <c r="G32" s="88" t="n">
        <f aca="false">IF($B32="",0,SUMIFS('Carga (PSE)'!$G$8:$G$1007,'Carga (PSE)'!$C$8:$C$1007,$C$4,'Carga (PSE)'!$A$8:$A$1007,$B32+4))</f>
        <v>0</v>
      </c>
      <c r="H32" s="88" t="n">
        <f aca="false">IF($B32="",0,SUMIFS('Carga (PSE)'!$G$8:$G$1007,'Carga (PSE)'!$C$8:$C$1007,$C$4,'Carga (PSE)'!$A$8:$A$1007,$B32+5))</f>
        <v>0</v>
      </c>
      <c r="I32" s="88" t="n">
        <f aca="false">IF($B32="",0,SUMIFS('Carga (PSE)'!$G$8:$G$1007,'Carga (PSE)'!$C$8:$C$1007,$C$4,'Carga (PSE)'!$A$8:$A$1007,$B32+6))</f>
        <v>0</v>
      </c>
      <c r="J32" s="48" t="n">
        <f aca="false">SUM($C32:$I32)</f>
        <v>0</v>
      </c>
      <c r="K32" s="88" t="n">
        <f aca="false">COUNTIFS('Carga (PSE)'!$C$8:$C$1007,$C$4,'Carga (PSE)'!$B$8:$B$1007,$A32)</f>
        <v>0</v>
      </c>
      <c r="L32" s="89" t="n">
        <f aca="false">IF($J32=0,0,$J32/7)</f>
        <v>0</v>
      </c>
      <c r="M32" s="89" t="n">
        <f aca="false">IF($J32=0,0,STDEV($C32:$I32))</f>
        <v>0</v>
      </c>
      <c r="N32" s="67" t="n">
        <f aca="false">IF($M32=0,0,$L32/$M32)</f>
        <v>0</v>
      </c>
      <c r="O32" s="48" t="n">
        <f aca="false">$J32*$N32</f>
        <v>0</v>
      </c>
      <c r="P32" s="70" t="str">
        <f aca="false">IF($J32=0,"",IF($N32&gt;2,"Monotonia alta",IF($N32&gt;=1.5,"Atenção","Adequada")))</f>
        <v/>
      </c>
    </row>
    <row r="33" customFormat="false" ht="15" hidden="false" customHeight="false" outlineLevel="0" collapsed="false">
      <c r="A33" s="74" t="n">
        <v>14</v>
      </c>
      <c r="B33" s="90" t="n">
        <f aca="false">IF(Macrociclo!$C$11="","",Macrociclo!$C$11+($A33-1)*7)</f>
        <v>46118</v>
      </c>
      <c r="C33" s="91" t="n">
        <f aca="false">IF($B33="",0,SUMIFS('Carga (PSE)'!$G$8:$G$1007,'Carga (PSE)'!$C$8:$C$1007,$C$4,'Carga (PSE)'!$A$8:$A$1007,$B33+0))</f>
        <v>0</v>
      </c>
      <c r="D33" s="91" t="n">
        <f aca="false">IF($B33="",0,SUMIFS('Carga (PSE)'!$G$8:$G$1007,'Carga (PSE)'!$C$8:$C$1007,$C$4,'Carga (PSE)'!$A$8:$A$1007,$B33+1))</f>
        <v>0</v>
      </c>
      <c r="E33" s="91" t="n">
        <f aca="false">IF($B33="",0,SUMIFS('Carga (PSE)'!$G$8:$G$1007,'Carga (PSE)'!$C$8:$C$1007,$C$4,'Carga (PSE)'!$A$8:$A$1007,$B33+2))</f>
        <v>0</v>
      </c>
      <c r="F33" s="91" t="n">
        <f aca="false">IF($B33="",0,SUMIFS('Carga (PSE)'!$G$8:$G$1007,'Carga (PSE)'!$C$8:$C$1007,$C$4,'Carga (PSE)'!$A$8:$A$1007,$B33+3))</f>
        <v>0</v>
      </c>
      <c r="G33" s="91" t="n">
        <f aca="false">IF($B33="",0,SUMIFS('Carga (PSE)'!$G$8:$G$1007,'Carga (PSE)'!$C$8:$C$1007,$C$4,'Carga (PSE)'!$A$8:$A$1007,$B33+4))</f>
        <v>0</v>
      </c>
      <c r="H33" s="91" t="n">
        <f aca="false">IF($B33="",0,SUMIFS('Carga (PSE)'!$G$8:$G$1007,'Carga (PSE)'!$C$8:$C$1007,$C$4,'Carga (PSE)'!$A$8:$A$1007,$B33+5))</f>
        <v>0</v>
      </c>
      <c r="I33" s="91" t="n">
        <f aca="false">IF($B33="",0,SUMIFS('Carga (PSE)'!$G$8:$G$1007,'Carga (PSE)'!$C$8:$C$1007,$C$4,'Carga (PSE)'!$A$8:$A$1007,$B33+6))</f>
        <v>0</v>
      </c>
      <c r="J33" s="92" t="n">
        <f aca="false">SUM($C33:$I33)</f>
        <v>0</v>
      </c>
      <c r="K33" s="91" t="n">
        <f aca="false">COUNTIFS('Carga (PSE)'!$C$8:$C$1007,$C$4,'Carga (PSE)'!$B$8:$B$1007,$A33)</f>
        <v>0</v>
      </c>
      <c r="L33" s="93" t="n">
        <f aca="false">IF($J33=0,0,$J33/7)</f>
        <v>0</v>
      </c>
      <c r="M33" s="93" t="n">
        <f aca="false">IF($J33=0,0,STDEV($C33:$I33))</f>
        <v>0</v>
      </c>
      <c r="N33" s="94" t="n">
        <f aca="false">IF($M33=0,0,$L33/$M33)</f>
        <v>0</v>
      </c>
      <c r="O33" s="92" t="n">
        <f aca="false">$J33*$N33</f>
        <v>0</v>
      </c>
      <c r="P33" s="74" t="str">
        <f aca="false">IF($J33=0,"",IF($N33&gt;2,"Monotonia alta",IF($N33&gt;=1.5,"Atenção","Adequada")))</f>
        <v/>
      </c>
    </row>
    <row r="34" customFormat="false" ht="15" hidden="false" customHeight="false" outlineLevel="0" collapsed="false">
      <c r="A34" s="70" t="n">
        <v>15</v>
      </c>
      <c r="B34" s="87" t="n">
        <f aca="false">IF(Macrociclo!$C$11="","",Macrociclo!$C$11+($A34-1)*7)</f>
        <v>46125</v>
      </c>
      <c r="C34" s="88" t="n">
        <f aca="false">IF($B34="",0,SUMIFS('Carga (PSE)'!$G$8:$G$1007,'Carga (PSE)'!$C$8:$C$1007,$C$4,'Carga (PSE)'!$A$8:$A$1007,$B34+0))</f>
        <v>0</v>
      </c>
      <c r="D34" s="88" t="n">
        <f aca="false">IF($B34="",0,SUMIFS('Carga (PSE)'!$G$8:$G$1007,'Carga (PSE)'!$C$8:$C$1007,$C$4,'Carga (PSE)'!$A$8:$A$1007,$B34+1))</f>
        <v>0</v>
      </c>
      <c r="E34" s="88" t="n">
        <f aca="false">IF($B34="",0,SUMIFS('Carga (PSE)'!$G$8:$G$1007,'Carga (PSE)'!$C$8:$C$1007,$C$4,'Carga (PSE)'!$A$8:$A$1007,$B34+2))</f>
        <v>0</v>
      </c>
      <c r="F34" s="88" t="n">
        <f aca="false">IF($B34="",0,SUMIFS('Carga (PSE)'!$G$8:$G$1007,'Carga (PSE)'!$C$8:$C$1007,$C$4,'Carga (PSE)'!$A$8:$A$1007,$B34+3))</f>
        <v>0</v>
      </c>
      <c r="G34" s="88" t="n">
        <f aca="false">IF($B34="",0,SUMIFS('Carga (PSE)'!$G$8:$G$1007,'Carga (PSE)'!$C$8:$C$1007,$C$4,'Carga (PSE)'!$A$8:$A$1007,$B34+4))</f>
        <v>0</v>
      </c>
      <c r="H34" s="88" t="n">
        <f aca="false">IF($B34="",0,SUMIFS('Carga (PSE)'!$G$8:$G$1007,'Carga (PSE)'!$C$8:$C$1007,$C$4,'Carga (PSE)'!$A$8:$A$1007,$B34+5))</f>
        <v>0</v>
      </c>
      <c r="I34" s="88" t="n">
        <f aca="false">IF($B34="",0,SUMIFS('Carga (PSE)'!$G$8:$G$1007,'Carga (PSE)'!$C$8:$C$1007,$C$4,'Carga (PSE)'!$A$8:$A$1007,$B34+6))</f>
        <v>0</v>
      </c>
      <c r="J34" s="48" t="n">
        <f aca="false">SUM($C34:$I34)</f>
        <v>0</v>
      </c>
      <c r="K34" s="88" t="n">
        <f aca="false">COUNTIFS('Carga (PSE)'!$C$8:$C$1007,$C$4,'Carga (PSE)'!$B$8:$B$1007,$A34)</f>
        <v>0</v>
      </c>
      <c r="L34" s="89" t="n">
        <f aca="false">IF($J34=0,0,$J34/7)</f>
        <v>0</v>
      </c>
      <c r="M34" s="89" t="n">
        <f aca="false">IF($J34=0,0,STDEV($C34:$I34))</f>
        <v>0</v>
      </c>
      <c r="N34" s="67" t="n">
        <f aca="false">IF($M34=0,0,$L34/$M34)</f>
        <v>0</v>
      </c>
      <c r="O34" s="48" t="n">
        <f aca="false">$J34*$N34</f>
        <v>0</v>
      </c>
      <c r="P34" s="70" t="str">
        <f aca="false">IF($J34=0,"",IF($N34&gt;2,"Monotonia alta",IF($N34&gt;=1.5,"Atenção","Adequada")))</f>
        <v/>
      </c>
    </row>
    <row r="35" customFormat="false" ht="15" hidden="false" customHeight="false" outlineLevel="0" collapsed="false">
      <c r="A35" s="74" t="n">
        <v>16</v>
      </c>
      <c r="B35" s="90" t="n">
        <f aca="false">IF(Macrociclo!$C$11="","",Macrociclo!$C$11+($A35-1)*7)</f>
        <v>46132</v>
      </c>
      <c r="C35" s="91" t="n">
        <f aca="false">IF($B35="",0,SUMIFS('Carga (PSE)'!$G$8:$G$1007,'Carga (PSE)'!$C$8:$C$1007,$C$4,'Carga (PSE)'!$A$8:$A$1007,$B35+0))</f>
        <v>0</v>
      </c>
      <c r="D35" s="91" t="n">
        <f aca="false">IF($B35="",0,SUMIFS('Carga (PSE)'!$G$8:$G$1007,'Carga (PSE)'!$C$8:$C$1007,$C$4,'Carga (PSE)'!$A$8:$A$1007,$B35+1))</f>
        <v>0</v>
      </c>
      <c r="E35" s="91" t="n">
        <f aca="false">IF($B35="",0,SUMIFS('Carga (PSE)'!$G$8:$G$1007,'Carga (PSE)'!$C$8:$C$1007,$C$4,'Carga (PSE)'!$A$8:$A$1007,$B35+2))</f>
        <v>0</v>
      </c>
      <c r="F35" s="91" t="n">
        <f aca="false">IF($B35="",0,SUMIFS('Carga (PSE)'!$G$8:$G$1007,'Carga (PSE)'!$C$8:$C$1007,$C$4,'Carga (PSE)'!$A$8:$A$1007,$B35+3))</f>
        <v>0</v>
      </c>
      <c r="G35" s="91" t="n">
        <f aca="false">IF($B35="",0,SUMIFS('Carga (PSE)'!$G$8:$G$1007,'Carga (PSE)'!$C$8:$C$1007,$C$4,'Carga (PSE)'!$A$8:$A$1007,$B35+4))</f>
        <v>0</v>
      </c>
      <c r="H35" s="91" t="n">
        <f aca="false">IF($B35="",0,SUMIFS('Carga (PSE)'!$G$8:$G$1007,'Carga (PSE)'!$C$8:$C$1007,$C$4,'Carga (PSE)'!$A$8:$A$1007,$B35+5))</f>
        <v>0</v>
      </c>
      <c r="I35" s="91" t="n">
        <f aca="false">IF($B35="",0,SUMIFS('Carga (PSE)'!$G$8:$G$1007,'Carga (PSE)'!$C$8:$C$1007,$C$4,'Carga (PSE)'!$A$8:$A$1007,$B35+6))</f>
        <v>0</v>
      </c>
      <c r="J35" s="92" t="n">
        <f aca="false">SUM($C35:$I35)</f>
        <v>0</v>
      </c>
      <c r="K35" s="91" t="n">
        <f aca="false">COUNTIFS('Carga (PSE)'!$C$8:$C$1007,$C$4,'Carga (PSE)'!$B$8:$B$1007,$A35)</f>
        <v>0</v>
      </c>
      <c r="L35" s="93" t="n">
        <f aca="false">IF($J35=0,0,$J35/7)</f>
        <v>0</v>
      </c>
      <c r="M35" s="93" t="n">
        <f aca="false">IF($J35=0,0,STDEV($C35:$I35))</f>
        <v>0</v>
      </c>
      <c r="N35" s="94" t="n">
        <f aca="false">IF($M35=0,0,$L35/$M35)</f>
        <v>0</v>
      </c>
      <c r="O35" s="92" t="n">
        <f aca="false">$J35*$N35</f>
        <v>0</v>
      </c>
      <c r="P35" s="74" t="str">
        <f aca="false">IF($J35=0,"",IF($N35&gt;2,"Monotonia alta",IF($N35&gt;=1.5,"Atenção","Adequada")))</f>
        <v/>
      </c>
    </row>
    <row r="36" customFormat="false" ht="15" hidden="false" customHeight="false" outlineLevel="0" collapsed="false">
      <c r="A36" s="70" t="n">
        <v>17</v>
      </c>
      <c r="B36" s="87" t="n">
        <f aca="false">IF(Macrociclo!$C$11="","",Macrociclo!$C$11+($A36-1)*7)</f>
        <v>46139</v>
      </c>
      <c r="C36" s="88" t="n">
        <f aca="false">IF($B36="",0,SUMIFS('Carga (PSE)'!$G$8:$G$1007,'Carga (PSE)'!$C$8:$C$1007,$C$4,'Carga (PSE)'!$A$8:$A$1007,$B36+0))</f>
        <v>0</v>
      </c>
      <c r="D36" s="88" t="n">
        <f aca="false">IF($B36="",0,SUMIFS('Carga (PSE)'!$G$8:$G$1007,'Carga (PSE)'!$C$8:$C$1007,$C$4,'Carga (PSE)'!$A$8:$A$1007,$B36+1))</f>
        <v>0</v>
      </c>
      <c r="E36" s="88" t="n">
        <f aca="false">IF($B36="",0,SUMIFS('Carga (PSE)'!$G$8:$G$1007,'Carga (PSE)'!$C$8:$C$1007,$C$4,'Carga (PSE)'!$A$8:$A$1007,$B36+2))</f>
        <v>0</v>
      </c>
      <c r="F36" s="88" t="n">
        <f aca="false">IF($B36="",0,SUMIFS('Carga (PSE)'!$G$8:$G$1007,'Carga (PSE)'!$C$8:$C$1007,$C$4,'Carga (PSE)'!$A$8:$A$1007,$B36+3))</f>
        <v>0</v>
      </c>
      <c r="G36" s="88" t="n">
        <f aca="false">IF($B36="",0,SUMIFS('Carga (PSE)'!$G$8:$G$1007,'Carga (PSE)'!$C$8:$C$1007,$C$4,'Carga (PSE)'!$A$8:$A$1007,$B36+4))</f>
        <v>0</v>
      </c>
      <c r="H36" s="88" t="n">
        <f aca="false">IF($B36="",0,SUMIFS('Carga (PSE)'!$G$8:$G$1007,'Carga (PSE)'!$C$8:$C$1007,$C$4,'Carga (PSE)'!$A$8:$A$1007,$B36+5))</f>
        <v>0</v>
      </c>
      <c r="I36" s="88" t="n">
        <f aca="false">IF($B36="",0,SUMIFS('Carga (PSE)'!$G$8:$G$1007,'Carga (PSE)'!$C$8:$C$1007,$C$4,'Carga (PSE)'!$A$8:$A$1007,$B36+6))</f>
        <v>0</v>
      </c>
      <c r="J36" s="48" t="n">
        <f aca="false">SUM($C36:$I36)</f>
        <v>0</v>
      </c>
      <c r="K36" s="88" t="n">
        <f aca="false">COUNTIFS('Carga (PSE)'!$C$8:$C$1007,$C$4,'Carga (PSE)'!$B$8:$B$1007,$A36)</f>
        <v>0</v>
      </c>
      <c r="L36" s="89" t="n">
        <f aca="false">IF($J36=0,0,$J36/7)</f>
        <v>0</v>
      </c>
      <c r="M36" s="89" t="n">
        <f aca="false">IF($J36=0,0,STDEV($C36:$I36))</f>
        <v>0</v>
      </c>
      <c r="N36" s="67" t="n">
        <f aca="false">IF($M36=0,0,$L36/$M36)</f>
        <v>0</v>
      </c>
      <c r="O36" s="48" t="n">
        <f aca="false">$J36*$N36</f>
        <v>0</v>
      </c>
      <c r="P36" s="70" t="str">
        <f aca="false">IF($J36=0,"",IF($N36&gt;2,"Monotonia alta",IF($N36&gt;=1.5,"Atenção","Adequada")))</f>
        <v/>
      </c>
    </row>
    <row r="37" customFormat="false" ht="15" hidden="false" customHeight="false" outlineLevel="0" collapsed="false">
      <c r="A37" s="74" t="n">
        <v>18</v>
      </c>
      <c r="B37" s="90" t="n">
        <f aca="false">IF(Macrociclo!$C$11="","",Macrociclo!$C$11+($A37-1)*7)</f>
        <v>46146</v>
      </c>
      <c r="C37" s="91" t="n">
        <f aca="false">IF($B37="",0,SUMIFS('Carga (PSE)'!$G$8:$G$1007,'Carga (PSE)'!$C$8:$C$1007,$C$4,'Carga (PSE)'!$A$8:$A$1007,$B37+0))</f>
        <v>0</v>
      </c>
      <c r="D37" s="91" t="n">
        <f aca="false">IF($B37="",0,SUMIFS('Carga (PSE)'!$G$8:$G$1007,'Carga (PSE)'!$C$8:$C$1007,$C$4,'Carga (PSE)'!$A$8:$A$1007,$B37+1))</f>
        <v>0</v>
      </c>
      <c r="E37" s="91" t="n">
        <f aca="false">IF($B37="",0,SUMIFS('Carga (PSE)'!$G$8:$G$1007,'Carga (PSE)'!$C$8:$C$1007,$C$4,'Carga (PSE)'!$A$8:$A$1007,$B37+2))</f>
        <v>0</v>
      </c>
      <c r="F37" s="91" t="n">
        <f aca="false">IF($B37="",0,SUMIFS('Carga (PSE)'!$G$8:$G$1007,'Carga (PSE)'!$C$8:$C$1007,$C$4,'Carga (PSE)'!$A$8:$A$1007,$B37+3))</f>
        <v>0</v>
      </c>
      <c r="G37" s="91" t="n">
        <f aca="false">IF($B37="",0,SUMIFS('Carga (PSE)'!$G$8:$G$1007,'Carga (PSE)'!$C$8:$C$1007,$C$4,'Carga (PSE)'!$A$8:$A$1007,$B37+4))</f>
        <v>0</v>
      </c>
      <c r="H37" s="91" t="n">
        <f aca="false">IF($B37="",0,SUMIFS('Carga (PSE)'!$G$8:$G$1007,'Carga (PSE)'!$C$8:$C$1007,$C$4,'Carga (PSE)'!$A$8:$A$1007,$B37+5))</f>
        <v>0</v>
      </c>
      <c r="I37" s="91" t="n">
        <f aca="false">IF($B37="",0,SUMIFS('Carga (PSE)'!$G$8:$G$1007,'Carga (PSE)'!$C$8:$C$1007,$C$4,'Carga (PSE)'!$A$8:$A$1007,$B37+6))</f>
        <v>0</v>
      </c>
      <c r="J37" s="92" t="n">
        <f aca="false">SUM($C37:$I37)</f>
        <v>0</v>
      </c>
      <c r="K37" s="91" t="n">
        <f aca="false">COUNTIFS('Carga (PSE)'!$C$8:$C$1007,$C$4,'Carga (PSE)'!$B$8:$B$1007,$A37)</f>
        <v>0</v>
      </c>
      <c r="L37" s="93" t="n">
        <f aca="false">IF($J37=0,0,$J37/7)</f>
        <v>0</v>
      </c>
      <c r="M37" s="93" t="n">
        <f aca="false">IF($J37=0,0,STDEV($C37:$I37))</f>
        <v>0</v>
      </c>
      <c r="N37" s="94" t="n">
        <f aca="false">IF($M37=0,0,$L37/$M37)</f>
        <v>0</v>
      </c>
      <c r="O37" s="92" t="n">
        <f aca="false">$J37*$N37</f>
        <v>0</v>
      </c>
      <c r="P37" s="74" t="str">
        <f aca="false">IF($J37=0,"",IF($N37&gt;2,"Monotonia alta",IF($N37&gt;=1.5,"Atenção","Adequada")))</f>
        <v/>
      </c>
    </row>
    <row r="38" customFormat="false" ht="15" hidden="false" customHeight="false" outlineLevel="0" collapsed="false">
      <c r="A38" s="70" t="n">
        <v>19</v>
      </c>
      <c r="B38" s="87" t="n">
        <f aca="false">IF(Macrociclo!$C$11="","",Macrociclo!$C$11+($A38-1)*7)</f>
        <v>46153</v>
      </c>
      <c r="C38" s="88" t="n">
        <f aca="false">IF($B38="",0,SUMIFS('Carga (PSE)'!$G$8:$G$1007,'Carga (PSE)'!$C$8:$C$1007,$C$4,'Carga (PSE)'!$A$8:$A$1007,$B38+0))</f>
        <v>0</v>
      </c>
      <c r="D38" s="88" t="n">
        <f aca="false">IF($B38="",0,SUMIFS('Carga (PSE)'!$G$8:$G$1007,'Carga (PSE)'!$C$8:$C$1007,$C$4,'Carga (PSE)'!$A$8:$A$1007,$B38+1))</f>
        <v>0</v>
      </c>
      <c r="E38" s="88" t="n">
        <f aca="false">IF($B38="",0,SUMIFS('Carga (PSE)'!$G$8:$G$1007,'Carga (PSE)'!$C$8:$C$1007,$C$4,'Carga (PSE)'!$A$8:$A$1007,$B38+2))</f>
        <v>0</v>
      </c>
      <c r="F38" s="88" t="n">
        <f aca="false">IF($B38="",0,SUMIFS('Carga (PSE)'!$G$8:$G$1007,'Carga (PSE)'!$C$8:$C$1007,$C$4,'Carga (PSE)'!$A$8:$A$1007,$B38+3))</f>
        <v>0</v>
      </c>
      <c r="G38" s="88" t="n">
        <f aca="false">IF($B38="",0,SUMIFS('Carga (PSE)'!$G$8:$G$1007,'Carga (PSE)'!$C$8:$C$1007,$C$4,'Carga (PSE)'!$A$8:$A$1007,$B38+4))</f>
        <v>0</v>
      </c>
      <c r="H38" s="88" t="n">
        <f aca="false">IF($B38="",0,SUMIFS('Carga (PSE)'!$G$8:$G$1007,'Carga (PSE)'!$C$8:$C$1007,$C$4,'Carga (PSE)'!$A$8:$A$1007,$B38+5))</f>
        <v>0</v>
      </c>
      <c r="I38" s="88" t="n">
        <f aca="false">IF($B38="",0,SUMIFS('Carga (PSE)'!$G$8:$G$1007,'Carga (PSE)'!$C$8:$C$1007,$C$4,'Carga (PSE)'!$A$8:$A$1007,$B38+6))</f>
        <v>0</v>
      </c>
      <c r="J38" s="48" t="n">
        <f aca="false">SUM($C38:$I38)</f>
        <v>0</v>
      </c>
      <c r="K38" s="88" t="n">
        <f aca="false">COUNTIFS('Carga (PSE)'!$C$8:$C$1007,$C$4,'Carga (PSE)'!$B$8:$B$1007,$A38)</f>
        <v>0</v>
      </c>
      <c r="L38" s="89" t="n">
        <f aca="false">IF($J38=0,0,$J38/7)</f>
        <v>0</v>
      </c>
      <c r="M38" s="89" t="n">
        <f aca="false">IF($J38=0,0,STDEV($C38:$I38))</f>
        <v>0</v>
      </c>
      <c r="N38" s="67" t="n">
        <f aca="false">IF($M38=0,0,$L38/$M38)</f>
        <v>0</v>
      </c>
      <c r="O38" s="48" t="n">
        <f aca="false">$J38*$N38</f>
        <v>0</v>
      </c>
      <c r="P38" s="70" t="str">
        <f aca="false">IF($J38=0,"",IF($N38&gt;2,"Monotonia alta",IF($N38&gt;=1.5,"Atenção","Adequada")))</f>
        <v/>
      </c>
    </row>
    <row r="39" customFormat="false" ht="15" hidden="false" customHeight="false" outlineLevel="0" collapsed="false">
      <c r="A39" s="74" t="n">
        <v>20</v>
      </c>
      <c r="B39" s="90" t="n">
        <f aca="false">IF(Macrociclo!$C$11="","",Macrociclo!$C$11+($A39-1)*7)</f>
        <v>46160</v>
      </c>
      <c r="C39" s="91" t="n">
        <f aca="false">IF($B39="",0,SUMIFS('Carga (PSE)'!$G$8:$G$1007,'Carga (PSE)'!$C$8:$C$1007,$C$4,'Carga (PSE)'!$A$8:$A$1007,$B39+0))</f>
        <v>0</v>
      </c>
      <c r="D39" s="91" t="n">
        <f aca="false">IF($B39="",0,SUMIFS('Carga (PSE)'!$G$8:$G$1007,'Carga (PSE)'!$C$8:$C$1007,$C$4,'Carga (PSE)'!$A$8:$A$1007,$B39+1))</f>
        <v>0</v>
      </c>
      <c r="E39" s="91" t="n">
        <f aca="false">IF($B39="",0,SUMIFS('Carga (PSE)'!$G$8:$G$1007,'Carga (PSE)'!$C$8:$C$1007,$C$4,'Carga (PSE)'!$A$8:$A$1007,$B39+2))</f>
        <v>0</v>
      </c>
      <c r="F39" s="91" t="n">
        <f aca="false">IF($B39="",0,SUMIFS('Carga (PSE)'!$G$8:$G$1007,'Carga (PSE)'!$C$8:$C$1007,$C$4,'Carga (PSE)'!$A$8:$A$1007,$B39+3))</f>
        <v>0</v>
      </c>
      <c r="G39" s="91" t="n">
        <f aca="false">IF($B39="",0,SUMIFS('Carga (PSE)'!$G$8:$G$1007,'Carga (PSE)'!$C$8:$C$1007,$C$4,'Carga (PSE)'!$A$8:$A$1007,$B39+4))</f>
        <v>0</v>
      </c>
      <c r="H39" s="91" t="n">
        <f aca="false">IF($B39="",0,SUMIFS('Carga (PSE)'!$G$8:$G$1007,'Carga (PSE)'!$C$8:$C$1007,$C$4,'Carga (PSE)'!$A$8:$A$1007,$B39+5))</f>
        <v>0</v>
      </c>
      <c r="I39" s="91" t="n">
        <f aca="false">IF($B39="",0,SUMIFS('Carga (PSE)'!$G$8:$G$1007,'Carga (PSE)'!$C$8:$C$1007,$C$4,'Carga (PSE)'!$A$8:$A$1007,$B39+6))</f>
        <v>0</v>
      </c>
      <c r="J39" s="92" t="n">
        <f aca="false">SUM($C39:$I39)</f>
        <v>0</v>
      </c>
      <c r="K39" s="91" t="n">
        <f aca="false">COUNTIFS('Carga (PSE)'!$C$8:$C$1007,$C$4,'Carga (PSE)'!$B$8:$B$1007,$A39)</f>
        <v>0</v>
      </c>
      <c r="L39" s="93" t="n">
        <f aca="false">IF($J39=0,0,$J39/7)</f>
        <v>0</v>
      </c>
      <c r="M39" s="93" t="n">
        <f aca="false">IF($J39=0,0,STDEV($C39:$I39))</f>
        <v>0</v>
      </c>
      <c r="N39" s="94" t="n">
        <f aca="false">IF($M39=0,0,$L39/$M39)</f>
        <v>0</v>
      </c>
      <c r="O39" s="92" t="n">
        <f aca="false">$J39*$N39</f>
        <v>0</v>
      </c>
      <c r="P39" s="74" t="str">
        <f aca="false">IF($J39=0,"",IF($N39&gt;2,"Monotonia alta",IF($N39&gt;=1.5,"Atenção","Adequada")))</f>
        <v/>
      </c>
    </row>
    <row r="40" customFormat="false" ht="15" hidden="false" customHeight="false" outlineLevel="0" collapsed="false">
      <c r="A40" s="70" t="n">
        <v>21</v>
      </c>
      <c r="B40" s="87" t="n">
        <f aca="false">IF(Macrociclo!$C$11="","",Macrociclo!$C$11+($A40-1)*7)</f>
        <v>46167</v>
      </c>
      <c r="C40" s="88" t="n">
        <f aca="false">IF($B40="",0,SUMIFS('Carga (PSE)'!$G$8:$G$1007,'Carga (PSE)'!$C$8:$C$1007,$C$4,'Carga (PSE)'!$A$8:$A$1007,$B40+0))</f>
        <v>0</v>
      </c>
      <c r="D40" s="88" t="n">
        <f aca="false">IF($B40="",0,SUMIFS('Carga (PSE)'!$G$8:$G$1007,'Carga (PSE)'!$C$8:$C$1007,$C$4,'Carga (PSE)'!$A$8:$A$1007,$B40+1))</f>
        <v>0</v>
      </c>
      <c r="E40" s="88" t="n">
        <f aca="false">IF($B40="",0,SUMIFS('Carga (PSE)'!$G$8:$G$1007,'Carga (PSE)'!$C$8:$C$1007,$C$4,'Carga (PSE)'!$A$8:$A$1007,$B40+2))</f>
        <v>0</v>
      </c>
      <c r="F40" s="88" t="n">
        <f aca="false">IF($B40="",0,SUMIFS('Carga (PSE)'!$G$8:$G$1007,'Carga (PSE)'!$C$8:$C$1007,$C$4,'Carga (PSE)'!$A$8:$A$1007,$B40+3))</f>
        <v>0</v>
      </c>
      <c r="G40" s="88" t="n">
        <f aca="false">IF($B40="",0,SUMIFS('Carga (PSE)'!$G$8:$G$1007,'Carga (PSE)'!$C$8:$C$1007,$C$4,'Carga (PSE)'!$A$8:$A$1007,$B40+4))</f>
        <v>0</v>
      </c>
      <c r="H40" s="88" t="n">
        <f aca="false">IF($B40="",0,SUMIFS('Carga (PSE)'!$G$8:$G$1007,'Carga (PSE)'!$C$8:$C$1007,$C$4,'Carga (PSE)'!$A$8:$A$1007,$B40+5))</f>
        <v>0</v>
      </c>
      <c r="I40" s="88" t="n">
        <f aca="false">IF($B40="",0,SUMIFS('Carga (PSE)'!$G$8:$G$1007,'Carga (PSE)'!$C$8:$C$1007,$C$4,'Carga (PSE)'!$A$8:$A$1007,$B40+6))</f>
        <v>0</v>
      </c>
      <c r="J40" s="48" t="n">
        <f aca="false">SUM($C40:$I40)</f>
        <v>0</v>
      </c>
      <c r="K40" s="88" t="n">
        <f aca="false">COUNTIFS('Carga (PSE)'!$C$8:$C$1007,$C$4,'Carga (PSE)'!$B$8:$B$1007,$A40)</f>
        <v>0</v>
      </c>
      <c r="L40" s="89" t="n">
        <f aca="false">IF($J40=0,0,$J40/7)</f>
        <v>0</v>
      </c>
      <c r="M40" s="89" t="n">
        <f aca="false">IF($J40=0,0,STDEV($C40:$I40))</f>
        <v>0</v>
      </c>
      <c r="N40" s="67" t="n">
        <f aca="false">IF($M40=0,0,$L40/$M40)</f>
        <v>0</v>
      </c>
      <c r="O40" s="48" t="n">
        <f aca="false">$J40*$N40</f>
        <v>0</v>
      </c>
      <c r="P40" s="70" t="str">
        <f aca="false">IF($J40=0,"",IF($N40&gt;2,"Monotonia alta",IF($N40&gt;=1.5,"Atenção","Adequada")))</f>
        <v/>
      </c>
    </row>
    <row r="41" customFormat="false" ht="15" hidden="false" customHeight="false" outlineLevel="0" collapsed="false">
      <c r="A41" s="74" t="n">
        <v>22</v>
      </c>
      <c r="B41" s="90" t="n">
        <f aca="false">IF(Macrociclo!$C$11="","",Macrociclo!$C$11+($A41-1)*7)</f>
        <v>46174</v>
      </c>
      <c r="C41" s="91" t="n">
        <f aca="false">IF($B41="",0,SUMIFS('Carga (PSE)'!$G$8:$G$1007,'Carga (PSE)'!$C$8:$C$1007,$C$4,'Carga (PSE)'!$A$8:$A$1007,$B41+0))</f>
        <v>0</v>
      </c>
      <c r="D41" s="91" t="n">
        <f aca="false">IF($B41="",0,SUMIFS('Carga (PSE)'!$G$8:$G$1007,'Carga (PSE)'!$C$8:$C$1007,$C$4,'Carga (PSE)'!$A$8:$A$1007,$B41+1))</f>
        <v>0</v>
      </c>
      <c r="E41" s="91" t="n">
        <f aca="false">IF($B41="",0,SUMIFS('Carga (PSE)'!$G$8:$G$1007,'Carga (PSE)'!$C$8:$C$1007,$C$4,'Carga (PSE)'!$A$8:$A$1007,$B41+2))</f>
        <v>0</v>
      </c>
      <c r="F41" s="91" t="n">
        <f aca="false">IF($B41="",0,SUMIFS('Carga (PSE)'!$G$8:$G$1007,'Carga (PSE)'!$C$8:$C$1007,$C$4,'Carga (PSE)'!$A$8:$A$1007,$B41+3))</f>
        <v>0</v>
      </c>
      <c r="G41" s="91" t="n">
        <f aca="false">IF($B41="",0,SUMIFS('Carga (PSE)'!$G$8:$G$1007,'Carga (PSE)'!$C$8:$C$1007,$C$4,'Carga (PSE)'!$A$8:$A$1007,$B41+4))</f>
        <v>0</v>
      </c>
      <c r="H41" s="91" t="n">
        <f aca="false">IF($B41="",0,SUMIFS('Carga (PSE)'!$G$8:$G$1007,'Carga (PSE)'!$C$8:$C$1007,$C$4,'Carga (PSE)'!$A$8:$A$1007,$B41+5))</f>
        <v>0</v>
      </c>
      <c r="I41" s="91" t="n">
        <f aca="false">IF($B41="",0,SUMIFS('Carga (PSE)'!$G$8:$G$1007,'Carga (PSE)'!$C$8:$C$1007,$C$4,'Carga (PSE)'!$A$8:$A$1007,$B41+6))</f>
        <v>0</v>
      </c>
      <c r="J41" s="92" t="n">
        <f aca="false">SUM($C41:$I41)</f>
        <v>0</v>
      </c>
      <c r="K41" s="91" t="n">
        <f aca="false">COUNTIFS('Carga (PSE)'!$C$8:$C$1007,$C$4,'Carga (PSE)'!$B$8:$B$1007,$A41)</f>
        <v>0</v>
      </c>
      <c r="L41" s="93" t="n">
        <f aca="false">IF($J41=0,0,$J41/7)</f>
        <v>0</v>
      </c>
      <c r="M41" s="93" t="n">
        <f aca="false">IF($J41=0,0,STDEV($C41:$I41))</f>
        <v>0</v>
      </c>
      <c r="N41" s="94" t="n">
        <f aca="false">IF($M41=0,0,$L41/$M41)</f>
        <v>0</v>
      </c>
      <c r="O41" s="92" t="n">
        <f aca="false">$J41*$N41</f>
        <v>0</v>
      </c>
      <c r="P41" s="74" t="str">
        <f aca="false">IF($J41=0,"",IF($N41&gt;2,"Monotonia alta",IF($N41&gt;=1.5,"Atenção","Adequada")))</f>
        <v/>
      </c>
    </row>
    <row r="42" customFormat="false" ht="15" hidden="false" customHeight="false" outlineLevel="0" collapsed="false">
      <c r="A42" s="70" t="n">
        <v>23</v>
      </c>
      <c r="B42" s="87" t="n">
        <f aca="false">IF(Macrociclo!$C$11="","",Macrociclo!$C$11+($A42-1)*7)</f>
        <v>46181</v>
      </c>
      <c r="C42" s="88" t="n">
        <f aca="false">IF($B42="",0,SUMIFS('Carga (PSE)'!$G$8:$G$1007,'Carga (PSE)'!$C$8:$C$1007,$C$4,'Carga (PSE)'!$A$8:$A$1007,$B42+0))</f>
        <v>0</v>
      </c>
      <c r="D42" s="88" t="n">
        <f aca="false">IF($B42="",0,SUMIFS('Carga (PSE)'!$G$8:$G$1007,'Carga (PSE)'!$C$8:$C$1007,$C$4,'Carga (PSE)'!$A$8:$A$1007,$B42+1))</f>
        <v>0</v>
      </c>
      <c r="E42" s="88" t="n">
        <f aca="false">IF($B42="",0,SUMIFS('Carga (PSE)'!$G$8:$G$1007,'Carga (PSE)'!$C$8:$C$1007,$C$4,'Carga (PSE)'!$A$8:$A$1007,$B42+2))</f>
        <v>0</v>
      </c>
      <c r="F42" s="88" t="n">
        <f aca="false">IF($B42="",0,SUMIFS('Carga (PSE)'!$G$8:$G$1007,'Carga (PSE)'!$C$8:$C$1007,$C$4,'Carga (PSE)'!$A$8:$A$1007,$B42+3))</f>
        <v>0</v>
      </c>
      <c r="G42" s="88" t="n">
        <f aca="false">IF($B42="",0,SUMIFS('Carga (PSE)'!$G$8:$G$1007,'Carga (PSE)'!$C$8:$C$1007,$C$4,'Carga (PSE)'!$A$8:$A$1007,$B42+4))</f>
        <v>0</v>
      </c>
      <c r="H42" s="88" t="n">
        <f aca="false">IF($B42="",0,SUMIFS('Carga (PSE)'!$G$8:$G$1007,'Carga (PSE)'!$C$8:$C$1007,$C$4,'Carga (PSE)'!$A$8:$A$1007,$B42+5))</f>
        <v>0</v>
      </c>
      <c r="I42" s="88" t="n">
        <f aca="false">IF($B42="",0,SUMIFS('Carga (PSE)'!$G$8:$G$1007,'Carga (PSE)'!$C$8:$C$1007,$C$4,'Carga (PSE)'!$A$8:$A$1007,$B42+6))</f>
        <v>0</v>
      </c>
      <c r="J42" s="48" t="n">
        <f aca="false">SUM($C42:$I42)</f>
        <v>0</v>
      </c>
      <c r="K42" s="88" t="n">
        <f aca="false">COUNTIFS('Carga (PSE)'!$C$8:$C$1007,$C$4,'Carga (PSE)'!$B$8:$B$1007,$A42)</f>
        <v>0</v>
      </c>
      <c r="L42" s="89" t="n">
        <f aca="false">IF($J42=0,0,$J42/7)</f>
        <v>0</v>
      </c>
      <c r="M42" s="89" t="n">
        <f aca="false">IF($J42=0,0,STDEV($C42:$I42))</f>
        <v>0</v>
      </c>
      <c r="N42" s="67" t="n">
        <f aca="false">IF($M42=0,0,$L42/$M42)</f>
        <v>0</v>
      </c>
      <c r="O42" s="48" t="n">
        <f aca="false">$J42*$N42</f>
        <v>0</v>
      </c>
      <c r="P42" s="70" t="str">
        <f aca="false">IF($J42=0,"",IF($N42&gt;2,"Monotonia alta",IF($N42&gt;=1.5,"Atenção","Adequada")))</f>
        <v/>
      </c>
    </row>
    <row r="43" customFormat="false" ht="15" hidden="false" customHeight="false" outlineLevel="0" collapsed="false">
      <c r="A43" s="74" t="n">
        <v>24</v>
      </c>
      <c r="B43" s="90" t="n">
        <f aca="false">IF(Macrociclo!$C$11="","",Macrociclo!$C$11+($A43-1)*7)</f>
        <v>46188</v>
      </c>
      <c r="C43" s="91" t="n">
        <f aca="false">IF($B43="",0,SUMIFS('Carga (PSE)'!$G$8:$G$1007,'Carga (PSE)'!$C$8:$C$1007,$C$4,'Carga (PSE)'!$A$8:$A$1007,$B43+0))</f>
        <v>0</v>
      </c>
      <c r="D43" s="91" t="n">
        <f aca="false">IF($B43="",0,SUMIFS('Carga (PSE)'!$G$8:$G$1007,'Carga (PSE)'!$C$8:$C$1007,$C$4,'Carga (PSE)'!$A$8:$A$1007,$B43+1))</f>
        <v>0</v>
      </c>
      <c r="E43" s="91" t="n">
        <f aca="false">IF($B43="",0,SUMIFS('Carga (PSE)'!$G$8:$G$1007,'Carga (PSE)'!$C$8:$C$1007,$C$4,'Carga (PSE)'!$A$8:$A$1007,$B43+2))</f>
        <v>0</v>
      </c>
      <c r="F43" s="91" t="n">
        <f aca="false">IF($B43="",0,SUMIFS('Carga (PSE)'!$G$8:$G$1007,'Carga (PSE)'!$C$8:$C$1007,$C$4,'Carga (PSE)'!$A$8:$A$1007,$B43+3))</f>
        <v>0</v>
      </c>
      <c r="G43" s="91" t="n">
        <f aca="false">IF($B43="",0,SUMIFS('Carga (PSE)'!$G$8:$G$1007,'Carga (PSE)'!$C$8:$C$1007,$C$4,'Carga (PSE)'!$A$8:$A$1007,$B43+4))</f>
        <v>0</v>
      </c>
      <c r="H43" s="91" t="n">
        <f aca="false">IF($B43="",0,SUMIFS('Carga (PSE)'!$G$8:$G$1007,'Carga (PSE)'!$C$8:$C$1007,$C$4,'Carga (PSE)'!$A$8:$A$1007,$B43+5))</f>
        <v>0</v>
      </c>
      <c r="I43" s="91" t="n">
        <f aca="false">IF($B43="",0,SUMIFS('Carga (PSE)'!$G$8:$G$1007,'Carga (PSE)'!$C$8:$C$1007,$C$4,'Carga (PSE)'!$A$8:$A$1007,$B43+6))</f>
        <v>0</v>
      </c>
      <c r="J43" s="92" t="n">
        <f aca="false">SUM($C43:$I43)</f>
        <v>0</v>
      </c>
      <c r="K43" s="91" t="n">
        <f aca="false">COUNTIFS('Carga (PSE)'!$C$8:$C$1007,$C$4,'Carga (PSE)'!$B$8:$B$1007,$A43)</f>
        <v>0</v>
      </c>
      <c r="L43" s="93" t="n">
        <f aca="false">IF($J43=0,0,$J43/7)</f>
        <v>0</v>
      </c>
      <c r="M43" s="93" t="n">
        <f aca="false">IF($J43=0,0,STDEV($C43:$I43))</f>
        <v>0</v>
      </c>
      <c r="N43" s="94" t="n">
        <f aca="false">IF($M43=0,0,$L43/$M43)</f>
        <v>0</v>
      </c>
      <c r="O43" s="92" t="n">
        <f aca="false">$J43*$N43</f>
        <v>0</v>
      </c>
      <c r="P43" s="74" t="str">
        <f aca="false">IF($J43=0,"",IF($N43&gt;2,"Monotonia alta",IF($N43&gt;=1.5,"Atenção","Adequada")))</f>
        <v/>
      </c>
    </row>
    <row r="44" customFormat="false" ht="15" hidden="false" customHeight="false" outlineLevel="0" collapsed="false">
      <c r="A44" s="70" t="n">
        <v>25</v>
      </c>
      <c r="B44" s="87" t="n">
        <f aca="false">IF(Macrociclo!$C$11="","",Macrociclo!$C$11+($A44-1)*7)</f>
        <v>46195</v>
      </c>
      <c r="C44" s="88" t="n">
        <f aca="false">IF($B44="",0,SUMIFS('Carga (PSE)'!$G$8:$G$1007,'Carga (PSE)'!$C$8:$C$1007,$C$4,'Carga (PSE)'!$A$8:$A$1007,$B44+0))</f>
        <v>0</v>
      </c>
      <c r="D44" s="88" t="n">
        <f aca="false">IF($B44="",0,SUMIFS('Carga (PSE)'!$G$8:$G$1007,'Carga (PSE)'!$C$8:$C$1007,$C$4,'Carga (PSE)'!$A$8:$A$1007,$B44+1))</f>
        <v>0</v>
      </c>
      <c r="E44" s="88" t="n">
        <f aca="false">IF($B44="",0,SUMIFS('Carga (PSE)'!$G$8:$G$1007,'Carga (PSE)'!$C$8:$C$1007,$C$4,'Carga (PSE)'!$A$8:$A$1007,$B44+2))</f>
        <v>0</v>
      </c>
      <c r="F44" s="88" t="n">
        <f aca="false">IF($B44="",0,SUMIFS('Carga (PSE)'!$G$8:$G$1007,'Carga (PSE)'!$C$8:$C$1007,$C$4,'Carga (PSE)'!$A$8:$A$1007,$B44+3))</f>
        <v>0</v>
      </c>
      <c r="G44" s="88" t="n">
        <f aca="false">IF($B44="",0,SUMIFS('Carga (PSE)'!$G$8:$G$1007,'Carga (PSE)'!$C$8:$C$1007,$C$4,'Carga (PSE)'!$A$8:$A$1007,$B44+4))</f>
        <v>0</v>
      </c>
      <c r="H44" s="88" t="n">
        <f aca="false">IF($B44="",0,SUMIFS('Carga (PSE)'!$G$8:$G$1007,'Carga (PSE)'!$C$8:$C$1007,$C$4,'Carga (PSE)'!$A$8:$A$1007,$B44+5))</f>
        <v>0</v>
      </c>
      <c r="I44" s="88" t="n">
        <f aca="false">IF($B44="",0,SUMIFS('Carga (PSE)'!$G$8:$G$1007,'Carga (PSE)'!$C$8:$C$1007,$C$4,'Carga (PSE)'!$A$8:$A$1007,$B44+6))</f>
        <v>0</v>
      </c>
      <c r="J44" s="48" t="n">
        <f aca="false">SUM($C44:$I44)</f>
        <v>0</v>
      </c>
      <c r="K44" s="88" t="n">
        <f aca="false">COUNTIFS('Carga (PSE)'!$C$8:$C$1007,$C$4,'Carga (PSE)'!$B$8:$B$1007,$A44)</f>
        <v>0</v>
      </c>
      <c r="L44" s="89" t="n">
        <f aca="false">IF($J44=0,0,$J44/7)</f>
        <v>0</v>
      </c>
      <c r="M44" s="89" t="n">
        <f aca="false">IF($J44=0,0,STDEV($C44:$I44))</f>
        <v>0</v>
      </c>
      <c r="N44" s="67" t="n">
        <f aca="false">IF($M44=0,0,$L44/$M44)</f>
        <v>0</v>
      </c>
      <c r="O44" s="48" t="n">
        <f aca="false">$J44*$N44</f>
        <v>0</v>
      </c>
      <c r="P44" s="70" t="str">
        <f aca="false">IF($J44=0,"",IF($N44&gt;2,"Monotonia alta",IF($N44&gt;=1.5,"Atenção","Adequada")))</f>
        <v/>
      </c>
    </row>
    <row r="45" customFormat="false" ht="15" hidden="false" customHeight="false" outlineLevel="0" collapsed="false">
      <c r="A45" s="74" t="n">
        <v>26</v>
      </c>
      <c r="B45" s="90" t="n">
        <f aca="false">IF(Macrociclo!$C$11="","",Macrociclo!$C$11+($A45-1)*7)</f>
        <v>46202</v>
      </c>
      <c r="C45" s="91" t="n">
        <f aca="false">IF($B45="",0,SUMIFS('Carga (PSE)'!$G$8:$G$1007,'Carga (PSE)'!$C$8:$C$1007,$C$4,'Carga (PSE)'!$A$8:$A$1007,$B45+0))</f>
        <v>0</v>
      </c>
      <c r="D45" s="91" t="n">
        <f aca="false">IF($B45="",0,SUMIFS('Carga (PSE)'!$G$8:$G$1007,'Carga (PSE)'!$C$8:$C$1007,$C$4,'Carga (PSE)'!$A$8:$A$1007,$B45+1))</f>
        <v>0</v>
      </c>
      <c r="E45" s="91" t="n">
        <f aca="false">IF($B45="",0,SUMIFS('Carga (PSE)'!$G$8:$G$1007,'Carga (PSE)'!$C$8:$C$1007,$C$4,'Carga (PSE)'!$A$8:$A$1007,$B45+2))</f>
        <v>0</v>
      </c>
      <c r="F45" s="91" t="n">
        <f aca="false">IF($B45="",0,SUMIFS('Carga (PSE)'!$G$8:$G$1007,'Carga (PSE)'!$C$8:$C$1007,$C$4,'Carga (PSE)'!$A$8:$A$1007,$B45+3))</f>
        <v>0</v>
      </c>
      <c r="G45" s="91" t="n">
        <f aca="false">IF($B45="",0,SUMIFS('Carga (PSE)'!$G$8:$G$1007,'Carga (PSE)'!$C$8:$C$1007,$C$4,'Carga (PSE)'!$A$8:$A$1007,$B45+4))</f>
        <v>0</v>
      </c>
      <c r="H45" s="91" t="n">
        <f aca="false">IF($B45="",0,SUMIFS('Carga (PSE)'!$G$8:$G$1007,'Carga (PSE)'!$C$8:$C$1007,$C$4,'Carga (PSE)'!$A$8:$A$1007,$B45+5))</f>
        <v>0</v>
      </c>
      <c r="I45" s="91" t="n">
        <f aca="false">IF($B45="",0,SUMIFS('Carga (PSE)'!$G$8:$G$1007,'Carga (PSE)'!$C$8:$C$1007,$C$4,'Carga (PSE)'!$A$8:$A$1007,$B45+6))</f>
        <v>0</v>
      </c>
      <c r="J45" s="92" t="n">
        <f aca="false">SUM($C45:$I45)</f>
        <v>0</v>
      </c>
      <c r="K45" s="91" t="n">
        <f aca="false">COUNTIFS('Carga (PSE)'!$C$8:$C$1007,$C$4,'Carga (PSE)'!$B$8:$B$1007,$A45)</f>
        <v>0</v>
      </c>
      <c r="L45" s="93" t="n">
        <f aca="false">IF($J45=0,0,$J45/7)</f>
        <v>0</v>
      </c>
      <c r="M45" s="93" t="n">
        <f aca="false">IF($J45=0,0,STDEV($C45:$I45))</f>
        <v>0</v>
      </c>
      <c r="N45" s="94" t="n">
        <f aca="false">IF($M45=0,0,$L45/$M45)</f>
        <v>0</v>
      </c>
      <c r="O45" s="92" t="n">
        <f aca="false">$J45*$N45</f>
        <v>0</v>
      </c>
      <c r="P45" s="74" t="str">
        <f aca="false">IF($J45=0,"",IF($N45&gt;2,"Monotonia alta",IF($N45&gt;=1.5,"Atenção","Adequada")))</f>
        <v/>
      </c>
    </row>
    <row r="46" customFormat="false" ht="15" hidden="false" customHeight="false" outlineLevel="0" collapsed="false">
      <c r="A46" s="70" t="n">
        <v>27</v>
      </c>
      <c r="B46" s="87" t="n">
        <f aca="false">IF(Macrociclo!$C$11="","",Macrociclo!$C$11+($A46-1)*7)</f>
        <v>46209</v>
      </c>
      <c r="C46" s="88" t="n">
        <f aca="false">IF($B46="",0,SUMIFS('Carga (PSE)'!$G$8:$G$1007,'Carga (PSE)'!$C$8:$C$1007,$C$4,'Carga (PSE)'!$A$8:$A$1007,$B46+0))</f>
        <v>0</v>
      </c>
      <c r="D46" s="88" t="n">
        <f aca="false">IF($B46="",0,SUMIFS('Carga (PSE)'!$G$8:$G$1007,'Carga (PSE)'!$C$8:$C$1007,$C$4,'Carga (PSE)'!$A$8:$A$1007,$B46+1))</f>
        <v>0</v>
      </c>
      <c r="E46" s="88" t="n">
        <f aca="false">IF($B46="",0,SUMIFS('Carga (PSE)'!$G$8:$G$1007,'Carga (PSE)'!$C$8:$C$1007,$C$4,'Carga (PSE)'!$A$8:$A$1007,$B46+2))</f>
        <v>0</v>
      </c>
      <c r="F46" s="88" t="n">
        <f aca="false">IF($B46="",0,SUMIFS('Carga (PSE)'!$G$8:$G$1007,'Carga (PSE)'!$C$8:$C$1007,$C$4,'Carga (PSE)'!$A$8:$A$1007,$B46+3))</f>
        <v>0</v>
      </c>
      <c r="G46" s="88" t="n">
        <f aca="false">IF($B46="",0,SUMIFS('Carga (PSE)'!$G$8:$G$1007,'Carga (PSE)'!$C$8:$C$1007,$C$4,'Carga (PSE)'!$A$8:$A$1007,$B46+4))</f>
        <v>0</v>
      </c>
      <c r="H46" s="88" t="n">
        <f aca="false">IF($B46="",0,SUMIFS('Carga (PSE)'!$G$8:$G$1007,'Carga (PSE)'!$C$8:$C$1007,$C$4,'Carga (PSE)'!$A$8:$A$1007,$B46+5))</f>
        <v>0</v>
      </c>
      <c r="I46" s="88" t="n">
        <f aca="false">IF($B46="",0,SUMIFS('Carga (PSE)'!$G$8:$G$1007,'Carga (PSE)'!$C$8:$C$1007,$C$4,'Carga (PSE)'!$A$8:$A$1007,$B46+6))</f>
        <v>0</v>
      </c>
      <c r="J46" s="48" t="n">
        <f aca="false">SUM($C46:$I46)</f>
        <v>0</v>
      </c>
      <c r="K46" s="88" t="n">
        <f aca="false">COUNTIFS('Carga (PSE)'!$C$8:$C$1007,$C$4,'Carga (PSE)'!$B$8:$B$1007,$A46)</f>
        <v>0</v>
      </c>
      <c r="L46" s="89" t="n">
        <f aca="false">IF($J46=0,0,$J46/7)</f>
        <v>0</v>
      </c>
      <c r="M46" s="89" t="n">
        <f aca="false">IF($J46=0,0,STDEV($C46:$I46))</f>
        <v>0</v>
      </c>
      <c r="N46" s="67" t="n">
        <f aca="false">IF($M46=0,0,$L46/$M46)</f>
        <v>0</v>
      </c>
      <c r="O46" s="48" t="n">
        <f aca="false">$J46*$N46</f>
        <v>0</v>
      </c>
      <c r="P46" s="70" t="str">
        <f aca="false">IF($J46=0,"",IF($N46&gt;2,"Monotonia alta",IF($N46&gt;=1.5,"Atenção","Adequada")))</f>
        <v/>
      </c>
    </row>
    <row r="47" customFormat="false" ht="15" hidden="false" customHeight="false" outlineLevel="0" collapsed="false">
      <c r="A47" s="74" t="n">
        <v>28</v>
      </c>
      <c r="B47" s="90" t="n">
        <f aca="false">IF(Macrociclo!$C$11="","",Macrociclo!$C$11+($A47-1)*7)</f>
        <v>46216</v>
      </c>
      <c r="C47" s="91" t="n">
        <f aca="false">IF($B47="",0,SUMIFS('Carga (PSE)'!$G$8:$G$1007,'Carga (PSE)'!$C$8:$C$1007,$C$4,'Carga (PSE)'!$A$8:$A$1007,$B47+0))</f>
        <v>0</v>
      </c>
      <c r="D47" s="91" t="n">
        <f aca="false">IF($B47="",0,SUMIFS('Carga (PSE)'!$G$8:$G$1007,'Carga (PSE)'!$C$8:$C$1007,$C$4,'Carga (PSE)'!$A$8:$A$1007,$B47+1))</f>
        <v>0</v>
      </c>
      <c r="E47" s="91" t="n">
        <f aca="false">IF($B47="",0,SUMIFS('Carga (PSE)'!$G$8:$G$1007,'Carga (PSE)'!$C$8:$C$1007,$C$4,'Carga (PSE)'!$A$8:$A$1007,$B47+2))</f>
        <v>0</v>
      </c>
      <c r="F47" s="91" t="n">
        <f aca="false">IF($B47="",0,SUMIFS('Carga (PSE)'!$G$8:$G$1007,'Carga (PSE)'!$C$8:$C$1007,$C$4,'Carga (PSE)'!$A$8:$A$1007,$B47+3))</f>
        <v>0</v>
      </c>
      <c r="G47" s="91" t="n">
        <f aca="false">IF($B47="",0,SUMIFS('Carga (PSE)'!$G$8:$G$1007,'Carga (PSE)'!$C$8:$C$1007,$C$4,'Carga (PSE)'!$A$8:$A$1007,$B47+4))</f>
        <v>0</v>
      </c>
      <c r="H47" s="91" t="n">
        <f aca="false">IF($B47="",0,SUMIFS('Carga (PSE)'!$G$8:$G$1007,'Carga (PSE)'!$C$8:$C$1007,$C$4,'Carga (PSE)'!$A$8:$A$1007,$B47+5))</f>
        <v>0</v>
      </c>
      <c r="I47" s="91" t="n">
        <f aca="false">IF($B47="",0,SUMIFS('Carga (PSE)'!$G$8:$G$1007,'Carga (PSE)'!$C$8:$C$1007,$C$4,'Carga (PSE)'!$A$8:$A$1007,$B47+6))</f>
        <v>0</v>
      </c>
      <c r="J47" s="92" t="n">
        <f aca="false">SUM($C47:$I47)</f>
        <v>0</v>
      </c>
      <c r="K47" s="91" t="n">
        <f aca="false">COUNTIFS('Carga (PSE)'!$C$8:$C$1007,$C$4,'Carga (PSE)'!$B$8:$B$1007,$A47)</f>
        <v>0</v>
      </c>
      <c r="L47" s="93" t="n">
        <f aca="false">IF($J47=0,0,$J47/7)</f>
        <v>0</v>
      </c>
      <c r="M47" s="93" t="n">
        <f aca="false">IF($J47=0,0,STDEV($C47:$I47))</f>
        <v>0</v>
      </c>
      <c r="N47" s="94" t="n">
        <f aca="false">IF($M47=0,0,$L47/$M47)</f>
        <v>0</v>
      </c>
      <c r="O47" s="92" t="n">
        <f aca="false">$J47*$N47</f>
        <v>0</v>
      </c>
      <c r="P47" s="74" t="str">
        <f aca="false">IF($J47=0,"",IF($N47&gt;2,"Monotonia alta",IF($N47&gt;=1.5,"Atenção","Adequada")))</f>
        <v/>
      </c>
    </row>
    <row r="48" customFormat="false" ht="15" hidden="false" customHeight="false" outlineLevel="0" collapsed="false">
      <c r="A48" s="70" t="n">
        <v>29</v>
      </c>
      <c r="B48" s="87" t="n">
        <f aca="false">IF(Macrociclo!$C$11="","",Macrociclo!$C$11+($A48-1)*7)</f>
        <v>46223</v>
      </c>
      <c r="C48" s="88" t="n">
        <f aca="false">IF($B48="",0,SUMIFS('Carga (PSE)'!$G$8:$G$1007,'Carga (PSE)'!$C$8:$C$1007,$C$4,'Carga (PSE)'!$A$8:$A$1007,$B48+0))</f>
        <v>0</v>
      </c>
      <c r="D48" s="88" t="n">
        <f aca="false">IF($B48="",0,SUMIFS('Carga (PSE)'!$G$8:$G$1007,'Carga (PSE)'!$C$8:$C$1007,$C$4,'Carga (PSE)'!$A$8:$A$1007,$B48+1))</f>
        <v>0</v>
      </c>
      <c r="E48" s="88" t="n">
        <f aca="false">IF($B48="",0,SUMIFS('Carga (PSE)'!$G$8:$G$1007,'Carga (PSE)'!$C$8:$C$1007,$C$4,'Carga (PSE)'!$A$8:$A$1007,$B48+2))</f>
        <v>0</v>
      </c>
      <c r="F48" s="88" t="n">
        <f aca="false">IF($B48="",0,SUMIFS('Carga (PSE)'!$G$8:$G$1007,'Carga (PSE)'!$C$8:$C$1007,$C$4,'Carga (PSE)'!$A$8:$A$1007,$B48+3))</f>
        <v>0</v>
      </c>
      <c r="G48" s="88" t="n">
        <f aca="false">IF($B48="",0,SUMIFS('Carga (PSE)'!$G$8:$G$1007,'Carga (PSE)'!$C$8:$C$1007,$C$4,'Carga (PSE)'!$A$8:$A$1007,$B48+4))</f>
        <v>0</v>
      </c>
      <c r="H48" s="88" t="n">
        <f aca="false">IF($B48="",0,SUMIFS('Carga (PSE)'!$G$8:$G$1007,'Carga (PSE)'!$C$8:$C$1007,$C$4,'Carga (PSE)'!$A$8:$A$1007,$B48+5))</f>
        <v>0</v>
      </c>
      <c r="I48" s="88" t="n">
        <f aca="false">IF($B48="",0,SUMIFS('Carga (PSE)'!$G$8:$G$1007,'Carga (PSE)'!$C$8:$C$1007,$C$4,'Carga (PSE)'!$A$8:$A$1007,$B48+6))</f>
        <v>0</v>
      </c>
      <c r="J48" s="48" t="n">
        <f aca="false">SUM($C48:$I48)</f>
        <v>0</v>
      </c>
      <c r="K48" s="88" t="n">
        <f aca="false">COUNTIFS('Carga (PSE)'!$C$8:$C$1007,$C$4,'Carga (PSE)'!$B$8:$B$1007,$A48)</f>
        <v>0</v>
      </c>
      <c r="L48" s="89" t="n">
        <f aca="false">IF($J48=0,0,$J48/7)</f>
        <v>0</v>
      </c>
      <c r="M48" s="89" t="n">
        <f aca="false">IF($J48=0,0,STDEV($C48:$I48))</f>
        <v>0</v>
      </c>
      <c r="N48" s="67" t="n">
        <f aca="false">IF($M48=0,0,$L48/$M48)</f>
        <v>0</v>
      </c>
      <c r="O48" s="48" t="n">
        <f aca="false">$J48*$N48</f>
        <v>0</v>
      </c>
      <c r="P48" s="70" t="str">
        <f aca="false">IF($J48=0,"",IF($N48&gt;2,"Monotonia alta",IF($N48&gt;=1.5,"Atenção","Adequada")))</f>
        <v/>
      </c>
    </row>
    <row r="49" customFormat="false" ht="15" hidden="false" customHeight="false" outlineLevel="0" collapsed="false">
      <c r="A49" s="74" t="n">
        <v>30</v>
      </c>
      <c r="B49" s="90" t="n">
        <f aca="false">IF(Macrociclo!$C$11="","",Macrociclo!$C$11+($A49-1)*7)</f>
        <v>46230</v>
      </c>
      <c r="C49" s="91" t="n">
        <f aca="false">IF($B49="",0,SUMIFS('Carga (PSE)'!$G$8:$G$1007,'Carga (PSE)'!$C$8:$C$1007,$C$4,'Carga (PSE)'!$A$8:$A$1007,$B49+0))</f>
        <v>0</v>
      </c>
      <c r="D49" s="91" t="n">
        <f aca="false">IF($B49="",0,SUMIFS('Carga (PSE)'!$G$8:$G$1007,'Carga (PSE)'!$C$8:$C$1007,$C$4,'Carga (PSE)'!$A$8:$A$1007,$B49+1))</f>
        <v>0</v>
      </c>
      <c r="E49" s="91" t="n">
        <f aca="false">IF($B49="",0,SUMIFS('Carga (PSE)'!$G$8:$G$1007,'Carga (PSE)'!$C$8:$C$1007,$C$4,'Carga (PSE)'!$A$8:$A$1007,$B49+2))</f>
        <v>0</v>
      </c>
      <c r="F49" s="91" t="n">
        <f aca="false">IF($B49="",0,SUMIFS('Carga (PSE)'!$G$8:$G$1007,'Carga (PSE)'!$C$8:$C$1007,$C$4,'Carga (PSE)'!$A$8:$A$1007,$B49+3))</f>
        <v>0</v>
      </c>
      <c r="G49" s="91" t="n">
        <f aca="false">IF($B49="",0,SUMIFS('Carga (PSE)'!$G$8:$G$1007,'Carga (PSE)'!$C$8:$C$1007,$C$4,'Carga (PSE)'!$A$8:$A$1007,$B49+4))</f>
        <v>0</v>
      </c>
      <c r="H49" s="91" t="n">
        <f aca="false">IF($B49="",0,SUMIFS('Carga (PSE)'!$G$8:$G$1007,'Carga (PSE)'!$C$8:$C$1007,$C$4,'Carga (PSE)'!$A$8:$A$1007,$B49+5))</f>
        <v>0</v>
      </c>
      <c r="I49" s="91" t="n">
        <f aca="false">IF($B49="",0,SUMIFS('Carga (PSE)'!$G$8:$G$1007,'Carga (PSE)'!$C$8:$C$1007,$C$4,'Carga (PSE)'!$A$8:$A$1007,$B49+6))</f>
        <v>0</v>
      </c>
      <c r="J49" s="92" t="n">
        <f aca="false">SUM($C49:$I49)</f>
        <v>0</v>
      </c>
      <c r="K49" s="91" t="n">
        <f aca="false">COUNTIFS('Carga (PSE)'!$C$8:$C$1007,$C$4,'Carga (PSE)'!$B$8:$B$1007,$A49)</f>
        <v>0</v>
      </c>
      <c r="L49" s="93" t="n">
        <f aca="false">IF($J49=0,0,$J49/7)</f>
        <v>0</v>
      </c>
      <c r="M49" s="93" t="n">
        <f aca="false">IF($J49=0,0,STDEV($C49:$I49))</f>
        <v>0</v>
      </c>
      <c r="N49" s="94" t="n">
        <f aca="false">IF($M49=0,0,$L49/$M49)</f>
        <v>0</v>
      </c>
      <c r="O49" s="92" t="n">
        <f aca="false">$J49*$N49</f>
        <v>0</v>
      </c>
      <c r="P49" s="74" t="str">
        <f aca="false">IF($J49=0,"",IF($N49&gt;2,"Monotonia alta",IF($N49&gt;=1.5,"Atenção","Adequada")))</f>
        <v/>
      </c>
    </row>
    <row r="50" customFormat="false" ht="15" hidden="false" customHeight="false" outlineLevel="0" collapsed="false">
      <c r="A50" s="70" t="n">
        <v>31</v>
      </c>
      <c r="B50" s="87" t="n">
        <f aca="false">IF(Macrociclo!$C$11="","",Macrociclo!$C$11+($A50-1)*7)</f>
        <v>46237</v>
      </c>
      <c r="C50" s="88" t="n">
        <f aca="false">IF($B50="",0,SUMIFS('Carga (PSE)'!$G$8:$G$1007,'Carga (PSE)'!$C$8:$C$1007,$C$4,'Carga (PSE)'!$A$8:$A$1007,$B50+0))</f>
        <v>0</v>
      </c>
      <c r="D50" s="88" t="n">
        <f aca="false">IF($B50="",0,SUMIFS('Carga (PSE)'!$G$8:$G$1007,'Carga (PSE)'!$C$8:$C$1007,$C$4,'Carga (PSE)'!$A$8:$A$1007,$B50+1))</f>
        <v>0</v>
      </c>
      <c r="E50" s="88" t="n">
        <f aca="false">IF($B50="",0,SUMIFS('Carga (PSE)'!$G$8:$G$1007,'Carga (PSE)'!$C$8:$C$1007,$C$4,'Carga (PSE)'!$A$8:$A$1007,$B50+2))</f>
        <v>0</v>
      </c>
      <c r="F50" s="88" t="n">
        <f aca="false">IF($B50="",0,SUMIFS('Carga (PSE)'!$G$8:$G$1007,'Carga (PSE)'!$C$8:$C$1007,$C$4,'Carga (PSE)'!$A$8:$A$1007,$B50+3))</f>
        <v>0</v>
      </c>
      <c r="G50" s="88" t="n">
        <f aca="false">IF($B50="",0,SUMIFS('Carga (PSE)'!$G$8:$G$1007,'Carga (PSE)'!$C$8:$C$1007,$C$4,'Carga (PSE)'!$A$8:$A$1007,$B50+4))</f>
        <v>0</v>
      </c>
      <c r="H50" s="88" t="n">
        <f aca="false">IF($B50="",0,SUMIFS('Carga (PSE)'!$G$8:$G$1007,'Carga (PSE)'!$C$8:$C$1007,$C$4,'Carga (PSE)'!$A$8:$A$1007,$B50+5))</f>
        <v>0</v>
      </c>
      <c r="I50" s="88" t="n">
        <f aca="false">IF($B50="",0,SUMIFS('Carga (PSE)'!$G$8:$G$1007,'Carga (PSE)'!$C$8:$C$1007,$C$4,'Carga (PSE)'!$A$8:$A$1007,$B50+6))</f>
        <v>0</v>
      </c>
      <c r="J50" s="48" t="n">
        <f aca="false">SUM($C50:$I50)</f>
        <v>0</v>
      </c>
      <c r="K50" s="88" t="n">
        <f aca="false">COUNTIFS('Carga (PSE)'!$C$8:$C$1007,$C$4,'Carga (PSE)'!$B$8:$B$1007,$A50)</f>
        <v>0</v>
      </c>
      <c r="L50" s="89" t="n">
        <f aca="false">IF($J50=0,0,$J50/7)</f>
        <v>0</v>
      </c>
      <c r="M50" s="89" t="n">
        <f aca="false">IF($J50=0,0,STDEV($C50:$I50))</f>
        <v>0</v>
      </c>
      <c r="N50" s="67" t="n">
        <f aca="false">IF($M50=0,0,$L50/$M50)</f>
        <v>0</v>
      </c>
      <c r="O50" s="48" t="n">
        <f aca="false">$J50*$N50</f>
        <v>0</v>
      </c>
      <c r="P50" s="70" t="str">
        <f aca="false">IF($J50=0,"",IF($N50&gt;2,"Monotonia alta",IF($N50&gt;=1.5,"Atenção","Adequada")))</f>
        <v/>
      </c>
    </row>
    <row r="51" customFormat="false" ht="15" hidden="false" customHeight="false" outlineLevel="0" collapsed="false">
      <c r="A51" s="74" t="n">
        <v>32</v>
      </c>
      <c r="B51" s="90" t="n">
        <f aca="false">IF(Macrociclo!$C$11="","",Macrociclo!$C$11+($A51-1)*7)</f>
        <v>46244</v>
      </c>
      <c r="C51" s="91" t="n">
        <f aca="false">IF($B51="",0,SUMIFS('Carga (PSE)'!$G$8:$G$1007,'Carga (PSE)'!$C$8:$C$1007,$C$4,'Carga (PSE)'!$A$8:$A$1007,$B51+0))</f>
        <v>0</v>
      </c>
      <c r="D51" s="91" t="n">
        <f aca="false">IF($B51="",0,SUMIFS('Carga (PSE)'!$G$8:$G$1007,'Carga (PSE)'!$C$8:$C$1007,$C$4,'Carga (PSE)'!$A$8:$A$1007,$B51+1))</f>
        <v>0</v>
      </c>
      <c r="E51" s="91" t="n">
        <f aca="false">IF($B51="",0,SUMIFS('Carga (PSE)'!$G$8:$G$1007,'Carga (PSE)'!$C$8:$C$1007,$C$4,'Carga (PSE)'!$A$8:$A$1007,$B51+2))</f>
        <v>0</v>
      </c>
      <c r="F51" s="91" t="n">
        <f aca="false">IF($B51="",0,SUMIFS('Carga (PSE)'!$G$8:$G$1007,'Carga (PSE)'!$C$8:$C$1007,$C$4,'Carga (PSE)'!$A$8:$A$1007,$B51+3))</f>
        <v>0</v>
      </c>
      <c r="G51" s="91" t="n">
        <f aca="false">IF($B51="",0,SUMIFS('Carga (PSE)'!$G$8:$G$1007,'Carga (PSE)'!$C$8:$C$1007,$C$4,'Carga (PSE)'!$A$8:$A$1007,$B51+4))</f>
        <v>0</v>
      </c>
      <c r="H51" s="91" t="n">
        <f aca="false">IF($B51="",0,SUMIFS('Carga (PSE)'!$G$8:$G$1007,'Carga (PSE)'!$C$8:$C$1007,$C$4,'Carga (PSE)'!$A$8:$A$1007,$B51+5))</f>
        <v>0</v>
      </c>
      <c r="I51" s="91" t="n">
        <f aca="false">IF($B51="",0,SUMIFS('Carga (PSE)'!$G$8:$G$1007,'Carga (PSE)'!$C$8:$C$1007,$C$4,'Carga (PSE)'!$A$8:$A$1007,$B51+6))</f>
        <v>0</v>
      </c>
      <c r="J51" s="92" t="n">
        <f aca="false">SUM($C51:$I51)</f>
        <v>0</v>
      </c>
      <c r="K51" s="91" t="n">
        <f aca="false">COUNTIFS('Carga (PSE)'!$C$8:$C$1007,$C$4,'Carga (PSE)'!$B$8:$B$1007,$A51)</f>
        <v>0</v>
      </c>
      <c r="L51" s="93" t="n">
        <f aca="false">IF($J51=0,0,$J51/7)</f>
        <v>0</v>
      </c>
      <c r="M51" s="93" t="n">
        <f aca="false">IF($J51=0,0,STDEV($C51:$I51))</f>
        <v>0</v>
      </c>
      <c r="N51" s="94" t="n">
        <f aca="false">IF($M51=0,0,$L51/$M51)</f>
        <v>0</v>
      </c>
      <c r="O51" s="92" t="n">
        <f aca="false">$J51*$N51</f>
        <v>0</v>
      </c>
      <c r="P51" s="74" t="str">
        <f aca="false">IF($J51=0,"",IF($N51&gt;2,"Monotonia alta",IF($N51&gt;=1.5,"Atenção","Adequada")))</f>
        <v/>
      </c>
    </row>
    <row r="52" customFormat="false" ht="15" hidden="false" customHeight="false" outlineLevel="0" collapsed="false">
      <c r="A52" s="70" t="n">
        <v>33</v>
      </c>
      <c r="B52" s="87" t="n">
        <f aca="false">IF(Macrociclo!$C$11="","",Macrociclo!$C$11+($A52-1)*7)</f>
        <v>46251</v>
      </c>
      <c r="C52" s="88" t="n">
        <f aca="false">IF($B52="",0,SUMIFS('Carga (PSE)'!$G$8:$G$1007,'Carga (PSE)'!$C$8:$C$1007,$C$4,'Carga (PSE)'!$A$8:$A$1007,$B52+0))</f>
        <v>0</v>
      </c>
      <c r="D52" s="88" t="n">
        <f aca="false">IF($B52="",0,SUMIFS('Carga (PSE)'!$G$8:$G$1007,'Carga (PSE)'!$C$8:$C$1007,$C$4,'Carga (PSE)'!$A$8:$A$1007,$B52+1))</f>
        <v>0</v>
      </c>
      <c r="E52" s="88" t="n">
        <f aca="false">IF($B52="",0,SUMIFS('Carga (PSE)'!$G$8:$G$1007,'Carga (PSE)'!$C$8:$C$1007,$C$4,'Carga (PSE)'!$A$8:$A$1007,$B52+2))</f>
        <v>0</v>
      </c>
      <c r="F52" s="88" t="n">
        <f aca="false">IF($B52="",0,SUMIFS('Carga (PSE)'!$G$8:$G$1007,'Carga (PSE)'!$C$8:$C$1007,$C$4,'Carga (PSE)'!$A$8:$A$1007,$B52+3))</f>
        <v>0</v>
      </c>
      <c r="G52" s="88" t="n">
        <f aca="false">IF($B52="",0,SUMIFS('Carga (PSE)'!$G$8:$G$1007,'Carga (PSE)'!$C$8:$C$1007,$C$4,'Carga (PSE)'!$A$8:$A$1007,$B52+4))</f>
        <v>0</v>
      </c>
      <c r="H52" s="88" t="n">
        <f aca="false">IF($B52="",0,SUMIFS('Carga (PSE)'!$G$8:$G$1007,'Carga (PSE)'!$C$8:$C$1007,$C$4,'Carga (PSE)'!$A$8:$A$1007,$B52+5))</f>
        <v>0</v>
      </c>
      <c r="I52" s="88" t="n">
        <f aca="false">IF($B52="",0,SUMIFS('Carga (PSE)'!$G$8:$G$1007,'Carga (PSE)'!$C$8:$C$1007,$C$4,'Carga (PSE)'!$A$8:$A$1007,$B52+6))</f>
        <v>0</v>
      </c>
      <c r="J52" s="48" t="n">
        <f aca="false">SUM($C52:$I52)</f>
        <v>0</v>
      </c>
      <c r="K52" s="88" t="n">
        <f aca="false">COUNTIFS('Carga (PSE)'!$C$8:$C$1007,$C$4,'Carga (PSE)'!$B$8:$B$1007,$A52)</f>
        <v>0</v>
      </c>
      <c r="L52" s="89" t="n">
        <f aca="false">IF($J52=0,0,$J52/7)</f>
        <v>0</v>
      </c>
      <c r="M52" s="89" t="n">
        <f aca="false">IF($J52=0,0,STDEV($C52:$I52))</f>
        <v>0</v>
      </c>
      <c r="N52" s="67" t="n">
        <f aca="false">IF($M52=0,0,$L52/$M52)</f>
        <v>0</v>
      </c>
      <c r="O52" s="48" t="n">
        <f aca="false">$J52*$N52</f>
        <v>0</v>
      </c>
      <c r="P52" s="70" t="str">
        <f aca="false">IF($J52=0,"",IF($N52&gt;2,"Monotonia alta",IF($N52&gt;=1.5,"Atenção","Adequada")))</f>
        <v/>
      </c>
    </row>
    <row r="53" customFormat="false" ht="15" hidden="false" customHeight="false" outlineLevel="0" collapsed="false">
      <c r="A53" s="74" t="n">
        <v>34</v>
      </c>
      <c r="B53" s="90" t="n">
        <f aca="false">IF(Macrociclo!$C$11="","",Macrociclo!$C$11+($A53-1)*7)</f>
        <v>46258</v>
      </c>
      <c r="C53" s="91" t="n">
        <f aca="false">IF($B53="",0,SUMIFS('Carga (PSE)'!$G$8:$G$1007,'Carga (PSE)'!$C$8:$C$1007,$C$4,'Carga (PSE)'!$A$8:$A$1007,$B53+0))</f>
        <v>0</v>
      </c>
      <c r="D53" s="91" t="n">
        <f aca="false">IF($B53="",0,SUMIFS('Carga (PSE)'!$G$8:$G$1007,'Carga (PSE)'!$C$8:$C$1007,$C$4,'Carga (PSE)'!$A$8:$A$1007,$B53+1))</f>
        <v>0</v>
      </c>
      <c r="E53" s="91" t="n">
        <f aca="false">IF($B53="",0,SUMIFS('Carga (PSE)'!$G$8:$G$1007,'Carga (PSE)'!$C$8:$C$1007,$C$4,'Carga (PSE)'!$A$8:$A$1007,$B53+2))</f>
        <v>0</v>
      </c>
      <c r="F53" s="91" t="n">
        <f aca="false">IF($B53="",0,SUMIFS('Carga (PSE)'!$G$8:$G$1007,'Carga (PSE)'!$C$8:$C$1007,$C$4,'Carga (PSE)'!$A$8:$A$1007,$B53+3))</f>
        <v>0</v>
      </c>
      <c r="G53" s="91" t="n">
        <f aca="false">IF($B53="",0,SUMIFS('Carga (PSE)'!$G$8:$G$1007,'Carga (PSE)'!$C$8:$C$1007,$C$4,'Carga (PSE)'!$A$8:$A$1007,$B53+4))</f>
        <v>0</v>
      </c>
      <c r="H53" s="91" t="n">
        <f aca="false">IF($B53="",0,SUMIFS('Carga (PSE)'!$G$8:$G$1007,'Carga (PSE)'!$C$8:$C$1007,$C$4,'Carga (PSE)'!$A$8:$A$1007,$B53+5))</f>
        <v>0</v>
      </c>
      <c r="I53" s="91" t="n">
        <f aca="false">IF($B53="",0,SUMIFS('Carga (PSE)'!$G$8:$G$1007,'Carga (PSE)'!$C$8:$C$1007,$C$4,'Carga (PSE)'!$A$8:$A$1007,$B53+6))</f>
        <v>0</v>
      </c>
      <c r="J53" s="92" t="n">
        <f aca="false">SUM($C53:$I53)</f>
        <v>0</v>
      </c>
      <c r="K53" s="91" t="n">
        <f aca="false">COUNTIFS('Carga (PSE)'!$C$8:$C$1007,$C$4,'Carga (PSE)'!$B$8:$B$1007,$A53)</f>
        <v>0</v>
      </c>
      <c r="L53" s="93" t="n">
        <f aca="false">IF($J53=0,0,$J53/7)</f>
        <v>0</v>
      </c>
      <c r="M53" s="93" t="n">
        <f aca="false">IF($J53=0,0,STDEV($C53:$I53))</f>
        <v>0</v>
      </c>
      <c r="N53" s="94" t="n">
        <f aca="false">IF($M53=0,0,$L53/$M53)</f>
        <v>0</v>
      </c>
      <c r="O53" s="92" t="n">
        <f aca="false">$J53*$N53</f>
        <v>0</v>
      </c>
      <c r="P53" s="74" t="str">
        <f aca="false">IF($J53=0,"",IF($N53&gt;2,"Monotonia alta",IF($N53&gt;=1.5,"Atenção","Adequada")))</f>
        <v/>
      </c>
    </row>
    <row r="54" customFormat="false" ht="15" hidden="false" customHeight="false" outlineLevel="0" collapsed="false">
      <c r="A54" s="70" t="n">
        <v>35</v>
      </c>
      <c r="B54" s="87" t="n">
        <f aca="false">IF(Macrociclo!$C$11="","",Macrociclo!$C$11+($A54-1)*7)</f>
        <v>46265</v>
      </c>
      <c r="C54" s="88" t="n">
        <f aca="false">IF($B54="",0,SUMIFS('Carga (PSE)'!$G$8:$G$1007,'Carga (PSE)'!$C$8:$C$1007,$C$4,'Carga (PSE)'!$A$8:$A$1007,$B54+0))</f>
        <v>0</v>
      </c>
      <c r="D54" s="88" t="n">
        <f aca="false">IF($B54="",0,SUMIFS('Carga (PSE)'!$G$8:$G$1007,'Carga (PSE)'!$C$8:$C$1007,$C$4,'Carga (PSE)'!$A$8:$A$1007,$B54+1))</f>
        <v>0</v>
      </c>
      <c r="E54" s="88" t="n">
        <f aca="false">IF($B54="",0,SUMIFS('Carga (PSE)'!$G$8:$G$1007,'Carga (PSE)'!$C$8:$C$1007,$C$4,'Carga (PSE)'!$A$8:$A$1007,$B54+2))</f>
        <v>0</v>
      </c>
      <c r="F54" s="88" t="n">
        <f aca="false">IF($B54="",0,SUMIFS('Carga (PSE)'!$G$8:$G$1007,'Carga (PSE)'!$C$8:$C$1007,$C$4,'Carga (PSE)'!$A$8:$A$1007,$B54+3))</f>
        <v>0</v>
      </c>
      <c r="G54" s="88" t="n">
        <f aca="false">IF($B54="",0,SUMIFS('Carga (PSE)'!$G$8:$G$1007,'Carga (PSE)'!$C$8:$C$1007,$C$4,'Carga (PSE)'!$A$8:$A$1007,$B54+4))</f>
        <v>0</v>
      </c>
      <c r="H54" s="88" t="n">
        <f aca="false">IF($B54="",0,SUMIFS('Carga (PSE)'!$G$8:$G$1007,'Carga (PSE)'!$C$8:$C$1007,$C$4,'Carga (PSE)'!$A$8:$A$1007,$B54+5))</f>
        <v>0</v>
      </c>
      <c r="I54" s="88" t="n">
        <f aca="false">IF($B54="",0,SUMIFS('Carga (PSE)'!$G$8:$G$1007,'Carga (PSE)'!$C$8:$C$1007,$C$4,'Carga (PSE)'!$A$8:$A$1007,$B54+6))</f>
        <v>0</v>
      </c>
      <c r="J54" s="48" t="n">
        <f aca="false">SUM($C54:$I54)</f>
        <v>0</v>
      </c>
      <c r="K54" s="88" t="n">
        <f aca="false">COUNTIFS('Carga (PSE)'!$C$8:$C$1007,$C$4,'Carga (PSE)'!$B$8:$B$1007,$A54)</f>
        <v>0</v>
      </c>
      <c r="L54" s="89" t="n">
        <f aca="false">IF($J54=0,0,$J54/7)</f>
        <v>0</v>
      </c>
      <c r="M54" s="89" t="n">
        <f aca="false">IF($J54=0,0,STDEV($C54:$I54))</f>
        <v>0</v>
      </c>
      <c r="N54" s="67" t="n">
        <f aca="false">IF($M54=0,0,$L54/$M54)</f>
        <v>0</v>
      </c>
      <c r="O54" s="48" t="n">
        <f aca="false">$J54*$N54</f>
        <v>0</v>
      </c>
      <c r="P54" s="70" t="str">
        <f aca="false">IF($J54=0,"",IF($N54&gt;2,"Monotonia alta",IF($N54&gt;=1.5,"Atenção","Adequada")))</f>
        <v/>
      </c>
    </row>
    <row r="55" customFormat="false" ht="15" hidden="false" customHeight="false" outlineLevel="0" collapsed="false">
      <c r="A55" s="74" t="n">
        <v>36</v>
      </c>
      <c r="B55" s="90" t="n">
        <f aca="false">IF(Macrociclo!$C$11="","",Macrociclo!$C$11+($A55-1)*7)</f>
        <v>46272</v>
      </c>
      <c r="C55" s="91" t="n">
        <f aca="false">IF($B55="",0,SUMIFS('Carga (PSE)'!$G$8:$G$1007,'Carga (PSE)'!$C$8:$C$1007,$C$4,'Carga (PSE)'!$A$8:$A$1007,$B55+0))</f>
        <v>0</v>
      </c>
      <c r="D55" s="91" t="n">
        <f aca="false">IF($B55="",0,SUMIFS('Carga (PSE)'!$G$8:$G$1007,'Carga (PSE)'!$C$8:$C$1007,$C$4,'Carga (PSE)'!$A$8:$A$1007,$B55+1))</f>
        <v>0</v>
      </c>
      <c r="E55" s="91" t="n">
        <f aca="false">IF($B55="",0,SUMIFS('Carga (PSE)'!$G$8:$G$1007,'Carga (PSE)'!$C$8:$C$1007,$C$4,'Carga (PSE)'!$A$8:$A$1007,$B55+2))</f>
        <v>0</v>
      </c>
      <c r="F55" s="91" t="n">
        <f aca="false">IF($B55="",0,SUMIFS('Carga (PSE)'!$G$8:$G$1007,'Carga (PSE)'!$C$8:$C$1007,$C$4,'Carga (PSE)'!$A$8:$A$1007,$B55+3))</f>
        <v>0</v>
      </c>
      <c r="G55" s="91" t="n">
        <f aca="false">IF($B55="",0,SUMIFS('Carga (PSE)'!$G$8:$G$1007,'Carga (PSE)'!$C$8:$C$1007,$C$4,'Carga (PSE)'!$A$8:$A$1007,$B55+4))</f>
        <v>0</v>
      </c>
      <c r="H55" s="91" t="n">
        <f aca="false">IF($B55="",0,SUMIFS('Carga (PSE)'!$G$8:$G$1007,'Carga (PSE)'!$C$8:$C$1007,$C$4,'Carga (PSE)'!$A$8:$A$1007,$B55+5))</f>
        <v>0</v>
      </c>
      <c r="I55" s="91" t="n">
        <f aca="false">IF($B55="",0,SUMIFS('Carga (PSE)'!$G$8:$G$1007,'Carga (PSE)'!$C$8:$C$1007,$C$4,'Carga (PSE)'!$A$8:$A$1007,$B55+6))</f>
        <v>0</v>
      </c>
      <c r="J55" s="92" t="n">
        <f aca="false">SUM($C55:$I55)</f>
        <v>0</v>
      </c>
      <c r="K55" s="91" t="n">
        <f aca="false">COUNTIFS('Carga (PSE)'!$C$8:$C$1007,$C$4,'Carga (PSE)'!$B$8:$B$1007,$A55)</f>
        <v>0</v>
      </c>
      <c r="L55" s="93" t="n">
        <f aca="false">IF($J55=0,0,$J55/7)</f>
        <v>0</v>
      </c>
      <c r="M55" s="93" t="n">
        <f aca="false">IF($J55=0,0,STDEV($C55:$I55))</f>
        <v>0</v>
      </c>
      <c r="N55" s="94" t="n">
        <f aca="false">IF($M55=0,0,$L55/$M55)</f>
        <v>0</v>
      </c>
      <c r="O55" s="92" t="n">
        <f aca="false">$J55*$N55</f>
        <v>0</v>
      </c>
      <c r="P55" s="74" t="str">
        <f aca="false">IF($J55=0,"",IF($N55&gt;2,"Monotonia alta",IF($N55&gt;=1.5,"Atenção","Adequada")))</f>
        <v/>
      </c>
    </row>
    <row r="56" customFormat="false" ht="15" hidden="false" customHeight="false" outlineLevel="0" collapsed="false">
      <c r="A56" s="70" t="n">
        <v>37</v>
      </c>
      <c r="B56" s="87" t="n">
        <f aca="false">IF(Macrociclo!$C$11="","",Macrociclo!$C$11+($A56-1)*7)</f>
        <v>46279</v>
      </c>
      <c r="C56" s="88" t="n">
        <f aca="false">IF($B56="",0,SUMIFS('Carga (PSE)'!$G$8:$G$1007,'Carga (PSE)'!$C$8:$C$1007,$C$4,'Carga (PSE)'!$A$8:$A$1007,$B56+0))</f>
        <v>0</v>
      </c>
      <c r="D56" s="88" t="n">
        <f aca="false">IF($B56="",0,SUMIFS('Carga (PSE)'!$G$8:$G$1007,'Carga (PSE)'!$C$8:$C$1007,$C$4,'Carga (PSE)'!$A$8:$A$1007,$B56+1))</f>
        <v>0</v>
      </c>
      <c r="E56" s="88" t="n">
        <f aca="false">IF($B56="",0,SUMIFS('Carga (PSE)'!$G$8:$G$1007,'Carga (PSE)'!$C$8:$C$1007,$C$4,'Carga (PSE)'!$A$8:$A$1007,$B56+2))</f>
        <v>0</v>
      </c>
      <c r="F56" s="88" t="n">
        <f aca="false">IF($B56="",0,SUMIFS('Carga (PSE)'!$G$8:$G$1007,'Carga (PSE)'!$C$8:$C$1007,$C$4,'Carga (PSE)'!$A$8:$A$1007,$B56+3))</f>
        <v>0</v>
      </c>
      <c r="G56" s="88" t="n">
        <f aca="false">IF($B56="",0,SUMIFS('Carga (PSE)'!$G$8:$G$1007,'Carga (PSE)'!$C$8:$C$1007,$C$4,'Carga (PSE)'!$A$8:$A$1007,$B56+4))</f>
        <v>0</v>
      </c>
      <c r="H56" s="88" t="n">
        <f aca="false">IF($B56="",0,SUMIFS('Carga (PSE)'!$G$8:$G$1007,'Carga (PSE)'!$C$8:$C$1007,$C$4,'Carga (PSE)'!$A$8:$A$1007,$B56+5))</f>
        <v>0</v>
      </c>
      <c r="I56" s="88" t="n">
        <f aca="false">IF($B56="",0,SUMIFS('Carga (PSE)'!$G$8:$G$1007,'Carga (PSE)'!$C$8:$C$1007,$C$4,'Carga (PSE)'!$A$8:$A$1007,$B56+6))</f>
        <v>0</v>
      </c>
      <c r="J56" s="48" t="n">
        <f aca="false">SUM($C56:$I56)</f>
        <v>0</v>
      </c>
      <c r="K56" s="88" t="n">
        <f aca="false">COUNTIFS('Carga (PSE)'!$C$8:$C$1007,$C$4,'Carga (PSE)'!$B$8:$B$1007,$A56)</f>
        <v>0</v>
      </c>
      <c r="L56" s="89" t="n">
        <f aca="false">IF($J56=0,0,$J56/7)</f>
        <v>0</v>
      </c>
      <c r="M56" s="89" t="n">
        <f aca="false">IF($J56=0,0,STDEV($C56:$I56))</f>
        <v>0</v>
      </c>
      <c r="N56" s="67" t="n">
        <f aca="false">IF($M56=0,0,$L56/$M56)</f>
        <v>0</v>
      </c>
      <c r="O56" s="48" t="n">
        <f aca="false">$J56*$N56</f>
        <v>0</v>
      </c>
      <c r="P56" s="70" t="str">
        <f aca="false">IF($J56=0,"",IF($N56&gt;2,"Monotonia alta",IF($N56&gt;=1.5,"Atenção","Adequada")))</f>
        <v/>
      </c>
    </row>
    <row r="57" customFormat="false" ht="15" hidden="false" customHeight="false" outlineLevel="0" collapsed="false">
      <c r="A57" s="74" t="n">
        <v>38</v>
      </c>
      <c r="B57" s="90" t="n">
        <f aca="false">IF(Macrociclo!$C$11="","",Macrociclo!$C$11+($A57-1)*7)</f>
        <v>46286</v>
      </c>
      <c r="C57" s="91" t="n">
        <f aca="false">IF($B57="",0,SUMIFS('Carga (PSE)'!$G$8:$G$1007,'Carga (PSE)'!$C$8:$C$1007,$C$4,'Carga (PSE)'!$A$8:$A$1007,$B57+0))</f>
        <v>0</v>
      </c>
      <c r="D57" s="91" t="n">
        <f aca="false">IF($B57="",0,SUMIFS('Carga (PSE)'!$G$8:$G$1007,'Carga (PSE)'!$C$8:$C$1007,$C$4,'Carga (PSE)'!$A$8:$A$1007,$B57+1))</f>
        <v>0</v>
      </c>
      <c r="E57" s="91" t="n">
        <f aca="false">IF($B57="",0,SUMIFS('Carga (PSE)'!$G$8:$G$1007,'Carga (PSE)'!$C$8:$C$1007,$C$4,'Carga (PSE)'!$A$8:$A$1007,$B57+2))</f>
        <v>0</v>
      </c>
      <c r="F57" s="91" t="n">
        <f aca="false">IF($B57="",0,SUMIFS('Carga (PSE)'!$G$8:$G$1007,'Carga (PSE)'!$C$8:$C$1007,$C$4,'Carga (PSE)'!$A$8:$A$1007,$B57+3))</f>
        <v>0</v>
      </c>
      <c r="G57" s="91" t="n">
        <f aca="false">IF($B57="",0,SUMIFS('Carga (PSE)'!$G$8:$G$1007,'Carga (PSE)'!$C$8:$C$1007,$C$4,'Carga (PSE)'!$A$8:$A$1007,$B57+4))</f>
        <v>0</v>
      </c>
      <c r="H57" s="91" t="n">
        <f aca="false">IF($B57="",0,SUMIFS('Carga (PSE)'!$G$8:$G$1007,'Carga (PSE)'!$C$8:$C$1007,$C$4,'Carga (PSE)'!$A$8:$A$1007,$B57+5))</f>
        <v>0</v>
      </c>
      <c r="I57" s="91" t="n">
        <f aca="false">IF($B57="",0,SUMIFS('Carga (PSE)'!$G$8:$G$1007,'Carga (PSE)'!$C$8:$C$1007,$C$4,'Carga (PSE)'!$A$8:$A$1007,$B57+6))</f>
        <v>0</v>
      </c>
      <c r="J57" s="92" t="n">
        <f aca="false">SUM($C57:$I57)</f>
        <v>0</v>
      </c>
      <c r="K57" s="91" t="n">
        <f aca="false">COUNTIFS('Carga (PSE)'!$C$8:$C$1007,$C$4,'Carga (PSE)'!$B$8:$B$1007,$A57)</f>
        <v>0</v>
      </c>
      <c r="L57" s="93" t="n">
        <f aca="false">IF($J57=0,0,$J57/7)</f>
        <v>0</v>
      </c>
      <c r="M57" s="93" t="n">
        <f aca="false">IF($J57=0,0,STDEV($C57:$I57))</f>
        <v>0</v>
      </c>
      <c r="N57" s="94" t="n">
        <f aca="false">IF($M57=0,0,$L57/$M57)</f>
        <v>0</v>
      </c>
      <c r="O57" s="92" t="n">
        <f aca="false">$J57*$N57</f>
        <v>0</v>
      </c>
      <c r="P57" s="74" t="str">
        <f aca="false">IF($J57=0,"",IF($N57&gt;2,"Monotonia alta",IF($N57&gt;=1.5,"Atenção","Adequada")))</f>
        <v/>
      </c>
    </row>
    <row r="58" customFormat="false" ht="15" hidden="false" customHeight="false" outlineLevel="0" collapsed="false">
      <c r="A58" s="70" t="n">
        <v>39</v>
      </c>
      <c r="B58" s="87" t="n">
        <f aca="false">IF(Macrociclo!$C$11="","",Macrociclo!$C$11+($A58-1)*7)</f>
        <v>46293</v>
      </c>
      <c r="C58" s="88" t="n">
        <f aca="false">IF($B58="",0,SUMIFS('Carga (PSE)'!$G$8:$G$1007,'Carga (PSE)'!$C$8:$C$1007,$C$4,'Carga (PSE)'!$A$8:$A$1007,$B58+0))</f>
        <v>0</v>
      </c>
      <c r="D58" s="88" t="n">
        <f aca="false">IF($B58="",0,SUMIFS('Carga (PSE)'!$G$8:$G$1007,'Carga (PSE)'!$C$8:$C$1007,$C$4,'Carga (PSE)'!$A$8:$A$1007,$B58+1))</f>
        <v>0</v>
      </c>
      <c r="E58" s="88" t="n">
        <f aca="false">IF($B58="",0,SUMIFS('Carga (PSE)'!$G$8:$G$1007,'Carga (PSE)'!$C$8:$C$1007,$C$4,'Carga (PSE)'!$A$8:$A$1007,$B58+2))</f>
        <v>0</v>
      </c>
      <c r="F58" s="88" t="n">
        <f aca="false">IF($B58="",0,SUMIFS('Carga (PSE)'!$G$8:$G$1007,'Carga (PSE)'!$C$8:$C$1007,$C$4,'Carga (PSE)'!$A$8:$A$1007,$B58+3))</f>
        <v>0</v>
      </c>
      <c r="G58" s="88" t="n">
        <f aca="false">IF($B58="",0,SUMIFS('Carga (PSE)'!$G$8:$G$1007,'Carga (PSE)'!$C$8:$C$1007,$C$4,'Carga (PSE)'!$A$8:$A$1007,$B58+4))</f>
        <v>0</v>
      </c>
      <c r="H58" s="88" t="n">
        <f aca="false">IF($B58="",0,SUMIFS('Carga (PSE)'!$G$8:$G$1007,'Carga (PSE)'!$C$8:$C$1007,$C$4,'Carga (PSE)'!$A$8:$A$1007,$B58+5))</f>
        <v>0</v>
      </c>
      <c r="I58" s="88" t="n">
        <f aca="false">IF($B58="",0,SUMIFS('Carga (PSE)'!$G$8:$G$1007,'Carga (PSE)'!$C$8:$C$1007,$C$4,'Carga (PSE)'!$A$8:$A$1007,$B58+6))</f>
        <v>0</v>
      </c>
      <c r="J58" s="48" t="n">
        <f aca="false">SUM($C58:$I58)</f>
        <v>0</v>
      </c>
      <c r="K58" s="88" t="n">
        <f aca="false">COUNTIFS('Carga (PSE)'!$C$8:$C$1007,$C$4,'Carga (PSE)'!$B$8:$B$1007,$A58)</f>
        <v>0</v>
      </c>
      <c r="L58" s="89" t="n">
        <f aca="false">IF($J58=0,0,$J58/7)</f>
        <v>0</v>
      </c>
      <c r="M58" s="89" t="n">
        <f aca="false">IF($J58=0,0,STDEV($C58:$I58))</f>
        <v>0</v>
      </c>
      <c r="N58" s="67" t="n">
        <f aca="false">IF($M58=0,0,$L58/$M58)</f>
        <v>0</v>
      </c>
      <c r="O58" s="48" t="n">
        <f aca="false">$J58*$N58</f>
        <v>0</v>
      </c>
      <c r="P58" s="70" t="str">
        <f aca="false">IF($J58=0,"",IF($N58&gt;2,"Monotonia alta",IF($N58&gt;=1.5,"Atenção","Adequada")))</f>
        <v/>
      </c>
    </row>
    <row r="59" customFormat="false" ht="15" hidden="false" customHeight="false" outlineLevel="0" collapsed="false">
      <c r="A59" s="74" t="n">
        <v>40</v>
      </c>
      <c r="B59" s="90" t="n">
        <f aca="false">IF(Macrociclo!$C$11="","",Macrociclo!$C$11+($A59-1)*7)</f>
        <v>46300</v>
      </c>
      <c r="C59" s="91" t="n">
        <f aca="false">IF($B59="",0,SUMIFS('Carga (PSE)'!$G$8:$G$1007,'Carga (PSE)'!$C$8:$C$1007,$C$4,'Carga (PSE)'!$A$8:$A$1007,$B59+0))</f>
        <v>0</v>
      </c>
      <c r="D59" s="91" t="n">
        <f aca="false">IF($B59="",0,SUMIFS('Carga (PSE)'!$G$8:$G$1007,'Carga (PSE)'!$C$8:$C$1007,$C$4,'Carga (PSE)'!$A$8:$A$1007,$B59+1))</f>
        <v>0</v>
      </c>
      <c r="E59" s="91" t="n">
        <f aca="false">IF($B59="",0,SUMIFS('Carga (PSE)'!$G$8:$G$1007,'Carga (PSE)'!$C$8:$C$1007,$C$4,'Carga (PSE)'!$A$8:$A$1007,$B59+2))</f>
        <v>0</v>
      </c>
      <c r="F59" s="91" t="n">
        <f aca="false">IF($B59="",0,SUMIFS('Carga (PSE)'!$G$8:$G$1007,'Carga (PSE)'!$C$8:$C$1007,$C$4,'Carga (PSE)'!$A$8:$A$1007,$B59+3))</f>
        <v>0</v>
      </c>
      <c r="G59" s="91" t="n">
        <f aca="false">IF($B59="",0,SUMIFS('Carga (PSE)'!$G$8:$G$1007,'Carga (PSE)'!$C$8:$C$1007,$C$4,'Carga (PSE)'!$A$8:$A$1007,$B59+4))</f>
        <v>0</v>
      </c>
      <c r="H59" s="91" t="n">
        <f aca="false">IF($B59="",0,SUMIFS('Carga (PSE)'!$G$8:$G$1007,'Carga (PSE)'!$C$8:$C$1007,$C$4,'Carga (PSE)'!$A$8:$A$1007,$B59+5))</f>
        <v>0</v>
      </c>
      <c r="I59" s="91" t="n">
        <f aca="false">IF($B59="",0,SUMIFS('Carga (PSE)'!$G$8:$G$1007,'Carga (PSE)'!$C$8:$C$1007,$C$4,'Carga (PSE)'!$A$8:$A$1007,$B59+6))</f>
        <v>0</v>
      </c>
      <c r="J59" s="92" t="n">
        <f aca="false">SUM($C59:$I59)</f>
        <v>0</v>
      </c>
      <c r="K59" s="91" t="n">
        <f aca="false">COUNTIFS('Carga (PSE)'!$C$8:$C$1007,$C$4,'Carga (PSE)'!$B$8:$B$1007,$A59)</f>
        <v>0</v>
      </c>
      <c r="L59" s="93" t="n">
        <f aca="false">IF($J59=0,0,$J59/7)</f>
        <v>0</v>
      </c>
      <c r="M59" s="93" t="n">
        <f aca="false">IF($J59=0,0,STDEV($C59:$I59))</f>
        <v>0</v>
      </c>
      <c r="N59" s="94" t="n">
        <f aca="false">IF($M59=0,0,$L59/$M59)</f>
        <v>0</v>
      </c>
      <c r="O59" s="92" t="n">
        <f aca="false">$J59*$N59</f>
        <v>0</v>
      </c>
      <c r="P59" s="74" t="str">
        <f aca="false">IF($J59=0,"",IF($N59&gt;2,"Monotonia alta",IF($N59&gt;=1.5,"Atenção","Adequada")))</f>
        <v/>
      </c>
    </row>
    <row r="60" customFormat="false" ht="15" hidden="false" customHeight="false" outlineLevel="0" collapsed="false">
      <c r="A60" s="70" t="n">
        <v>41</v>
      </c>
      <c r="B60" s="87" t="n">
        <f aca="false">IF(Macrociclo!$C$11="","",Macrociclo!$C$11+($A60-1)*7)</f>
        <v>46307</v>
      </c>
      <c r="C60" s="88" t="n">
        <f aca="false">IF($B60="",0,SUMIFS('Carga (PSE)'!$G$8:$G$1007,'Carga (PSE)'!$C$8:$C$1007,$C$4,'Carga (PSE)'!$A$8:$A$1007,$B60+0))</f>
        <v>0</v>
      </c>
      <c r="D60" s="88" t="n">
        <f aca="false">IF($B60="",0,SUMIFS('Carga (PSE)'!$G$8:$G$1007,'Carga (PSE)'!$C$8:$C$1007,$C$4,'Carga (PSE)'!$A$8:$A$1007,$B60+1))</f>
        <v>0</v>
      </c>
      <c r="E60" s="88" t="n">
        <f aca="false">IF($B60="",0,SUMIFS('Carga (PSE)'!$G$8:$G$1007,'Carga (PSE)'!$C$8:$C$1007,$C$4,'Carga (PSE)'!$A$8:$A$1007,$B60+2))</f>
        <v>0</v>
      </c>
      <c r="F60" s="88" t="n">
        <f aca="false">IF($B60="",0,SUMIFS('Carga (PSE)'!$G$8:$G$1007,'Carga (PSE)'!$C$8:$C$1007,$C$4,'Carga (PSE)'!$A$8:$A$1007,$B60+3))</f>
        <v>0</v>
      </c>
      <c r="G60" s="88" t="n">
        <f aca="false">IF($B60="",0,SUMIFS('Carga (PSE)'!$G$8:$G$1007,'Carga (PSE)'!$C$8:$C$1007,$C$4,'Carga (PSE)'!$A$8:$A$1007,$B60+4))</f>
        <v>0</v>
      </c>
      <c r="H60" s="88" t="n">
        <f aca="false">IF($B60="",0,SUMIFS('Carga (PSE)'!$G$8:$G$1007,'Carga (PSE)'!$C$8:$C$1007,$C$4,'Carga (PSE)'!$A$8:$A$1007,$B60+5))</f>
        <v>0</v>
      </c>
      <c r="I60" s="88" t="n">
        <f aca="false">IF($B60="",0,SUMIFS('Carga (PSE)'!$G$8:$G$1007,'Carga (PSE)'!$C$8:$C$1007,$C$4,'Carga (PSE)'!$A$8:$A$1007,$B60+6))</f>
        <v>0</v>
      </c>
      <c r="J60" s="48" t="n">
        <f aca="false">SUM($C60:$I60)</f>
        <v>0</v>
      </c>
      <c r="K60" s="88" t="n">
        <f aca="false">COUNTIFS('Carga (PSE)'!$C$8:$C$1007,$C$4,'Carga (PSE)'!$B$8:$B$1007,$A60)</f>
        <v>0</v>
      </c>
      <c r="L60" s="89" t="n">
        <f aca="false">IF($J60=0,0,$J60/7)</f>
        <v>0</v>
      </c>
      <c r="M60" s="89" t="n">
        <f aca="false">IF($J60=0,0,STDEV($C60:$I60))</f>
        <v>0</v>
      </c>
      <c r="N60" s="67" t="n">
        <f aca="false">IF($M60=0,0,$L60/$M60)</f>
        <v>0</v>
      </c>
      <c r="O60" s="48" t="n">
        <f aca="false">$J60*$N60</f>
        <v>0</v>
      </c>
      <c r="P60" s="70" t="str">
        <f aca="false">IF($J60=0,"",IF($N60&gt;2,"Monotonia alta",IF($N60&gt;=1.5,"Atenção","Adequada")))</f>
        <v/>
      </c>
    </row>
    <row r="61" customFormat="false" ht="15" hidden="false" customHeight="false" outlineLevel="0" collapsed="false">
      <c r="A61" s="74" t="n">
        <v>42</v>
      </c>
      <c r="B61" s="90" t="n">
        <f aca="false">IF(Macrociclo!$C$11="","",Macrociclo!$C$11+($A61-1)*7)</f>
        <v>46314</v>
      </c>
      <c r="C61" s="91" t="n">
        <f aca="false">IF($B61="",0,SUMIFS('Carga (PSE)'!$G$8:$G$1007,'Carga (PSE)'!$C$8:$C$1007,$C$4,'Carga (PSE)'!$A$8:$A$1007,$B61+0))</f>
        <v>0</v>
      </c>
      <c r="D61" s="91" t="n">
        <f aca="false">IF($B61="",0,SUMIFS('Carga (PSE)'!$G$8:$G$1007,'Carga (PSE)'!$C$8:$C$1007,$C$4,'Carga (PSE)'!$A$8:$A$1007,$B61+1))</f>
        <v>0</v>
      </c>
      <c r="E61" s="91" t="n">
        <f aca="false">IF($B61="",0,SUMIFS('Carga (PSE)'!$G$8:$G$1007,'Carga (PSE)'!$C$8:$C$1007,$C$4,'Carga (PSE)'!$A$8:$A$1007,$B61+2))</f>
        <v>0</v>
      </c>
      <c r="F61" s="91" t="n">
        <f aca="false">IF($B61="",0,SUMIFS('Carga (PSE)'!$G$8:$G$1007,'Carga (PSE)'!$C$8:$C$1007,$C$4,'Carga (PSE)'!$A$8:$A$1007,$B61+3))</f>
        <v>0</v>
      </c>
      <c r="G61" s="91" t="n">
        <f aca="false">IF($B61="",0,SUMIFS('Carga (PSE)'!$G$8:$G$1007,'Carga (PSE)'!$C$8:$C$1007,$C$4,'Carga (PSE)'!$A$8:$A$1007,$B61+4))</f>
        <v>0</v>
      </c>
      <c r="H61" s="91" t="n">
        <f aca="false">IF($B61="",0,SUMIFS('Carga (PSE)'!$G$8:$G$1007,'Carga (PSE)'!$C$8:$C$1007,$C$4,'Carga (PSE)'!$A$8:$A$1007,$B61+5))</f>
        <v>0</v>
      </c>
      <c r="I61" s="91" t="n">
        <f aca="false">IF($B61="",0,SUMIFS('Carga (PSE)'!$G$8:$G$1007,'Carga (PSE)'!$C$8:$C$1007,$C$4,'Carga (PSE)'!$A$8:$A$1007,$B61+6))</f>
        <v>0</v>
      </c>
      <c r="J61" s="92" t="n">
        <f aca="false">SUM($C61:$I61)</f>
        <v>0</v>
      </c>
      <c r="K61" s="91" t="n">
        <f aca="false">COUNTIFS('Carga (PSE)'!$C$8:$C$1007,$C$4,'Carga (PSE)'!$B$8:$B$1007,$A61)</f>
        <v>0</v>
      </c>
      <c r="L61" s="93" t="n">
        <f aca="false">IF($J61=0,0,$J61/7)</f>
        <v>0</v>
      </c>
      <c r="M61" s="93" t="n">
        <f aca="false">IF($J61=0,0,STDEV($C61:$I61))</f>
        <v>0</v>
      </c>
      <c r="N61" s="94" t="n">
        <f aca="false">IF($M61=0,0,$L61/$M61)</f>
        <v>0</v>
      </c>
      <c r="O61" s="92" t="n">
        <f aca="false">$J61*$N61</f>
        <v>0</v>
      </c>
      <c r="P61" s="74" t="str">
        <f aca="false">IF($J61=0,"",IF($N61&gt;2,"Monotonia alta",IF($N61&gt;=1.5,"Atenção","Adequada")))</f>
        <v/>
      </c>
    </row>
    <row r="62" customFormat="false" ht="15" hidden="false" customHeight="false" outlineLevel="0" collapsed="false">
      <c r="A62" s="70" t="n">
        <v>43</v>
      </c>
      <c r="B62" s="87" t="n">
        <f aca="false">IF(Macrociclo!$C$11="","",Macrociclo!$C$11+($A62-1)*7)</f>
        <v>46321</v>
      </c>
      <c r="C62" s="88" t="n">
        <f aca="false">IF($B62="",0,SUMIFS('Carga (PSE)'!$G$8:$G$1007,'Carga (PSE)'!$C$8:$C$1007,$C$4,'Carga (PSE)'!$A$8:$A$1007,$B62+0))</f>
        <v>0</v>
      </c>
      <c r="D62" s="88" t="n">
        <f aca="false">IF($B62="",0,SUMIFS('Carga (PSE)'!$G$8:$G$1007,'Carga (PSE)'!$C$8:$C$1007,$C$4,'Carga (PSE)'!$A$8:$A$1007,$B62+1))</f>
        <v>0</v>
      </c>
      <c r="E62" s="88" t="n">
        <f aca="false">IF($B62="",0,SUMIFS('Carga (PSE)'!$G$8:$G$1007,'Carga (PSE)'!$C$8:$C$1007,$C$4,'Carga (PSE)'!$A$8:$A$1007,$B62+2))</f>
        <v>0</v>
      </c>
      <c r="F62" s="88" t="n">
        <f aca="false">IF($B62="",0,SUMIFS('Carga (PSE)'!$G$8:$G$1007,'Carga (PSE)'!$C$8:$C$1007,$C$4,'Carga (PSE)'!$A$8:$A$1007,$B62+3))</f>
        <v>0</v>
      </c>
      <c r="G62" s="88" t="n">
        <f aca="false">IF($B62="",0,SUMIFS('Carga (PSE)'!$G$8:$G$1007,'Carga (PSE)'!$C$8:$C$1007,$C$4,'Carga (PSE)'!$A$8:$A$1007,$B62+4))</f>
        <v>0</v>
      </c>
      <c r="H62" s="88" t="n">
        <f aca="false">IF($B62="",0,SUMIFS('Carga (PSE)'!$G$8:$G$1007,'Carga (PSE)'!$C$8:$C$1007,$C$4,'Carga (PSE)'!$A$8:$A$1007,$B62+5))</f>
        <v>0</v>
      </c>
      <c r="I62" s="88" t="n">
        <f aca="false">IF($B62="",0,SUMIFS('Carga (PSE)'!$G$8:$G$1007,'Carga (PSE)'!$C$8:$C$1007,$C$4,'Carga (PSE)'!$A$8:$A$1007,$B62+6))</f>
        <v>0</v>
      </c>
      <c r="J62" s="48" t="n">
        <f aca="false">SUM($C62:$I62)</f>
        <v>0</v>
      </c>
      <c r="K62" s="88" t="n">
        <f aca="false">COUNTIFS('Carga (PSE)'!$C$8:$C$1007,$C$4,'Carga (PSE)'!$B$8:$B$1007,$A62)</f>
        <v>0</v>
      </c>
      <c r="L62" s="89" t="n">
        <f aca="false">IF($J62=0,0,$J62/7)</f>
        <v>0</v>
      </c>
      <c r="M62" s="89" t="n">
        <f aca="false">IF($J62=0,0,STDEV($C62:$I62))</f>
        <v>0</v>
      </c>
      <c r="N62" s="67" t="n">
        <f aca="false">IF($M62=0,0,$L62/$M62)</f>
        <v>0</v>
      </c>
      <c r="O62" s="48" t="n">
        <f aca="false">$J62*$N62</f>
        <v>0</v>
      </c>
      <c r="P62" s="70" t="str">
        <f aca="false">IF($J62=0,"",IF($N62&gt;2,"Monotonia alta",IF($N62&gt;=1.5,"Atenção","Adequada")))</f>
        <v/>
      </c>
    </row>
    <row r="63" customFormat="false" ht="15" hidden="false" customHeight="false" outlineLevel="0" collapsed="false">
      <c r="A63" s="74" t="n">
        <v>44</v>
      </c>
      <c r="B63" s="90" t="n">
        <f aca="false">IF(Macrociclo!$C$11="","",Macrociclo!$C$11+($A63-1)*7)</f>
        <v>46328</v>
      </c>
      <c r="C63" s="91" t="n">
        <f aca="false">IF($B63="",0,SUMIFS('Carga (PSE)'!$G$8:$G$1007,'Carga (PSE)'!$C$8:$C$1007,$C$4,'Carga (PSE)'!$A$8:$A$1007,$B63+0))</f>
        <v>0</v>
      </c>
      <c r="D63" s="91" t="n">
        <f aca="false">IF($B63="",0,SUMIFS('Carga (PSE)'!$G$8:$G$1007,'Carga (PSE)'!$C$8:$C$1007,$C$4,'Carga (PSE)'!$A$8:$A$1007,$B63+1))</f>
        <v>0</v>
      </c>
      <c r="E63" s="91" t="n">
        <f aca="false">IF($B63="",0,SUMIFS('Carga (PSE)'!$G$8:$G$1007,'Carga (PSE)'!$C$8:$C$1007,$C$4,'Carga (PSE)'!$A$8:$A$1007,$B63+2))</f>
        <v>0</v>
      </c>
      <c r="F63" s="91" t="n">
        <f aca="false">IF($B63="",0,SUMIFS('Carga (PSE)'!$G$8:$G$1007,'Carga (PSE)'!$C$8:$C$1007,$C$4,'Carga (PSE)'!$A$8:$A$1007,$B63+3))</f>
        <v>0</v>
      </c>
      <c r="G63" s="91" t="n">
        <f aca="false">IF($B63="",0,SUMIFS('Carga (PSE)'!$G$8:$G$1007,'Carga (PSE)'!$C$8:$C$1007,$C$4,'Carga (PSE)'!$A$8:$A$1007,$B63+4))</f>
        <v>0</v>
      </c>
      <c r="H63" s="91" t="n">
        <f aca="false">IF($B63="",0,SUMIFS('Carga (PSE)'!$G$8:$G$1007,'Carga (PSE)'!$C$8:$C$1007,$C$4,'Carga (PSE)'!$A$8:$A$1007,$B63+5))</f>
        <v>0</v>
      </c>
      <c r="I63" s="91" t="n">
        <f aca="false">IF($B63="",0,SUMIFS('Carga (PSE)'!$G$8:$G$1007,'Carga (PSE)'!$C$8:$C$1007,$C$4,'Carga (PSE)'!$A$8:$A$1007,$B63+6))</f>
        <v>0</v>
      </c>
      <c r="J63" s="92" t="n">
        <f aca="false">SUM($C63:$I63)</f>
        <v>0</v>
      </c>
      <c r="K63" s="91" t="n">
        <f aca="false">COUNTIFS('Carga (PSE)'!$C$8:$C$1007,$C$4,'Carga (PSE)'!$B$8:$B$1007,$A63)</f>
        <v>0</v>
      </c>
      <c r="L63" s="93" t="n">
        <f aca="false">IF($J63=0,0,$J63/7)</f>
        <v>0</v>
      </c>
      <c r="M63" s="93" t="n">
        <f aca="false">IF($J63=0,0,STDEV($C63:$I63))</f>
        <v>0</v>
      </c>
      <c r="N63" s="94" t="n">
        <f aca="false">IF($M63=0,0,$L63/$M63)</f>
        <v>0</v>
      </c>
      <c r="O63" s="92" t="n">
        <f aca="false">$J63*$N63</f>
        <v>0</v>
      </c>
      <c r="P63" s="74" t="str">
        <f aca="false">IF($J63=0,"",IF($N63&gt;2,"Monotonia alta",IF($N63&gt;=1.5,"Atenção","Adequada")))</f>
        <v/>
      </c>
    </row>
    <row r="64" customFormat="false" ht="15" hidden="false" customHeight="false" outlineLevel="0" collapsed="false">
      <c r="A64" s="70" t="n">
        <v>45</v>
      </c>
      <c r="B64" s="87" t="n">
        <f aca="false">IF(Macrociclo!$C$11="","",Macrociclo!$C$11+($A64-1)*7)</f>
        <v>46335</v>
      </c>
      <c r="C64" s="88" t="n">
        <f aca="false">IF($B64="",0,SUMIFS('Carga (PSE)'!$G$8:$G$1007,'Carga (PSE)'!$C$8:$C$1007,$C$4,'Carga (PSE)'!$A$8:$A$1007,$B64+0))</f>
        <v>0</v>
      </c>
      <c r="D64" s="88" t="n">
        <f aca="false">IF($B64="",0,SUMIFS('Carga (PSE)'!$G$8:$G$1007,'Carga (PSE)'!$C$8:$C$1007,$C$4,'Carga (PSE)'!$A$8:$A$1007,$B64+1))</f>
        <v>0</v>
      </c>
      <c r="E64" s="88" t="n">
        <f aca="false">IF($B64="",0,SUMIFS('Carga (PSE)'!$G$8:$G$1007,'Carga (PSE)'!$C$8:$C$1007,$C$4,'Carga (PSE)'!$A$8:$A$1007,$B64+2))</f>
        <v>0</v>
      </c>
      <c r="F64" s="88" t="n">
        <f aca="false">IF($B64="",0,SUMIFS('Carga (PSE)'!$G$8:$G$1007,'Carga (PSE)'!$C$8:$C$1007,$C$4,'Carga (PSE)'!$A$8:$A$1007,$B64+3))</f>
        <v>0</v>
      </c>
      <c r="G64" s="88" t="n">
        <f aca="false">IF($B64="",0,SUMIFS('Carga (PSE)'!$G$8:$G$1007,'Carga (PSE)'!$C$8:$C$1007,$C$4,'Carga (PSE)'!$A$8:$A$1007,$B64+4))</f>
        <v>0</v>
      </c>
      <c r="H64" s="88" t="n">
        <f aca="false">IF($B64="",0,SUMIFS('Carga (PSE)'!$G$8:$G$1007,'Carga (PSE)'!$C$8:$C$1007,$C$4,'Carga (PSE)'!$A$8:$A$1007,$B64+5))</f>
        <v>0</v>
      </c>
      <c r="I64" s="88" t="n">
        <f aca="false">IF($B64="",0,SUMIFS('Carga (PSE)'!$G$8:$G$1007,'Carga (PSE)'!$C$8:$C$1007,$C$4,'Carga (PSE)'!$A$8:$A$1007,$B64+6))</f>
        <v>0</v>
      </c>
      <c r="J64" s="48" t="n">
        <f aca="false">SUM($C64:$I64)</f>
        <v>0</v>
      </c>
      <c r="K64" s="88" t="n">
        <f aca="false">COUNTIFS('Carga (PSE)'!$C$8:$C$1007,$C$4,'Carga (PSE)'!$B$8:$B$1007,$A64)</f>
        <v>0</v>
      </c>
      <c r="L64" s="89" t="n">
        <f aca="false">IF($J64=0,0,$J64/7)</f>
        <v>0</v>
      </c>
      <c r="M64" s="89" t="n">
        <f aca="false">IF($J64=0,0,STDEV($C64:$I64))</f>
        <v>0</v>
      </c>
      <c r="N64" s="67" t="n">
        <f aca="false">IF($M64=0,0,$L64/$M64)</f>
        <v>0</v>
      </c>
      <c r="O64" s="48" t="n">
        <f aca="false">$J64*$N64</f>
        <v>0</v>
      </c>
      <c r="P64" s="70" t="str">
        <f aca="false">IF($J64=0,"",IF($N64&gt;2,"Monotonia alta",IF($N64&gt;=1.5,"Atenção","Adequada")))</f>
        <v/>
      </c>
    </row>
    <row r="65" customFormat="false" ht="15" hidden="false" customHeight="false" outlineLevel="0" collapsed="false">
      <c r="A65" s="74" t="n">
        <v>46</v>
      </c>
      <c r="B65" s="90" t="n">
        <f aca="false">IF(Macrociclo!$C$11="","",Macrociclo!$C$11+($A65-1)*7)</f>
        <v>46342</v>
      </c>
      <c r="C65" s="91" t="n">
        <f aca="false">IF($B65="",0,SUMIFS('Carga (PSE)'!$G$8:$G$1007,'Carga (PSE)'!$C$8:$C$1007,$C$4,'Carga (PSE)'!$A$8:$A$1007,$B65+0))</f>
        <v>0</v>
      </c>
      <c r="D65" s="91" t="n">
        <f aca="false">IF($B65="",0,SUMIFS('Carga (PSE)'!$G$8:$G$1007,'Carga (PSE)'!$C$8:$C$1007,$C$4,'Carga (PSE)'!$A$8:$A$1007,$B65+1))</f>
        <v>0</v>
      </c>
      <c r="E65" s="91" t="n">
        <f aca="false">IF($B65="",0,SUMIFS('Carga (PSE)'!$G$8:$G$1007,'Carga (PSE)'!$C$8:$C$1007,$C$4,'Carga (PSE)'!$A$8:$A$1007,$B65+2))</f>
        <v>0</v>
      </c>
      <c r="F65" s="91" t="n">
        <f aca="false">IF($B65="",0,SUMIFS('Carga (PSE)'!$G$8:$G$1007,'Carga (PSE)'!$C$8:$C$1007,$C$4,'Carga (PSE)'!$A$8:$A$1007,$B65+3))</f>
        <v>0</v>
      </c>
      <c r="G65" s="91" t="n">
        <f aca="false">IF($B65="",0,SUMIFS('Carga (PSE)'!$G$8:$G$1007,'Carga (PSE)'!$C$8:$C$1007,$C$4,'Carga (PSE)'!$A$8:$A$1007,$B65+4))</f>
        <v>0</v>
      </c>
      <c r="H65" s="91" t="n">
        <f aca="false">IF($B65="",0,SUMIFS('Carga (PSE)'!$G$8:$G$1007,'Carga (PSE)'!$C$8:$C$1007,$C$4,'Carga (PSE)'!$A$8:$A$1007,$B65+5))</f>
        <v>0</v>
      </c>
      <c r="I65" s="91" t="n">
        <f aca="false">IF($B65="",0,SUMIFS('Carga (PSE)'!$G$8:$G$1007,'Carga (PSE)'!$C$8:$C$1007,$C$4,'Carga (PSE)'!$A$8:$A$1007,$B65+6))</f>
        <v>0</v>
      </c>
      <c r="J65" s="92" t="n">
        <f aca="false">SUM($C65:$I65)</f>
        <v>0</v>
      </c>
      <c r="K65" s="91" t="n">
        <f aca="false">COUNTIFS('Carga (PSE)'!$C$8:$C$1007,$C$4,'Carga (PSE)'!$B$8:$B$1007,$A65)</f>
        <v>0</v>
      </c>
      <c r="L65" s="93" t="n">
        <f aca="false">IF($J65=0,0,$J65/7)</f>
        <v>0</v>
      </c>
      <c r="M65" s="93" t="n">
        <f aca="false">IF($J65=0,0,STDEV($C65:$I65))</f>
        <v>0</v>
      </c>
      <c r="N65" s="94" t="n">
        <f aca="false">IF($M65=0,0,$L65/$M65)</f>
        <v>0</v>
      </c>
      <c r="O65" s="92" t="n">
        <f aca="false">$J65*$N65</f>
        <v>0</v>
      </c>
      <c r="P65" s="74" t="str">
        <f aca="false">IF($J65=0,"",IF($N65&gt;2,"Monotonia alta",IF($N65&gt;=1.5,"Atenção","Adequada")))</f>
        <v/>
      </c>
    </row>
    <row r="66" customFormat="false" ht="15" hidden="false" customHeight="false" outlineLevel="0" collapsed="false">
      <c r="A66" s="70" t="n">
        <v>47</v>
      </c>
      <c r="B66" s="87" t="n">
        <f aca="false">IF(Macrociclo!$C$11="","",Macrociclo!$C$11+($A66-1)*7)</f>
        <v>46349</v>
      </c>
      <c r="C66" s="88" t="n">
        <f aca="false">IF($B66="",0,SUMIFS('Carga (PSE)'!$G$8:$G$1007,'Carga (PSE)'!$C$8:$C$1007,$C$4,'Carga (PSE)'!$A$8:$A$1007,$B66+0))</f>
        <v>0</v>
      </c>
      <c r="D66" s="88" t="n">
        <f aca="false">IF($B66="",0,SUMIFS('Carga (PSE)'!$G$8:$G$1007,'Carga (PSE)'!$C$8:$C$1007,$C$4,'Carga (PSE)'!$A$8:$A$1007,$B66+1))</f>
        <v>0</v>
      </c>
      <c r="E66" s="88" t="n">
        <f aca="false">IF($B66="",0,SUMIFS('Carga (PSE)'!$G$8:$G$1007,'Carga (PSE)'!$C$8:$C$1007,$C$4,'Carga (PSE)'!$A$8:$A$1007,$B66+2))</f>
        <v>0</v>
      </c>
      <c r="F66" s="88" t="n">
        <f aca="false">IF($B66="",0,SUMIFS('Carga (PSE)'!$G$8:$G$1007,'Carga (PSE)'!$C$8:$C$1007,$C$4,'Carga (PSE)'!$A$8:$A$1007,$B66+3))</f>
        <v>0</v>
      </c>
      <c r="G66" s="88" t="n">
        <f aca="false">IF($B66="",0,SUMIFS('Carga (PSE)'!$G$8:$G$1007,'Carga (PSE)'!$C$8:$C$1007,$C$4,'Carga (PSE)'!$A$8:$A$1007,$B66+4))</f>
        <v>0</v>
      </c>
      <c r="H66" s="88" t="n">
        <f aca="false">IF($B66="",0,SUMIFS('Carga (PSE)'!$G$8:$G$1007,'Carga (PSE)'!$C$8:$C$1007,$C$4,'Carga (PSE)'!$A$8:$A$1007,$B66+5))</f>
        <v>0</v>
      </c>
      <c r="I66" s="88" t="n">
        <f aca="false">IF($B66="",0,SUMIFS('Carga (PSE)'!$G$8:$G$1007,'Carga (PSE)'!$C$8:$C$1007,$C$4,'Carga (PSE)'!$A$8:$A$1007,$B66+6))</f>
        <v>0</v>
      </c>
      <c r="J66" s="48" t="n">
        <f aca="false">SUM($C66:$I66)</f>
        <v>0</v>
      </c>
      <c r="K66" s="88" t="n">
        <f aca="false">COUNTIFS('Carga (PSE)'!$C$8:$C$1007,$C$4,'Carga (PSE)'!$B$8:$B$1007,$A66)</f>
        <v>0</v>
      </c>
      <c r="L66" s="89" t="n">
        <f aca="false">IF($J66=0,0,$J66/7)</f>
        <v>0</v>
      </c>
      <c r="M66" s="89" t="n">
        <f aca="false">IF($J66=0,0,STDEV($C66:$I66))</f>
        <v>0</v>
      </c>
      <c r="N66" s="67" t="n">
        <f aca="false">IF($M66=0,0,$L66/$M66)</f>
        <v>0</v>
      </c>
      <c r="O66" s="48" t="n">
        <f aca="false">$J66*$N66</f>
        <v>0</v>
      </c>
      <c r="P66" s="70" t="str">
        <f aca="false">IF($J66=0,"",IF($N66&gt;2,"Monotonia alta",IF($N66&gt;=1.5,"Atenção","Adequada")))</f>
        <v/>
      </c>
    </row>
    <row r="67" customFormat="false" ht="15" hidden="false" customHeight="false" outlineLevel="0" collapsed="false">
      <c r="A67" s="74" t="n">
        <v>48</v>
      </c>
      <c r="B67" s="90" t="n">
        <f aca="false">IF(Macrociclo!$C$11="","",Macrociclo!$C$11+($A67-1)*7)</f>
        <v>46356</v>
      </c>
      <c r="C67" s="91" t="n">
        <f aca="false">IF($B67="",0,SUMIFS('Carga (PSE)'!$G$8:$G$1007,'Carga (PSE)'!$C$8:$C$1007,$C$4,'Carga (PSE)'!$A$8:$A$1007,$B67+0))</f>
        <v>0</v>
      </c>
      <c r="D67" s="91" t="n">
        <f aca="false">IF($B67="",0,SUMIFS('Carga (PSE)'!$G$8:$G$1007,'Carga (PSE)'!$C$8:$C$1007,$C$4,'Carga (PSE)'!$A$8:$A$1007,$B67+1))</f>
        <v>0</v>
      </c>
      <c r="E67" s="91" t="n">
        <f aca="false">IF($B67="",0,SUMIFS('Carga (PSE)'!$G$8:$G$1007,'Carga (PSE)'!$C$8:$C$1007,$C$4,'Carga (PSE)'!$A$8:$A$1007,$B67+2))</f>
        <v>0</v>
      </c>
      <c r="F67" s="91" t="n">
        <f aca="false">IF($B67="",0,SUMIFS('Carga (PSE)'!$G$8:$G$1007,'Carga (PSE)'!$C$8:$C$1007,$C$4,'Carga (PSE)'!$A$8:$A$1007,$B67+3))</f>
        <v>0</v>
      </c>
      <c r="G67" s="91" t="n">
        <f aca="false">IF($B67="",0,SUMIFS('Carga (PSE)'!$G$8:$G$1007,'Carga (PSE)'!$C$8:$C$1007,$C$4,'Carga (PSE)'!$A$8:$A$1007,$B67+4))</f>
        <v>0</v>
      </c>
      <c r="H67" s="91" t="n">
        <f aca="false">IF($B67="",0,SUMIFS('Carga (PSE)'!$G$8:$G$1007,'Carga (PSE)'!$C$8:$C$1007,$C$4,'Carga (PSE)'!$A$8:$A$1007,$B67+5))</f>
        <v>0</v>
      </c>
      <c r="I67" s="91" t="n">
        <f aca="false">IF($B67="",0,SUMIFS('Carga (PSE)'!$G$8:$G$1007,'Carga (PSE)'!$C$8:$C$1007,$C$4,'Carga (PSE)'!$A$8:$A$1007,$B67+6))</f>
        <v>0</v>
      </c>
      <c r="J67" s="92" t="n">
        <f aca="false">SUM($C67:$I67)</f>
        <v>0</v>
      </c>
      <c r="K67" s="91" t="n">
        <f aca="false">COUNTIFS('Carga (PSE)'!$C$8:$C$1007,$C$4,'Carga (PSE)'!$B$8:$B$1007,$A67)</f>
        <v>0</v>
      </c>
      <c r="L67" s="93" t="n">
        <f aca="false">IF($J67=0,0,$J67/7)</f>
        <v>0</v>
      </c>
      <c r="M67" s="93" t="n">
        <f aca="false">IF($J67=0,0,STDEV($C67:$I67))</f>
        <v>0</v>
      </c>
      <c r="N67" s="94" t="n">
        <f aca="false">IF($M67=0,0,$L67/$M67)</f>
        <v>0</v>
      </c>
      <c r="O67" s="92" t="n">
        <f aca="false">$J67*$N67</f>
        <v>0</v>
      </c>
      <c r="P67" s="74" t="str">
        <f aca="false">IF($J67=0,"",IF($N67&gt;2,"Monotonia alta",IF($N67&gt;=1.5,"Atenção","Adequada")))</f>
        <v/>
      </c>
    </row>
    <row r="70" customFormat="false" ht="19.5" hidden="false" customHeight="true" outlineLevel="0" collapsed="false">
      <c r="A70" s="3" t="s">
        <v>460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31.5" hidden="false" customHeight="true" outlineLevel="0" collapsed="false">
      <c r="A71" s="18" t="s">
        <v>339</v>
      </c>
      <c r="B71" s="18" t="s">
        <v>371</v>
      </c>
      <c r="C71" s="18" t="s">
        <v>373</v>
      </c>
      <c r="D71" s="18" t="s">
        <v>82</v>
      </c>
      <c r="E71" s="18" t="s">
        <v>84</v>
      </c>
      <c r="F71" s="18" t="s">
        <v>374</v>
      </c>
      <c r="G71" s="18" t="s">
        <v>461</v>
      </c>
      <c r="H71" s="18" t="s">
        <v>376</v>
      </c>
      <c r="I71" s="18" t="s">
        <v>377</v>
      </c>
      <c r="J71" s="18" t="s">
        <v>343</v>
      </c>
      <c r="K71" s="18" t="s">
        <v>378</v>
      </c>
      <c r="L71" s="18" t="s">
        <v>381</v>
      </c>
      <c r="M71" s="18" t="s">
        <v>78</v>
      </c>
    </row>
    <row r="72" customFormat="false" ht="15" hidden="false" customHeight="false" outlineLevel="0" collapsed="false">
      <c r="A72" s="95" t="str">
        <f aca="false">IFERROR(INDEX(Prescrição!$A$8:$A$507,MATCH(1,Prescrição!$U$8:$U$507,0)),"")</f>
        <v/>
      </c>
      <c r="B72" s="70" t="str">
        <f aca="false">IFERROR(INDEX(Prescrição!$C$8:$C$507,MATCH(1,Prescrição!$U$8:$U$507,0)),"")</f>
        <v/>
      </c>
      <c r="C72" s="70" t="str">
        <f aca="false">IFERROR(INDEX(Prescrição!$F$8:$F$507,MATCH(1,Prescrição!$U$8:$U$507,0)),"")</f>
        <v/>
      </c>
      <c r="D72" s="96" t="str">
        <f aca="false">IFERROR(INDEX(Prescrição!$G$8:$G$507,MATCH(1,Prescrição!$U$8:$U$507,0)),"")</f>
        <v/>
      </c>
      <c r="E72" s="97" t="str">
        <f aca="false">IFERROR(INDEX(Prescrição!$J$8:$J$507,MATCH(1,Prescrição!$U$8:$U$507,0)),"")</f>
        <v/>
      </c>
      <c r="F72" s="70" t="str">
        <f aca="false">IFERROR(INDEX(Prescrição!$K$8:$K$507,MATCH(1,Prescrição!$U$8:$U$507,0)),"")</f>
        <v/>
      </c>
      <c r="G72" s="70" t="str">
        <f aca="false">IFERROR(INDEX(Prescrição!$L$8:$L$507,MATCH(1,Prescrição!$U$8:$U$507,0)),"")</f>
        <v/>
      </c>
      <c r="H72" s="97" t="str">
        <f aca="false">IFERROR(INDEX(Prescrição!$M$8:$M$507,MATCH(1,Prescrição!$U$8:$U$507,0)),"")</f>
        <v/>
      </c>
      <c r="I72" s="70" t="str">
        <f aca="false">IFERROR(INDEX(Prescrição!$N$8:$N$507,MATCH(1,Prescrição!$U$8:$U$507,0)),"")</f>
        <v/>
      </c>
      <c r="J72" s="70" t="str">
        <f aca="false">IFERROR(INDEX(Prescrição!$O$8:$O$507,MATCH(1,Prescrição!$U$8:$U$507,0)),"")</f>
        <v/>
      </c>
      <c r="K72" s="70" t="str">
        <f aca="false">IFERROR(INDEX(Prescrição!$P$8:$P$507,MATCH(1,Prescrição!$U$8:$U$507,0)),"")</f>
        <v/>
      </c>
      <c r="L72" s="97" t="str">
        <f aca="false">IFERROR(INDEX(Prescrição!$S$8:$S$507,MATCH(1,Prescrição!$U$8:$U$507,0)),"")</f>
        <v/>
      </c>
      <c r="M72" s="97" t="str">
        <f aca="false">IFERROR(INDEX(Prescrição!$T$8:$T$507,MATCH(1,Prescrição!$U$8:$U$507,0)),"")</f>
        <v/>
      </c>
    </row>
    <row r="73" customFormat="false" ht="15" hidden="false" customHeight="false" outlineLevel="0" collapsed="false">
      <c r="A73" s="98" t="str">
        <f aca="false">IFERROR(INDEX(Prescrição!$A$8:$A$507,MATCH(2,Prescrição!$U$8:$U$507,0)),"")</f>
        <v/>
      </c>
      <c r="B73" s="74" t="str">
        <f aca="false">IFERROR(INDEX(Prescrição!$C$8:$C$507,MATCH(2,Prescrição!$U$8:$U$507,0)),"")</f>
        <v/>
      </c>
      <c r="C73" s="74" t="str">
        <f aca="false">IFERROR(INDEX(Prescrição!$F$8:$F$507,MATCH(2,Prescrição!$U$8:$U$507,0)),"")</f>
        <v/>
      </c>
      <c r="D73" s="99" t="str">
        <f aca="false">IFERROR(INDEX(Prescrição!$G$8:$G$507,MATCH(2,Prescrição!$U$8:$U$507,0)),"")</f>
        <v/>
      </c>
      <c r="E73" s="100" t="str">
        <f aca="false">IFERROR(INDEX(Prescrição!$J$8:$J$507,MATCH(2,Prescrição!$U$8:$U$507,0)),"")</f>
        <v/>
      </c>
      <c r="F73" s="74" t="str">
        <f aca="false">IFERROR(INDEX(Prescrição!$K$8:$K$507,MATCH(2,Prescrição!$U$8:$U$507,0)),"")</f>
        <v/>
      </c>
      <c r="G73" s="74" t="str">
        <f aca="false">IFERROR(INDEX(Prescrição!$L$8:$L$507,MATCH(2,Prescrição!$U$8:$U$507,0)),"")</f>
        <v/>
      </c>
      <c r="H73" s="100" t="str">
        <f aca="false">IFERROR(INDEX(Prescrição!$M$8:$M$507,MATCH(2,Prescrição!$U$8:$U$507,0)),"")</f>
        <v/>
      </c>
      <c r="I73" s="74" t="str">
        <f aca="false">IFERROR(INDEX(Prescrição!$N$8:$N$507,MATCH(2,Prescrição!$U$8:$U$507,0)),"")</f>
        <v/>
      </c>
      <c r="J73" s="74" t="str">
        <f aca="false">IFERROR(INDEX(Prescrição!$O$8:$O$507,MATCH(2,Prescrição!$U$8:$U$507,0)),"")</f>
        <v/>
      </c>
      <c r="K73" s="74" t="str">
        <f aca="false">IFERROR(INDEX(Prescrição!$P$8:$P$507,MATCH(2,Prescrição!$U$8:$U$507,0)),"")</f>
        <v/>
      </c>
      <c r="L73" s="100" t="str">
        <f aca="false">IFERROR(INDEX(Prescrição!$S$8:$S$507,MATCH(2,Prescrição!$U$8:$U$507,0)),"")</f>
        <v/>
      </c>
      <c r="M73" s="100" t="str">
        <f aca="false">IFERROR(INDEX(Prescrição!$T$8:$T$507,MATCH(2,Prescrição!$U$8:$U$507,0)),"")</f>
        <v/>
      </c>
    </row>
    <row r="74" customFormat="false" ht="15" hidden="false" customHeight="false" outlineLevel="0" collapsed="false">
      <c r="A74" s="95" t="str">
        <f aca="false">IFERROR(INDEX(Prescrição!$A$8:$A$507,MATCH(3,Prescrição!$U$8:$U$507,0)),"")</f>
        <v/>
      </c>
      <c r="B74" s="70" t="str">
        <f aca="false">IFERROR(INDEX(Prescrição!$C$8:$C$507,MATCH(3,Prescrição!$U$8:$U$507,0)),"")</f>
        <v/>
      </c>
      <c r="C74" s="70" t="str">
        <f aca="false">IFERROR(INDEX(Prescrição!$F$8:$F$507,MATCH(3,Prescrição!$U$8:$U$507,0)),"")</f>
        <v/>
      </c>
      <c r="D74" s="96" t="str">
        <f aca="false">IFERROR(INDEX(Prescrição!$G$8:$G$507,MATCH(3,Prescrição!$U$8:$U$507,0)),"")</f>
        <v/>
      </c>
      <c r="E74" s="97" t="str">
        <f aca="false">IFERROR(INDEX(Prescrição!$J$8:$J$507,MATCH(3,Prescrição!$U$8:$U$507,0)),"")</f>
        <v/>
      </c>
      <c r="F74" s="70" t="str">
        <f aca="false">IFERROR(INDEX(Prescrição!$K$8:$K$507,MATCH(3,Prescrição!$U$8:$U$507,0)),"")</f>
        <v/>
      </c>
      <c r="G74" s="70" t="str">
        <f aca="false">IFERROR(INDEX(Prescrição!$L$8:$L$507,MATCH(3,Prescrição!$U$8:$U$507,0)),"")</f>
        <v/>
      </c>
      <c r="H74" s="97" t="str">
        <f aca="false">IFERROR(INDEX(Prescrição!$M$8:$M$507,MATCH(3,Prescrição!$U$8:$U$507,0)),"")</f>
        <v/>
      </c>
      <c r="I74" s="70" t="str">
        <f aca="false">IFERROR(INDEX(Prescrição!$N$8:$N$507,MATCH(3,Prescrição!$U$8:$U$507,0)),"")</f>
        <v/>
      </c>
      <c r="J74" s="70" t="str">
        <f aca="false">IFERROR(INDEX(Prescrição!$O$8:$O$507,MATCH(3,Prescrição!$U$8:$U$507,0)),"")</f>
        <v/>
      </c>
      <c r="K74" s="70" t="str">
        <f aca="false">IFERROR(INDEX(Prescrição!$P$8:$P$507,MATCH(3,Prescrição!$U$8:$U$507,0)),"")</f>
        <v/>
      </c>
      <c r="L74" s="97" t="str">
        <f aca="false">IFERROR(INDEX(Prescrição!$S$8:$S$507,MATCH(3,Prescrição!$U$8:$U$507,0)),"")</f>
        <v/>
      </c>
      <c r="M74" s="97" t="str">
        <f aca="false">IFERROR(INDEX(Prescrição!$T$8:$T$507,MATCH(3,Prescrição!$U$8:$U$507,0)),"")</f>
        <v/>
      </c>
    </row>
    <row r="75" customFormat="false" ht="15" hidden="false" customHeight="false" outlineLevel="0" collapsed="false">
      <c r="A75" s="98" t="str">
        <f aca="false">IFERROR(INDEX(Prescrição!$A$8:$A$507,MATCH(4,Prescrição!$U$8:$U$507,0)),"")</f>
        <v/>
      </c>
      <c r="B75" s="74" t="str">
        <f aca="false">IFERROR(INDEX(Prescrição!$C$8:$C$507,MATCH(4,Prescrição!$U$8:$U$507,0)),"")</f>
        <v/>
      </c>
      <c r="C75" s="74" t="str">
        <f aca="false">IFERROR(INDEX(Prescrição!$F$8:$F$507,MATCH(4,Prescrição!$U$8:$U$507,0)),"")</f>
        <v/>
      </c>
      <c r="D75" s="99" t="str">
        <f aca="false">IFERROR(INDEX(Prescrição!$G$8:$G$507,MATCH(4,Prescrição!$U$8:$U$507,0)),"")</f>
        <v/>
      </c>
      <c r="E75" s="100" t="str">
        <f aca="false">IFERROR(INDEX(Prescrição!$J$8:$J$507,MATCH(4,Prescrição!$U$8:$U$507,0)),"")</f>
        <v/>
      </c>
      <c r="F75" s="74" t="str">
        <f aca="false">IFERROR(INDEX(Prescrição!$K$8:$K$507,MATCH(4,Prescrição!$U$8:$U$507,0)),"")</f>
        <v/>
      </c>
      <c r="G75" s="74" t="str">
        <f aca="false">IFERROR(INDEX(Prescrição!$L$8:$L$507,MATCH(4,Prescrição!$U$8:$U$507,0)),"")</f>
        <v/>
      </c>
      <c r="H75" s="100" t="str">
        <f aca="false">IFERROR(INDEX(Prescrição!$M$8:$M$507,MATCH(4,Prescrição!$U$8:$U$507,0)),"")</f>
        <v/>
      </c>
      <c r="I75" s="74" t="str">
        <f aca="false">IFERROR(INDEX(Prescrição!$N$8:$N$507,MATCH(4,Prescrição!$U$8:$U$507,0)),"")</f>
        <v/>
      </c>
      <c r="J75" s="74" t="str">
        <f aca="false">IFERROR(INDEX(Prescrição!$O$8:$O$507,MATCH(4,Prescrição!$U$8:$U$507,0)),"")</f>
        <v/>
      </c>
      <c r="K75" s="74" t="str">
        <f aca="false">IFERROR(INDEX(Prescrição!$P$8:$P$507,MATCH(4,Prescrição!$U$8:$U$507,0)),"")</f>
        <v/>
      </c>
      <c r="L75" s="100" t="str">
        <f aca="false">IFERROR(INDEX(Prescrição!$S$8:$S$507,MATCH(4,Prescrição!$U$8:$U$507,0)),"")</f>
        <v/>
      </c>
      <c r="M75" s="100" t="str">
        <f aca="false">IFERROR(INDEX(Prescrição!$T$8:$T$507,MATCH(4,Prescrição!$U$8:$U$507,0)),"")</f>
        <v/>
      </c>
    </row>
    <row r="76" customFormat="false" ht="15" hidden="false" customHeight="false" outlineLevel="0" collapsed="false">
      <c r="A76" s="95" t="str">
        <f aca="false">IFERROR(INDEX(Prescrição!$A$8:$A$507,MATCH(5,Prescrição!$U$8:$U$507,0)),"")</f>
        <v/>
      </c>
      <c r="B76" s="70" t="str">
        <f aca="false">IFERROR(INDEX(Prescrição!$C$8:$C$507,MATCH(5,Prescrição!$U$8:$U$507,0)),"")</f>
        <v/>
      </c>
      <c r="C76" s="70" t="str">
        <f aca="false">IFERROR(INDEX(Prescrição!$F$8:$F$507,MATCH(5,Prescrição!$U$8:$U$507,0)),"")</f>
        <v/>
      </c>
      <c r="D76" s="96" t="str">
        <f aca="false">IFERROR(INDEX(Prescrição!$G$8:$G$507,MATCH(5,Prescrição!$U$8:$U$507,0)),"")</f>
        <v/>
      </c>
      <c r="E76" s="97" t="str">
        <f aca="false">IFERROR(INDEX(Prescrição!$J$8:$J$507,MATCH(5,Prescrição!$U$8:$U$507,0)),"")</f>
        <v/>
      </c>
      <c r="F76" s="70" t="str">
        <f aca="false">IFERROR(INDEX(Prescrição!$K$8:$K$507,MATCH(5,Prescrição!$U$8:$U$507,0)),"")</f>
        <v/>
      </c>
      <c r="G76" s="70" t="str">
        <f aca="false">IFERROR(INDEX(Prescrição!$L$8:$L$507,MATCH(5,Prescrição!$U$8:$U$507,0)),"")</f>
        <v/>
      </c>
      <c r="H76" s="97" t="str">
        <f aca="false">IFERROR(INDEX(Prescrição!$M$8:$M$507,MATCH(5,Prescrição!$U$8:$U$507,0)),"")</f>
        <v/>
      </c>
      <c r="I76" s="70" t="str">
        <f aca="false">IFERROR(INDEX(Prescrição!$N$8:$N$507,MATCH(5,Prescrição!$U$8:$U$507,0)),"")</f>
        <v/>
      </c>
      <c r="J76" s="70" t="str">
        <f aca="false">IFERROR(INDEX(Prescrição!$O$8:$O$507,MATCH(5,Prescrição!$U$8:$U$507,0)),"")</f>
        <v/>
      </c>
      <c r="K76" s="70" t="str">
        <f aca="false">IFERROR(INDEX(Prescrição!$P$8:$P$507,MATCH(5,Prescrição!$U$8:$U$507,0)),"")</f>
        <v/>
      </c>
      <c r="L76" s="97" t="str">
        <f aca="false">IFERROR(INDEX(Prescrição!$S$8:$S$507,MATCH(5,Prescrição!$U$8:$U$507,0)),"")</f>
        <v/>
      </c>
      <c r="M76" s="97" t="str">
        <f aca="false">IFERROR(INDEX(Prescrição!$T$8:$T$507,MATCH(5,Prescrição!$U$8:$U$507,0)),"")</f>
        <v/>
      </c>
    </row>
    <row r="77" customFormat="false" ht="15" hidden="false" customHeight="false" outlineLevel="0" collapsed="false">
      <c r="A77" s="98" t="str">
        <f aca="false">IFERROR(INDEX(Prescrição!$A$8:$A$507,MATCH(6,Prescrição!$U$8:$U$507,0)),"")</f>
        <v/>
      </c>
      <c r="B77" s="74" t="str">
        <f aca="false">IFERROR(INDEX(Prescrição!$C$8:$C$507,MATCH(6,Prescrição!$U$8:$U$507,0)),"")</f>
        <v/>
      </c>
      <c r="C77" s="74" t="str">
        <f aca="false">IFERROR(INDEX(Prescrição!$F$8:$F$507,MATCH(6,Prescrição!$U$8:$U$507,0)),"")</f>
        <v/>
      </c>
      <c r="D77" s="99" t="str">
        <f aca="false">IFERROR(INDEX(Prescrição!$G$8:$G$507,MATCH(6,Prescrição!$U$8:$U$507,0)),"")</f>
        <v/>
      </c>
      <c r="E77" s="100" t="str">
        <f aca="false">IFERROR(INDEX(Prescrição!$J$8:$J$507,MATCH(6,Prescrição!$U$8:$U$507,0)),"")</f>
        <v/>
      </c>
      <c r="F77" s="74" t="str">
        <f aca="false">IFERROR(INDEX(Prescrição!$K$8:$K$507,MATCH(6,Prescrição!$U$8:$U$507,0)),"")</f>
        <v/>
      </c>
      <c r="G77" s="74" t="str">
        <f aca="false">IFERROR(INDEX(Prescrição!$L$8:$L$507,MATCH(6,Prescrição!$U$8:$U$507,0)),"")</f>
        <v/>
      </c>
      <c r="H77" s="100" t="str">
        <f aca="false">IFERROR(INDEX(Prescrição!$M$8:$M$507,MATCH(6,Prescrição!$U$8:$U$507,0)),"")</f>
        <v/>
      </c>
      <c r="I77" s="74" t="str">
        <f aca="false">IFERROR(INDEX(Prescrição!$N$8:$N$507,MATCH(6,Prescrição!$U$8:$U$507,0)),"")</f>
        <v/>
      </c>
      <c r="J77" s="74" t="str">
        <f aca="false">IFERROR(INDEX(Prescrição!$O$8:$O$507,MATCH(6,Prescrição!$U$8:$U$507,0)),"")</f>
        <v/>
      </c>
      <c r="K77" s="74" t="str">
        <f aca="false">IFERROR(INDEX(Prescrição!$P$8:$P$507,MATCH(6,Prescrição!$U$8:$U$507,0)),"")</f>
        <v/>
      </c>
      <c r="L77" s="100" t="str">
        <f aca="false">IFERROR(INDEX(Prescrição!$S$8:$S$507,MATCH(6,Prescrição!$U$8:$U$507,0)),"")</f>
        <v/>
      </c>
      <c r="M77" s="100" t="str">
        <f aca="false">IFERROR(INDEX(Prescrição!$T$8:$T$507,MATCH(6,Prescrição!$U$8:$U$507,0)),"")</f>
        <v/>
      </c>
    </row>
    <row r="78" customFormat="false" ht="15" hidden="false" customHeight="false" outlineLevel="0" collapsed="false">
      <c r="A78" s="95" t="str">
        <f aca="false">IFERROR(INDEX(Prescrição!$A$8:$A$507,MATCH(7,Prescrição!$U$8:$U$507,0)),"")</f>
        <v/>
      </c>
      <c r="B78" s="70" t="str">
        <f aca="false">IFERROR(INDEX(Prescrição!$C$8:$C$507,MATCH(7,Prescrição!$U$8:$U$507,0)),"")</f>
        <v/>
      </c>
      <c r="C78" s="70" t="str">
        <f aca="false">IFERROR(INDEX(Prescrição!$F$8:$F$507,MATCH(7,Prescrição!$U$8:$U$507,0)),"")</f>
        <v/>
      </c>
      <c r="D78" s="96" t="str">
        <f aca="false">IFERROR(INDEX(Prescrição!$G$8:$G$507,MATCH(7,Prescrição!$U$8:$U$507,0)),"")</f>
        <v/>
      </c>
      <c r="E78" s="97" t="str">
        <f aca="false">IFERROR(INDEX(Prescrição!$J$8:$J$507,MATCH(7,Prescrição!$U$8:$U$507,0)),"")</f>
        <v/>
      </c>
      <c r="F78" s="70" t="str">
        <f aca="false">IFERROR(INDEX(Prescrição!$K$8:$K$507,MATCH(7,Prescrição!$U$8:$U$507,0)),"")</f>
        <v/>
      </c>
      <c r="G78" s="70" t="str">
        <f aca="false">IFERROR(INDEX(Prescrição!$L$8:$L$507,MATCH(7,Prescrição!$U$8:$U$507,0)),"")</f>
        <v/>
      </c>
      <c r="H78" s="97" t="str">
        <f aca="false">IFERROR(INDEX(Prescrição!$M$8:$M$507,MATCH(7,Prescrição!$U$8:$U$507,0)),"")</f>
        <v/>
      </c>
      <c r="I78" s="70" t="str">
        <f aca="false">IFERROR(INDEX(Prescrição!$N$8:$N$507,MATCH(7,Prescrição!$U$8:$U$507,0)),"")</f>
        <v/>
      </c>
      <c r="J78" s="70" t="str">
        <f aca="false">IFERROR(INDEX(Prescrição!$O$8:$O$507,MATCH(7,Prescrição!$U$8:$U$507,0)),"")</f>
        <v/>
      </c>
      <c r="K78" s="70" t="str">
        <f aca="false">IFERROR(INDEX(Prescrição!$P$8:$P$507,MATCH(7,Prescrição!$U$8:$U$507,0)),"")</f>
        <v/>
      </c>
      <c r="L78" s="97" t="str">
        <f aca="false">IFERROR(INDEX(Prescrição!$S$8:$S$507,MATCH(7,Prescrição!$U$8:$U$507,0)),"")</f>
        <v/>
      </c>
      <c r="M78" s="97" t="str">
        <f aca="false">IFERROR(INDEX(Prescrição!$T$8:$T$507,MATCH(7,Prescrição!$U$8:$U$507,0)),"")</f>
        <v/>
      </c>
    </row>
    <row r="79" customFormat="false" ht="15" hidden="false" customHeight="false" outlineLevel="0" collapsed="false">
      <c r="A79" s="98" t="str">
        <f aca="false">IFERROR(INDEX(Prescrição!$A$8:$A$507,MATCH(8,Prescrição!$U$8:$U$507,0)),"")</f>
        <v/>
      </c>
      <c r="B79" s="74" t="str">
        <f aca="false">IFERROR(INDEX(Prescrição!$C$8:$C$507,MATCH(8,Prescrição!$U$8:$U$507,0)),"")</f>
        <v/>
      </c>
      <c r="C79" s="74" t="str">
        <f aca="false">IFERROR(INDEX(Prescrição!$F$8:$F$507,MATCH(8,Prescrição!$U$8:$U$507,0)),"")</f>
        <v/>
      </c>
      <c r="D79" s="99" t="str">
        <f aca="false">IFERROR(INDEX(Prescrição!$G$8:$G$507,MATCH(8,Prescrição!$U$8:$U$507,0)),"")</f>
        <v/>
      </c>
      <c r="E79" s="100" t="str">
        <f aca="false">IFERROR(INDEX(Prescrição!$J$8:$J$507,MATCH(8,Prescrição!$U$8:$U$507,0)),"")</f>
        <v/>
      </c>
      <c r="F79" s="74" t="str">
        <f aca="false">IFERROR(INDEX(Prescrição!$K$8:$K$507,MATCH(8,Prescrição!$U$8:$U$507,0)),"")</f>
        <v/>
      </c>
      <c r="G79" s="74" t="str">
        <f aca="false">IFERROR(INDEX(Prescrição!$L$8:$L$507,MATCH(8,Prescrição!$U$8:$U$507,0)),"")</f>
        <v/>
      </c>
      <c r="H79" s="100" t="str">
        <f aca="false">IFERROR(INDEX(Prescrição!$M$8:$M$507,MATCH(8,Prescrição!$U$8:$U$507,0)),"")</f>
        <v/>
      </c>
      <c r="I79" s="74" t="str">
        <f aca="false">IFERROR(INDEX(Prescrição!$N$8:$N$507,MATCH(8,Prescrição!$U$8:$U$507,0)),"")</f>
        <v/>
      </c>
      <c r="J79" s="74" t="str">
        <f aca="false">IFERROR(INDEX(Prescrição!$O$8:$O$507,MATCH(8,Prescrição!$U$8:$U$507,0)),"")</f>
        <v/>
      </c>
      <c r="K79" s="74" t="str">
        <f aca="false">IFERROR(INDEX(Prescrição!$P$8:$P$507,MATCH(8,Prescrição!$U$8:$U$507,0)),"")</f>
        <v/>
      </c>
      <c r="L79" s="100" t="str">
        <f aca="false">IFERROR(INDEX(Prescrição!$S$8:$S$507,MATCH(8,Prescrição!$U$8:$U$507,0)),"")</f>
        <v/>
      </c>
      <c r="M79" s="100" t="str">
        <f aca="false">IFERROR(INDEX(Prescrição!$T$8:$T$507,MATCH(8,Prescrição!$U$8:$U$507,0)),"")</f>
        <v/>
      </c>
    </row>
    <row r="80" customFormat="false" ht="15" hidden="false" customHeight="false" outlineLevel="0" collapsed="false">
      <c r="A80" s="95" t="str">
        <f aca="false">IFERROR(INDEX(Prescrição!$A$8:$A$507,MATCH(9,Prescrição!$U$8:$U$507,0)),"")</f>
        <v/>
      </c>
      <c r="B80" s="70" t="str">
        <f aca="false">IFERROR(INDEX(Prescrição!$C$8:$C$507,MATCH(9,Prescrição!$U$8:$U$507,0)),"")</f>
        <v/>
      </c>
      <c r="C80" s="70" t="str">
        <f aca="false">IFERROR(INDEX(Prescrição!$F$8:$F$507,MATCH(9,Prescrição!$U$8:$U$507,0)),"")</f>
        <v/>
      </c>
      <c r="D80" s="96" t="str">
        <f aca="false">IFERROR(INDEX(Prescrição!$G$8:$G$507,MATCH(9,Prescrição!$U$8:$U$507,0)),"")</f>
        <v/>
      </c>
      <c r="E80" s="97" t="str">
        <f aca="false">IFERROR(INDEX(Prescrição!$J$8:$J$507,MATCH(9,Prescrição!$U$8:$U$507,0)),"")</f>
        <v/>
      </c>
      <c r="F80" s="70" t="str">
        <f aca="false">IFERROR(INDEX(Prescrição!$K$8:$K$507,MATCH(9,Prescrição!$U$8:$U$507,0)),"")</f>
        <v/>
      </c>
      <c r="G80" s="70" t="str">
        <f aca="false">IFERROR(INDEX(Prescrição!$L$8:$L$507,MATCH(9,Prescrição!$U$8:$U$507,0)),"")</f>
        <v/>
      </c>
      <c r="H80" s="97" t="str">
        <f aca="false">IFERROR(INDEX(Prescrição!$M$8:$M$507,MATCH(9,Prescrição!$U$8:$U$507,0)),"")</f>
        <v/>
      </c>
      <c r="I80" s="70" t="str">
        <f aca="false">IFERROR(INDEX(Prescrição!$N$8:$N$507,MATCH(9,Prescrição!$U$8:$U$507,0)),"")</f>
        <v/>
      </c>
      <c r="J80" s="70" t="str">
        <f aca="false">IFERROR(INDEX(Prescrição!$O$8:$O$507,MATCH(9,Prescrição!$U$8:$U$507,0)),"")</f>
        <v/>
      </c>
      <c r="K80" s="70" t="str">
        <f aca="false">IFERROR(INDEX(Prescrição!$P$8:$P$507,MATCH(9,Prescrição!$U$8:$U$507,0)),"")</f>
        <v/>
      </c>
      <c r="L80" s="97" t="str">
        <f aca="false">IFERROR(INDEX(Prescrição!$S$8:$S$507,MATCH(9,Prescrição!$U$8:$U$507,0)),"")</f>
        <v/>
      </c>
      <c r="M80" s="97" t="str">
        <f aca="false">IFERROR(INDEX(Prescrição!$T$8:$T$507,MATCH(9,Prescrição!$U$8:$U$507,0)),"")</f>
        <v/>
      </c>
    </row>
    <row r="81" customFormat="false" ht="15" hidden="false" customHeight="false" outlineLevel="0" collapsed="false">
      <c r="A81" s="98" t="str">
        <f aca="false">IFERROR(INDEX(Prescrição!$A$8:$A$507,MATCH(10,Prescrição!$U$8:$U$507,0)),"")</f>
        <v/>
      </c>
      <c r="B81" s="74" t="str">
        <f aca="false">IFERROR(INDEX(Prescrição!$C$8:$C$507,MATCH(10,Prescrição!$U$8:$U$507,0)),"")</f>
        <v/>
      </c>
      <c r="C81" s="74" t="str">
        <f aca="false">IFERROR(INDEX(Prescrição!$F$8:$F$507,MATCH(10,Prescrição!$U$8:$U$507,0)),"")</f>
        <v/>
      </c>
      <c r="D81" s="99" t="str">
        <f aca="false">IFERROR(INDEX(Prescrição!$G$8:$G$507,MATCH(10,Prescrição!$U$8:$U$507,0)),"")</f>
        <v/>
      </c>
      <c r="E81" s="100" t="str">
        <f aca="false">IFERROR(INDEX(Prescrição!$J$8:$J$507,MATCH(10,Prescrição!$U$8:$U$507,0)),"")</f>
        <v/>
      </c>
      <c r="F81" s="74" t="str">
        <f aca="false">IFERROR(INDEX(Prescrição!$K$8:$K$507,MATCH(10,Prescrição!$U$8:$U$507,0)),"")</f>
        <v/>
      </c>
      <c r="G81" s="74" t="str">
        <f aca="false">IFERROR(INDEX(Prescrição!$L$8:$L$507,MATCH(10,Prescrição!$U$8:$U$507,0)),"")</f>
        <v/>
      </c>
      <c r="H81" s="100" t="str">
        <f aca="false">IFERROR(INDEX(Prescrição!$M$8:$M$507,MATCH(10,Prescrição!$U$8:$U$507,0)),"")</f>
        <v/>
      </c>
      <c r="I81" s="74" t="str">
        <f aca="false">IFERROR(INDEX(Prescrição!$N$8:$N$507,MATCH(10,Prescrição!$U$8:$U$507,0)),"")</f>
        <v/>
      </c>
      <c r="J81" s="74" t="str">
        <f aca="false">IFERROR(INDEX(Prescrição!$O$8:$O$507,MATCH(10,Prescrição!$U$8:$U$507,0)),"")</f>
        <v/>
      </c>
      <c r="K81" s="74" t="str">
        <f aca="false">IFERROR(INDEX(Prescrição!$P$8:$P$507,MATCH(10,Prescrição!$U$8:$U$507,0)),"")</f>
        <v/>
      </c>
      <c r="L81" s="100" t="str">
        <f aca="false">IFERROR(INDEX(Prescrição!$S$8:$S$507,MATCH(10,Prescrição!$U$8:$U$507,0)),"")</f>
        <v/>
      </c>
      <c r="M81" s="100" t="str">
        <f aca="false">IFERROR(INDEX(Prescrição!$T$8:$T$507,MATCH(10,Prescrição!$U$8:$U$507,0)),"")</f>
        <v/>
      </c>
    </row>
    <row r="82" customFormat="false" ht="15" hidden="false" customHeight="false" outlineLevel="0" collapsed="false">
      <c r="A82" s="95" t="str">
        <f aca="false">IFERROR(INDEX(Prescrição!$A$8:$A$507,MATCH(11,Prescrição!$U$8:$U$507,0)),"")</f>
        <v/>
      </c>
      <c r="B82" s="70" t="str">
        <f aca="false">IFERROR(INDEX(Prescrição!$C$8:$C$507,MATCH(11,Prescrição!$U$8:$U$507,0)),"")</f>
        <v/>
      </c>
      <c r="C82" s="70" t="str">
        <f aca="false">IFERROR(INDEX(Prescrição!$F$8:$F$507,MATCH(11,Prescrição!$U$8:$U$507,0)),"")</f>
        <v/>
      </c>
      <c r="D82" s="96" t="str">
        <f aca="false">IFERROR(INDEX(Prescrição!$G$8:$G$507,MATCH(11,Prescrição!$U$8:$U$507,0)),"")</f>
        <v/>
      </c>
      <c r="E82" s="97" t="str">
        <f aca="false">IFERROR(INDEX(Prescrição!$J$8:$J$507,MATCH(11,Prescrição!$U$8:$U$507,0)),"")</f>
        <v/>
      </c>
      <c r="F82" s="70" t="str">
        <f aca="false">IFERROR(INDEX(Prescrição!$K$8:$K$507,MATCH(11,Prescrição!$U$8:$U$507,0)),"")</f>
        <v/>
      </c>
      <c r="G82" s="70" t="str">
        <f aca="false">IFERROR(INDEX(Prescrição!$L$8:$L$507,MATCH(11,Prescrição!$U$8:$U$507,0)),"")</f>
        <v/>
      </c>
      <c r="H82" s="97" t="str">
        <f aca="false">IFERROR(INDEX(Prescrição!$M$8:$M$507,MATCH(11,Prescrição!$U$8:$U$507,0)),"")</f>
        <v/>
      </c>
      <c r="I82" s="70" t="str">
        <f aca="false">IFERROR(INDEX(Prescrição!$N$8:$N$507,MATCH(11,Prescrição!$U$8:$U$507,0)),"")</f>
        <v/>
      </c>
      <c r="J82" s="70" t="str">
        <f aca="false">IFERROR(INDEX(Prescrição!$O$8:$O$507,MATCH(11,Prescrição!$U$8:$U$507,0)),"")</f>
        <v/>
      </c>
      <c r="K82" s="70" t="str">
        <f aca="false">IFERROR(INDEX(Prescrição!$P$8:$P$507,MATCH(11,Prescrição!$U$8:$U$507,0)),"")</f>
        <v/>
      </c>
      <c r="L82" s="97" t="str">
        <f aca="false">IFERROR(INDEX(Prescrição!$S$8:$S$507,MATCH(11,Prescrição!$U$8:$U$507,0)),"")</f>
        <v/>
      </c>
      <c r="M82" s="97" t="str">
        <f aca="false">IFERROR(INDEX(Prescrição!$T$8:$T$507,MATCH(11,Prescrição!$U$8:$U$507,0)),"")</f>
        <v/>
      </c>
    </row>
    <row r="83" customFormat="false" ht="15" hidden="false" customHeight="false" outlineLevel="0" collapsed="false">
      <c r="A83" s="98" t="str">
        <f aca="false">IFERROR(INDEX(Prescrição!$A$8:$A$507,MATCH(12,Prescrição!$U$8:$U$507,0)),"")</f>
        <v/>
      </c>
      <c r="B83" s="74" t="str">
        <f aca="false">IFERROR(INDEX(Prescrição!$C$8:$C$507,MATCH(12,Prescrição!$U$8:$U$507,0)),"")</f>
        <v/>
      </c>
      <c r="C83" s="74" t="str">
        <f aca="false">IFERROR(INDEX(Prescrição!$F$8:$F$507,MATCH(12,Prescrição!$U$8:$U$507,0)),"")</f>
        <v/>
      </c>
      <c r="D83" s="99" t="str">
        <f aca="false">IFERROR(INDEX(Prescrição!$G$8:$G$507,MATCH(12,Prescrição!$U$8:$U$507,0)),"")</f>
        <v/>
      </c>
      <c r="E83" s="100" t="str">
        <f aca="false">IFERROR(INDEX(Prescrição!$J$8:$J$507,MATCH(12,Prescrição!$U$8:$U$507,0)),"")</f>
        <v/>
      </c>
      <c r="F83" s="74" t="str">
        <f aca="false">IFERROR(INDEX(Prescrição!$K$8:$K$507,MATCH(12,Prescrição!$U$8:$U$507,0)),"")</f>
        <v/>
      </c>
      <c r="G83" s="74" t="str">
        <f aca="false">IFERROR(INDEX(Prescrição!$L$8:$L$507,MATCH(12,Prescrição!$U$8:$U$507,0)),"")</f>
        <v/>
      </c>
      <c r="H83" s="100" t="str">
        <f aca="false">IFERROR(INDEX(Prescrição!$M$8:$M$507,MATCH(12,Prescrição!$U$8:$U$507,0)),"")</f>
        <v/>
      </c>
      <c r="I83" s="74" t="str">
        <f aca="false">IFERROR(INDEX(Prescrição!$N$8:$N$507,MATCH(12,Prescrição!$U$8:$U$507,0)),"")</f>
        <v/>
      </c>
      <c r="J83" s="74" t="str">
        <f aca="false">IFERROR(INDEX(Prescrição!$O$8:$O$507,MATCH(12,Prescrição!$U$8:$U$507,0)),"")</f>
        <v/>
      </c>
      <c r="K83" s="74" t="str">
        <f aca="false">IFERROR(INDEX(Prescrição!$P$8:$P$507,MATCH(12,Prescrição!$U$8:$U$507,0)),"")</f>
        <v/>
      </c>
      <c r="L83" s="100" t="str">
        <f aca="false">IFERROR(INDEX(Prescrição!$S$8:$S$507,MATCH(12,Prescrição!$U$8:$U$507,0)),"")</f>
        <v/>
      </c>
      <c r="M83" s="100" t="str">
        <f aca="false">IFERROR(INDEX(Prescrição!$T$8:$T$507,MATCH(12,Prescrição!$U$8:$U$507,0)),"")</f>
        <v/>
      </c>
    </row>
    <row r="84" customFormat="false" ht="15" hidden="false" customHeight="false" outlineLevel="0" collapsed="false">
      <c r="A84" s="95" t="str">
        <f aca="false">IFERROR(INDEX(Prescrição!$A$8:$A$507,MATCH(13,Prescrição!$U$8:$U$507,0)),"")</f>
        <v/>
      </c>
      <c r="B84" s="70" t="str">
        <f aca="false">IFERROR(INDEX(Prescrição!$C$8:$C$507,MATCH(13,Prescrição!$U$8:$U$507,0)),"")</f>
        <v/>
      </c>
      <c r="C84" s="70" t="str">
        <f aca="false">IFERROR(INDEX(Prescrição!$F$8:$F$507,MATCH(13,Prescrição!$U$8:$U$507,0)),"")</f>
        <v/>
      </c>
      <c r="D84" s="96" t="str">
        <f aca="false">IFERROR(INDEX(Prescrição!$G$8:$G$507,MATCH(13,Prescrição!$U$8:$U$507,0)),"")</f>
        <v/>
      </c>
      <c r="E84" s="97" t="str">
        <f aca="false">IFERROR(INDEX(Prescrição!$J$8:$J$507,MATCH(13,Prescrição!$U$8:$U$507,0)),"")</f>
        <v/>
      </c>
      <c r="F84" s="70" t="str">
        <f aca="false">IFERROR(INDEX(Prescrição!$K$8:$K$507,MATCH(13,Prescrição!$U$8:$U$507,0)),"")</f>
        <v/>
      </c>
      <c r="G84" s="70" t="str">
        <f aca="false">IFERROR(INDEX(Prescrição!$L$8:$L$507,MATCH(13,Prescrição!$U$8:$U$507,0)),"")</f>
        <v/>
      </c>
      <c r="H84" s="97" t="str">
        <f aca="false">IFERROR(INDEX(Prescrição!$M$8:$M$507,MATCH(13,Prescrição!$U$8:$U$507,0)),"")</f>
        <v/>
      </c>
      <c r="I84" s="70" t="str">
        <f aca="false">IFERROR(INDEX(Prescrição!$N$8:$N$507,MATCH(13,Prescrição!$U$8:$U$507,0)),"")</f>
        <v/>
      </c>
      <c r="J84" s="70" t="str">
        <f aca="false">IFERROR(INDEX(Prescrição!$O$8:$O$507,MATCH(13,Prescrição!$U$8:$U$507,0)),"")</f>
        <v/>
      </c>
      <c r="K84" s="70" t="str">
        <f aca="false">IFERROR(INDEX(Prescrição!$P$8:$P$507,MATCH(13,Prescrição!$U$8:$U$507,0)),"")</f>
        <v/>
      </c>
      <c r="L84" s="97" t="str">
        <f aca="false">IFERROR(INDEX(Prescrição!$S$8:$S$507,MATCH(13,Prescrição!$U$8:$U$507,0)),"")</f>
        <v/>
      </c>
      <c r="M84" s="97" t="str">
        <f aca="false">IFERROR(INDEX(Prescrição!$T$8:$T$507,MATCH(13,Prescrição!$U$8:$U$507,0)),"")</f>
        <v/>
      </c>
    </row>
    <row r="85" customFormat="false" ht="15" hidden="false" customHeight="false" outlineLevel="0" collapsed="false">
      <c r="A85" s="98" t="str">
        <f aca="false">IFERROR(INDEX(Prescrição!$A$8:$A$507,MATCH(14,Prescrição!$U$8:$U$507,0)),"")</f>
        <v/>
      </c>
      <c r="B85" s="74" t="str">
        <f aca="false">IFERROR(INDEX(Prescrição!$C$8:$C$507,MATCH(14,Prescrição!$U$8:$U$507,0)),"")</f>
        <v/>
      </c>
      <c r="C85" s="74" t="str">
        <f aca="false">IFERROR(INDEX(Prescrição!$F$8:$F$507,MATCH(14,Prescrição!$U$8:$U$507,0)),"")</f>
        <v/>
      </c>
      <c r="D85" s="99" t="str">
        <f aca="false">IFERROR(INDEX(Prescrição!$G$8:$G$507,MATCH(14,Prescrição!$U$8:$U$507,0)),"")</f>
        <v/>
      </c>
      <c r="E85" s="100" t="str">
        <f aca="false">IFERROR(INDEX(Prescrição!$J$8:$J$507,MATCH(14,Prescrição!$U$8:$U$507,0)),"")</f>
        <v/>
      </c>
      <c r="F85" s="74" t="str">
        <f aca="false">IFERROR(INDEX(Prescrição!$K$8:$K$507,MATCH(14,Prescrição!$U$8:$U$507,0)),"")</f>
        <v/>
      </c>
      <c r="G85" s="74" t="str">
        <f aca="false">IFERROR(INDEX(Prescrição!$L$8:$L$507,MATCH(14,Prescrição!$U$8:$U$507,0)),"")</f>
        <v/>
      </c>
      <c r="H85" s="100" t="str">
        <f aca="false">IFERROR(INDEX(Prescrição!$M$8:$M$507,MATCH(14,Prescrição!$U$8:$U$507,0)),"")</f>
        <v/>
      </c>
      <c r="I85" s="74" t="str">
        <f aca="false">IFERROR(INDEX(Prescrição!$N$8:$N$507,MATCH(14,Prescrição!$U$8:$U$507,0)),"")</f>
        <v/>
      </c>
      <c r="J85" s="74" t="str">
        <f aca="false">IFERROR(INDEX(Prescrição!$O$8:$O$507,MATCH(14,Prescrição!$U$8:$U$507,0)),"")</f>
        <v/>
      </c>
      <c r="K85" s="74" t="str">
        <f aca="false">IFERROR(INDEX(Prescrição!$P$8:$P$507,MATCH(14,Prescrição!$U$8:$U$507,0)),"")</f>
        <v/>
      </c>
      <c r="L85" s="100" t="str">
        <f aca="false">IFERROR(INDEX(Prescrição!$S$8:$S$507,MATCH(14,Prescrição!$U$8:$U$507,0)),"")</f>
        <v/>
      </c>
      <c r="M85" s="100" t="str">
        <f aca="false">IFERROR(INDEX(Prescrição!$T$8:$T$507,MATCH(14,Prescrição!$U$8:$U$507,0)),"")</f>
        <v/>
      </c>
    </row>
    <row r="86" customFormat="false" ht="15" hidden="false" customHeight="false" outlineLevel="0" collapsed="false">
      <c r="A86" s="95" t="str">
        <f aca="false">IFERROR(INDEX(Prescrição!$A$8:$A$507,MATCH(15,Prescrição!$U$8:$U$507,0)),"")</f>
        <v/>
      </c>
      <c r="B86" s="70" t="str">
        <f aca="false">IFERROR(INDEX(Prescrição!$C$8:$C$507,MATCH(15,Prescrição!$U$8:$U$507,0)),"")</f>
        <v/>
      </c>
      <c r="C86" s="70" t="str">
        <f aca="false">IFERROR(INDEX(Prescrição!$F$8:$F$507,MATCH(15,Prescrição!$U$8:$U$507,0)),"")</f>
        <v/>
      </c>
      <c r="D86" s="96" t="str">
        <f aca="false">IFERROR(INDEX(Prescrição!$G$8:$G$507,MATCH(15,Prescrição!$U$8:$U$507,0)),"")</f>
        <v/>
      </c>
      <c r="E86" s="97" t="str">
        <f aca="false">IFERROR(INDEX(Prescrição!$J$8:$J$507,MATCH(15,Prescrição!$U$8:$U$507,0)),"")</f>
        <v/>
      </c>
      <c r="F86" s="70" t="str">
        <f aca="false">IFERROR(INDEX(Prescrição!$K$8:$K$507,MATCH(15,Prescrição!$U$8:$U$507,0)),"")</f>
        <v/>
      </c>
      <c r="G86" s="70" t="str">
        <f aca="false">IFERROR(INDEX(Prescrição!$L$8:$L$507,MATCH(15,Prescrição!$U$8:$U$507,0)),"")</f>
        <v/>
      </c>
      <c r="H86" s="97" t="str">
        <f aca="false">IFERROR(INDEX(Prescrição!$M$8:$M$507,MATCH(15,Prescrição!$U$8:$U$507,0)),"")</f>
        <v/>
      </c>
      <c r="I86" s="70" t="str">
        <f aca="false">IFERROR(INDEX(Prescrição!$N$8:$N$507,MATCH(15,Prescrição!$U$8:$U$507,0)),"")</f>
        <v/>
      </c>
      <c r="J86" s="70" t="str">
        <f aca="false">IFERROR(INDEX(Prescrição!$O$8:$O$507,MATCH(15,Prescrição!$U$8:$U$507,0)),"")</f>
        <v/>
      </c>
      <c r="K86" s="70" t="str">
        <f aca="false">IFERROR(INDEX(Prescrição!$P$8:$P$507,MATCH(15,Prescrição!$U$8:$U$507,0)),"")</f>
        <v/>
      </c>
      <c r="L86" s="97" t="str">
        <f aca="false">IFERROR(INDEX(Prescrição!$S$8:$S$507,MATCH(15,Prescrição!$U$8:$U$507,0)),"")</f>
        <v/>
      </c>
      <c r="M86" s="97" t="str">
        <f aca="false">IFERROR(INDEX(Prescrição!$T$8:$T$507,MATCH(15,Prescrição!$U$8:$U$507,0)),"")</f>
        <v/>
      </c>
    </row>
    <row r="87" customFormat="false" ht="15" hidden="false" customHeight="false" outlineLevel="0" collapsed="false">
      <c r="A87" s="98" t="str">
        <f aca="false">IFERROR(INDEX(Prescrição!$A$8:$A$507,MATCH(16,Prescrição!$U$8:$U$507,0)),"")</f>
        <v/>
      </c>
      <c r="B87" s="74" t="str">
        <f aca="false">IFERROR(INDEX(Prescrição!$C$8:$C$507,MATCH(16,Prescrição!$U$8:$U$507,0)),"")</f>
        <v/>
      </c>
      <c r="C87" s="74" t="str">
        <f aca="false">IFERROR(INDEX(Prescrição!$F$8:$F$507,MATCH(16,Prescrição!$U$8:$U$507,0)),"")</f>
        <v/>
      </c>
      <c r="D87" s="99" t="str">
        <f aca="false">IFERROR(INDEX(Prescrição!$G$8:$G$507,MATCH(16,Prescrição!$U$8:$U$507,0)),"")</f>
        <v/>
      </c>
      <c r="E87" s="100" t="str">
        <f aca="false">IFERROR(INDEX(Prescrição!$J$8:$J$507,MATCH(16,Prescrição!$U$8:$U$507,0)),"")</f>
        <v/>
      </c>
      <c r="F87" s="74" t="str">
        <f aca="false">IFERROR(INDEX(Prescrição!$K$8:$K$507,MATCH(16,Prescrição!$U$8:$U$507,0)),"")</f>
        <v/>
      </c>
      <c r="G87" s="74" t="str">
        <f aca="false">IFERROR(INDEX(Prescrição!$L$8:$L$507,MATCH(16,Prescrição!$U$8:$U$507,0)),"")</f>
        <v/>
      </c>
      <c r="H87" s="100" t="str">
        <f aca="false">IFERROR(INDEX(Prescrição!$M$8:$M$507,MATCH(16,Prescrição!$U$8:$U$507,0)),"")</f>
        <v/>
      </c>
      <c r="I87" s="74" t="str">
        <f aca="false">IFERROR(INDEX(Prescrição!$N$8:$N$507,MATCH(16,Prescrição!$U$8:$U$507,0)),"")</f>
        <v/>
      </c>
      <c r="J87" s="74" t="str">
        <f aca="false">IFERROR(INDEX(Prescrição!$O$8:$O$507,MATCH(16,Prescrição!$U$8:$U$507,0)),"")</f>
        <v/>
      </c>
      <c r="K87" s="74" t="str">
        <f aca="false">IFERROR(INDEX(Prescrição!$P$8:$P$507,MATCH(16,Prescrição!$U$8:$U$507,0)),"")</f>
        <v/>
      </c>
      <c r="L87" s="100" t="str">
        <f aca="false">IFERROR(INDEX(Prescrição!$S$8:$S$507,MATCH(16,Prescrição!$U$8:$U$507,0)),"")</f>
        <v/>
      </c>
      <c r="M87" s="100" t="str">
        <f aca="false">IFERROR(INDEX(Prescrição!$T$8:$T$507,MATCH(16,Prescrição!$U$8:$U$507,0)),"")</f>
        <v/>
      </c>
    </row>
    <row r="88" customFormat="false" ht="15" hidden="false" customHeight="false" outlineLevel="0" collapsed="false">
      <c r="A88" s="95" t="str">
        <f aca="false">IFERROR(INDEX(Prescrição!$A$8:$A$507,MATCH(17,Prescrição!$U$8:$U$507,0)),"")</f>
        <v/>
      </c>
      <c r="B88" s="70" t="str">
        <f aca="false">IFERROR(INDEX(Prescrição!$C$8:$C$507,MATCH(17,Prescrição!$U$8:$U$507,0)),"")</f>
        <v/>
      </c>
      <c r="C88" s="70" t="str">
        <f aca="false">IFERROR(INDEX(Prescrição!$F$8:$F$507,MATCH(17,Prescrição!$U$8:$U$507,0)),"")</f>
        <v/>
      </c>
      <c r="D88" s="96" t="str">
        <f aca="false">IFERROR(INDEX(Prescrição!$G$8:$G$507,MATCH(17,Prescrição!$U$8:$U$507,0)),"")</f>
        <v/>
      </c>
      <c r="E88" s="97" t="str">
        <f aca="false">IFERROR(INDEX(Prescrição!$J$8:$J$507,MATCH(17,Prescrição!$U$8:$U$507,0)),"")</f>
        <v/>
      </c>
      <c r="F88" s="70" t="str">
        <f aca="false">IFERROR(INDEX(Prescrição!$K$8:$K$507,MATCH(17,Prescrição!$U$8:$U$507,0)),"")</f>
        <v/>
      </c>
      <c r="G88" s="70" t="str">
        <f aca="false">IFERROR(INDEX(Prescrição!$L$8:$L$507,MATCH(17,Prescrição!$U$8:$U$507,0)),"")</f>
        <v/>
      </c>
      <c r="H88" s="97" t="str">
        <f aca="false">IFERROR(INDEX(Prescrição!$M$8:$M$507,MATCH(17,Prescrição!$U$8:$U$507,0)),"")</f>
        <v/>
      </c>
      <c r="I88" s="70" t="str">
        <f aca="false">IFERROR(INDEX(Prescrição!$N$8:$N$507,MATCH(17,Prescrição!$U$8:$U$507,0)),"")</f>
        <v/>
      </c>
      <c r="J88" s="70" t="str">
        <f aca="false">IFERROR(INDEX(Prescrição!$O$8:$O$507,MATCH(17,Prescrição!$U$8:$U$507,0)),"")</f>
        <v/>
      </c>
      <c r="K88" s="70" t="str">
        <f aca="false">IFERROR(INDEX(Prescrição!$P$8:$P$507,MATCH(17,Prescrição!$U$8:$U$507,0)),"")</f>
        <v/>
      </c>
      <c r="L88" s="97" t="str">
        <f aca="false">IFERROR(INDEX(Prescrição!$S$8:$S$507,MATCH(17,Prescrição!$U$8:$U$507,0)),"")</f>
        <v/>
      </c>
      <c r="M88" s="97" t="str">
        <f aca="false">IFERROR(INDEX(Prescrição!$T$8:$T$507,MATCH(17,Prescrição!$U$8:$U$507,0)),"")</f>
        <v/>
      </c>
    </row>
    <row r="89" customFormat="false" ht="15" hidden="false" customHeight="false" outlineLevel="0" collapsed="false">
      <c r="A89" s="98" t="str">
        <f aca="false">IFERROR(INDEX(Prescrição!$A$8:$A$507,MATCH(18,Prescrição!$U$8:$U$507,0)),"")</f>
        <v/>
      </c>
      <c r="B89" s="74" t="str">
        <f aca="false">IFERROR(INDEX(Prescrição!$C$8:$C$507,MATCH(18,Prescrição!$U$8:$U$507,0)),"")</f>
        <v/>
      </c>
      <c r="C89" s="74" t="str">
        <f aca="false">IFERROR(INDEX(Prescrição!$F$8:$F$507,MATCH(18,Prescrição!$U$8:$U$507,0)),"")</f>
        <v/>
      </c>
      <c r="D89" s="99" t="str">
        <f aca="false">IFERROR(INDEX(Prescrição!$G$8:$G$507,MATCH(18,Prescrição!$U$8:$U$507,0)),"")</f>
        <v/>
      </c>
      <c r="E89" s="100" t="str">
        <f aca="false">IFERROR(INDEX(Prescrição!$J$8:$J$507,MATCH(18,Prescrição!$U$8:$U$507,0)),"")</f>
        <v/>
      </c>
      <c r="F89" s="74" t="str">
        <f aca="false">IFERROR(INDEX(Prescrição!$K$8:$K$507,MATCH(18,Prescrição!$U$8:$U$507,0)),"")</f>
        <v/>
      </c>
      <c r="G89" s="74" t="str">
        <f aca="false">IFERROR(INDEX(Prescrição!$L$8:$L$507,MATCH(18,Prescrição!$U$8:$U$507,0)),"")</f>
        <v/>
      </c>
      <c r="H89" s="100" t="str">
        <f aca="false">IFERROR(INDEX(Prescrição!$M$8:$M$507,MATCH(18,Prescrição!$U$8:$U$507,0)),"")</f>
        <v/>
      </c>
      <c r="I89" s="74" t="str">
        <f aca="false">IFERROR(INDEX(Prescrição!$N$8:$N$507,MATCH(18,Prescrição!$U$8:$U$507,0)),"")</f>
        <v/>
      </c>
      <c r="J89" s="74" t="str">
        <f aca="false">IFERROR(INDEX(Prescrição!$O$8:$O$507,MATCH(18,Prescrição!$U$8:$U$507,0)),"")</f>
        <v/>
      </c>
      <c r="K89" s="74" t="str">
        <f aca="false">IFERROR(INDEX(Prescrição!$P$8:$P$507,MATCH(18,Prescrição!$U$8:$U$507,0)),"")</f>
        <v/>
      </c>
      <c r="L89" s="100" t="str">
        <f aca="false">IFERROR(INDEX(Prescrição!$S$8:$S$507,MATCH(18,Prescrição!$U$8:$U$507,0)),"")</f>
        <v/>
      </c>
      <c r="M89" s="100" t="str">
        <f aca="false">IFERROR(INDEX(Prescrição!$T$8:$T$507,MATCH(18,Prescrição!$U$8:$U$507,0)),"")</f>
        <v/>
      </c>
    </row>
    <row r="90" customFormat="false" ht="15" hidden="false" customHeight="false" outlineLevel="0" collapsed="false">
      <c r="A90" s="95" t="str">
        <f aca="false">IFERROR(INDEX(Prescrição!$A$8:$A$507,MATCH(19,Prescrição!$U$8:$U$507,0)),"")</f>
        <v/>
      </c>
      <c r="B90" s="70" t="str">
        <f aca="false">IFERROR(INDEX(Prescrição!$C$8:$C$507,MATCH(19,Prescrição!$U$8:$U$507,0)),"")</f>
        <v/>
      </c>
      <c r="C90" s="70" t="str">
        <f aca="false">IFERROR(INDEX(Prescrição!$F$8:$F$507,MATCH(19,Prescrição!$U$8:$U$507,0)),"")</f>
        <v/>
      </c>
      <c r="D90" s="96" t="str">
        <f aca="false">IFERROR(INDEX(Prescrição!$G$8:$G$507,MATCH(19,Prescrição!$U$8:$U$507,0)),"")</f>
        <v/>
      </c>
      <c r="E90" s="97" t="str">
        <f aca="false">IFERROR(INDEX(Prescrição!$J$8:$J$507,MATCH(19,Prescrição!$U$8:$U$507,0)),"")</f>
        <v/>
      </c>
      <c r="F90" s="70" t="str">
        <f aca="false">IFERROR(INDEX(Prescrição!$K$8:$K$507,MATCH(19,Prescrição!$U$8:$U$507,0)),"")</f>
        <v/>
      </c>
      <c r="G90" s="70" t="str">
        <f aca="false">IFERROR(INDEX(Prescrição!$L$8:$L$507,MATCH(19,Prescrição!$U$8:$U$507,0)),"")</f>
        <v/>
      </c>
      <c r="H90" s="97" t="str">
        <f aca="false">IFERROR(INDEX(Prescrição!$M$8:$M$507,MATCH(19,Prescrição!$U$8:$U$507,0)),"")</f>
        <v/>
      </c>
      <c r="I90" s="70" t="str">
        <f aca="false">IFERROR(INDEX(Prescrição!$N$8:$N$507,MATCH(19,Prescrição!$U$8:$U$507,0)),"")</f>
        <v/>
      </c>
      <c r="J90" s="70" t="str">
        <f aca="false">IFERROR(INDEX(Prescrição!$O$8:$O$507,MATCH(19,Prescrição!$U$8:$U$507,0)),"")</f>
        <v/>
      </c>
      <c r="K90" s="70" t="str">
        <f aca="false">IFERROR(INDEX(Prescrição!$P$8:$P$507,MATCH(19,Prescrição!$U$8:$U$507,0)),"")</f>
        <v/>
      </c>
      <c r="L90" s="97" t="str">
        <f aca="false">IFERROR(INDEX(Prescrição!$S$8:$S$507,MATCH(19,Prescrição!$U$8:$U$507,0)),"")</f>
        <v/>
      </c>
      <c r="M90" s="97" t="str">
        <f aca="false">IFERROR(INDEX(Prescrição!$T$8:$T$507,MATCH(19,Prescrição!$U$8:$U$507,0)),"")</f>
        <v/>
      </c>
    </row>
    <row r="91" customFormat="false" ht="15" hidden="false" customHeight="false" outlineLevel="0" collapsed="false">
      <c r="A91" s="98" t="str">
        <f aca="false">IFERROR(INDEX(Prescrição!$A$8:$A$507,MATCH(20,Prescrição!$U$8:$U$507,0)),"")</f>
        <v/>
      </c>
      <c r="B91" s="74" t="str">
        <f aca="false">IFERROR(INDEX(Prescrição!$C$8:$C$507,MATCH(20,Prescrição!$U$8:$U$507,0)),"")</f>
        <v/>
      </c>
      <c r="C91" s="74" t="str">
        <f aca="false">IFERROR(INDEX(Prescrição!$F$8:$F$507,MATCH(20,Prescrição!$U$8:$U$507,0)),"")</f>
        <v/>
      </c>
      <c r="D91" s="99" t="str">
        <f aca="false">IFERROR(INDEX(Prescrição!$G$8:$G$507,MATCH(20,Prescrição!$U$8:$U$507,0)),"")</f>
        <v/>
      </c>
      <c r="E91" s="100" t="str">
        <f aca="false">IFERROR(INDEX(Prescrição!$J$8:$J$507,MATCH(20,Prescrição!$U$8:$U$507,0)),"")</f>
        <v/>
      </c>
      <c r="F91" s="74" t="str">
        <f aca="false">IFERROR(INDEX(Prescrição!$K$8:$K$507,MATCH(20,Prescrição!$U$8:$U$507,0)),"")</f>
        <v/>
      </c>
      <c r="G91" s="74" t="str">
        <f aca="false">IFERROR(INDEX(Prescrição!$L$8:$L$507,MATCH(20,Prescrição!$U$8:$U$507,0)),"")</f>
        <v/>
      </c>
      <c r="H91" s="100" t="str">
        <f aca="false">IFERROR(INDEX(Prescrição!$M$8:$M$507,MATCH(20,Prescrição!$U$8:$U$507,0)),"")</f>
        <v/>
      </c>
      <c r="I91" s="74" t="str">
        <f aca="false">IFERROR(INDEX(Prescrição!$N$8:$N$507,MATCH(20,Prescrição!$U$8:$U$507,0)),"")</f>
        <v/>
      </c>
      <c r="J91" s="74" t="str">
        <f aca="false">IFERROR(INDEX(Prescrição!$O$8:$O$507,MATCH(20,Prescrição!$U$8:$U$507,0)),"")</f>
        <v/>
      </c>
      <c r="K91" s="74" t="str">
        <f aca="false">IFERROR(INDEX(Prescrição!$P$8:$P$507,MATCH(20,Prescrição!$U$8:$U$507,0)),"")</f>
        <v/>
      </c>
      <c r="L91" s="100" t="str">
        <f aca="false">IFERROR(INDEX(Prescrição!$S$8:$S$507,MATCH(20,Prescrição!$U$8:$U$507,0)),"")</f>
        <v/>
      </c>
      <c r="M91" s="100" t="str">
        <f aca="false">IFERROR(INDEX(Prescrição!$T$8:$T$507,MATCH(20,Prescrição!$U$8:$U$507,0)),"")</f>
        <v/>
      </c>
    </row>
    <row r="92" customFormat="false" ht="15" hidden="false" customHeight="false" outlineLevel="0" collapsed="false">
      <c r="A92" s="95" t="str">
        <f aca="false">IFERROR(INDEX(Prescrição!$A$8:$A$507,MATCH(21,Prescrição!$U$8:$U$507,0)),"")</f>
        <v/>
      </c>
      <c r="B92" s="70" t="str">
        <f aca="false">IFERROR(INDEX(Prescrição!$C$8:$C$507,MATCH(21,Prescrição!$U$8:$U$507,0)),"")</f>
        <v/>
      </c>
      <c r="C92" s="70" t="str">
        <f aca="false">IFERROR(INDEX(Prescrição!$F$8:$F$507,MATCH(21,Prescrição!$U$8:$U$507,0)),"")</f>
        <v/>
      </c>
      <c r="D92" s="96" t="str">
        <f aca="false">IFERROR(INDEX(Prescrição!$G$8:$G$507,MATCH(21,Prescrição!$U$8:$U$507,0)),"")</f>
        <v/>
      </c>
      <c r="E92" s="97" t="str">
        <f aca="false">IFERROR(INDEX(Prescrição!$J$8:$J$507,MATCH(21,Prescrição!$U$8:$U$507,0)),"")</f>
        <v/>
      </c>
      <c r="F92" s="70" t="str">
        <f aca="false">IFERROR(INDEX(Prescrição!$K$8:$K$507,MATCH(21,Prescrição!$U$8:$U$507,0)),"")</f>
        <v/>
      </c>
      <c r="G92" s="70" t="str">
        <f aca="false">IFERROR(INDEX(Prescrição!$L$8:$L$507,MATCH(21,Prescrição!$U$8:$U$507,0)),"")</f>
        <v/>
      </c>
      <c r="H92" s="97" t="str">
        <f aca="false">IFERROR(INDEX(Prescrição!$M$8:$M$507,MATCH(21,Prescrição!$U$8:$U$507,0)),"")</f>
        <v/>
      </c>
      <c r="I92" s="70" t="str">
        <f aca="false">IFERROR(INDEX(Prescrição!$N$8:$N$507,MATCH(21,Prescrição!$U$8:$U$507,0)),"")</f>
        <v/>
      </c>
      <c r="J92" s="70" t="str">
        <f aca="false">IFERROR(INDEX(Prescrição!$O$8:$O$507,MATCH(21,Prescrição!$U$8:$U$507,0)),"")</f>
        <v/>
      </c>
      <c r="K92" s="70" t="str">
        <f aca="false">IFERROR(INDEX(Prescrição!$P$8:$P$507,MATCH(21,Prescrição!$U$8:$U$507,0)),"")</f>
        <v/>
      </c>
      <c r="L92" s="97" t="str">
        <f aca="false">IFERROR(INDEX(Prescrição!$S$8:$S$507,MATCH(21,Prescrição!$U$8:$U$507,0)),"")</f>
        <v/>
      </c>
      <c r="M92" s="97" t="str">
        <f aca="false">IFERROR(INDEX(Prescrição!$T$8:$T$507,MATCH(21,Prescrição!$U$8:$U$507,0)),"")</f>
        <v/>
      </c>
    </row>
    <row r="93" customFormat="false" ht="15" hidden="false" customHeight="false" outlineLevel="0" collapsed="false">
      <c r="A93" s="98" t="str">
        <f aca="false">IFERROR(INDEX(Prescrição!$A$8:$A$507,MATCH(22,Prescrição!$U$8:$U$507,0)),"")</f>
        <v/>
      </c>
      <c r="B93" s="74" t="str">
        <f aca="false">IFERROR(INDEX(Prescrição!$C$8:$C$507,MATCH(22,Prescrição!$U$8:$U$507,0)),"")</f>
        <v/>
      </c>
      <c r="C93" s="74" t="str">
        <f aca="false">IFERROR(INDEX(Prescrição!$F$8:$F$507,MATCH(22,Prescrição!$U$8:$U$507,0)),"")</f>
        <v/>
      </c>
      <c r="D93" s="99" t="str">
        <f aca="false">IFERROR(INDEX(Prescrição!$G$8:$G$507,MATCH(22,Prescrição!$U$8:$U$507,0)),"")</f>
        <v/>
      </c>
      <c r="E93" s="100" t="str">
        <f aca="false">IFERROR(INDEX(Prescrição!$J$8:$J$507,MATCH(22,Prescrição!$U$8:$U$507,0)),"")</f>
        <v/>
      </c>
      <c r="F93" s="74" t="str">
        <f aca="false">IFERROR(INDEX(Prescrição!$K$8:$K$507,MATCH(22,Prescrição!$U$8:$U$507,0)),"")</f>
        <v/>
      </c>
      <c r="G93" s="74" t="str">
        <f aca="false">IFERROR(INDEX(Prescrição!$L$8:$L$507,MATCH(22,Prescrição!$U$8:$U$507,0)),"")</f>
        <v/>
      </c>
      <c r="H93" s="100" t="str">
        <f aca="false">IFERROR(INDEX(Prescrição!$M$8:$M$507,MATCH(22,Prescrição!$U$8:$U$507,0)),"")</f>
        <v/>
      </c>
      <c r="I93" s="74" t="str">
        <f aca="false">IFERROR(INDEX(Prescrição!$N$8:$N$507,MATCH(22,Prescrição!$U$8:$U$507,0)),"")</f>
        <v/>
      </c>
      <c r="J93" s="74" t="str">
        <f aca="false">IFERROR(INDEX(Prescrição!$O$8:$O$507,MATCH(22,Prescrição!$U$8:$U$507,0)),"")</f>
        <v/>
      </c>
      <c r="K93" s="74" t="str">
        <f aca="false">IFERROR(INDEX(Prescrição!$P$8:$P$507,MATCH(22,Prescrição!$U$8:$U$507,0)),"")</f>
        <v/>
      </c>
      <c r="L93" s="100" t="str">
        <f aca="false">IFERROR(INDEX(Prescrição!$S$8:$S$507,MATCH(22,Prescrição!$U$8:$U$507,0)),"")</f>
        <v/>
      </c>
      <c r="M93" s="100" t="str">
        <f aca="false">IFERROR(INDEX(Prescrição!$T$8:$T$507,MATCH(22,Prescrição!$U$8:$U$507,0)),"")</f>
        <v/>
      </c>
    </row>
    <row r="94" customFormat="false" ht="15" hidden="false" customHeight="false" outlineLevel="0" collapsed="false">
      <c r="A94" s="95" t="str">
        <f aca="false">IFERROR(INDEX(Prescrição!$A$8:$A$507,MATCH(23,Prescrição!$U$8:$U$507,0)),"")</f>
        <v/>
      </c>
      <c r="B94" s="70" t="str">
        <f aca="false">IFERROR(INDEX(Prescrição!$C$8:$C$507,MATCH(23,Prescrição!$U$8:$U$507,0)),"")</f>
        <v/>
      </c>
      <c r="C94" s="70" t="str">
        <f aca="false">IFERROR(INDEX(Prescrição!$F$8:$F$507,MATCH(23,Prescrição!$U$8:$U$507,0)),"")</f>
        <v/>
      </c>
      <c r="D94" s="96" t="str">
        <f aca="false">IFERROR(INDEX(Prescrição!$G$8:$G$507,MATCH(23,Prescrição!$U$8:$U$507,0)),"")</f>
        <v/>
      </c>
      <c r="E94" s="97" t="str">
        <f aca="false">IFERROR(INDEX(Prescrição!$J$8:$J$507,MATCH(23,Prescrição!$U$8:$U$507,0)),"")</f>
        <v/>
      </c>
      <c r="F94" s="70" t="str">
        <f aca="false">IFERROR(INDEX(Prescrição!$K$8:$K$507,MATCH(23,Prescrição!$U$8:$U$507,0)),"")</f>
        <v/>
      </c>
      <c r="G94" s="70" t="str">
        <f aca="false">IFERROR(INDEX(Prescrição!$L$8:$L$507,MATCH(23,Prescrição!$U$8:$U$507,0)),"")</f>
        <v/>
      </c>
      <c r="H94" s="97" t="str">
        <f aca="false">IFERROR(INDEX(Prescrição!$M$8:$M$507,MATCH(23,Prescrição!$U$8:$U$507,0)),"")</f>
        <v/>
      </c>
      <c r="I94" s="70" t="str">
        <f aca="false">IFERROR(INDEX(Prescrição!$N$8:$N$507,MATCH(23,Prescrição!$U$8:$U$507,0)),"")</f>
        <v/>
      </c>
      <c r="J94" s="70" t="str">
        <f aca="false">IFERROR(INDEX(Prescrição!$O$8:$O$507,MATCH(23,Prescrição!$U$8:$U$507,0)),"")</f>
        <v/>
      </c>
      <c r="K94" s="70" t="str">
        <f aca="false">IFERROR(INDEX(Prescrição!$P$8:$P$507,MATCH(23,Prescrição!$U$8:$U$507,0)),"")</f>
        <v/>
      </c>
      <c r="L94" s="97" t="str">
        <f aca="false">IFERROR(INDEX(Prescrição!$S$8:$S$507,MATCH(23,Prescrição!$U$8:$U$507,0)),"")</f>
        <v/>
      </c>
      <c r="M94" s="97" t="str">
        <f aca="false">IFERROR(INDEX(Prescrição!$T$8:$T$507,MATCH(23,Prescrição!$U$8:$U$507,0)),"")</f>
        <v/>
      </c>
    </row>
    <row r="95" customFormat="false" ht="15" hidden="false" customHeight="false" outlineLevel="0" collapsed="false">
      <c r="A95" s="98" t="str">
        <f aca="false">IFERROR(INDEX(Prescrição!$A$8:$A$507,MATCH(24,Prescrição!$U$8:$U$507,0)),"")</f>
        <v/>
      </c>
      <c r="B95" s="74" t="str">
        <f aca="false">IFERROR(INDEX(Prescrição!$C$8:$C$507,MATCH(24,Prescrição!$U$8:$U$507,0)),"")</f>
        <v/>
      </c>
      <c r="C95" s="74" t="str">
        <f aca="false">IFERROR(INDEX(Prescrição!$F$8:$F$507,MATCH(24,Prescrição!$U$8:$U$507,0)),"")</f>
        <v/>
      </c>
      <c r="D95" s="99" t="str">
        <f aca="false">IFERROR(INDEX(Prescrição!$G$8:$G$507,MATCH(24,Prescrição!$U$8:$U$507,0)),"")</f>
        <v/>
      </c>
      <c r="E95" s="100" t="str">
        <f aca="false">IFERROR(INDEX(Prescrição!$J$8:$J$507,MATCH(24,Prescrição!$U$8:$U$507,0)),"")</f>
        <v/>
      </c>
      <c r="F95" s="74" t="str">
        <f aca="false">IFERROR(INDEX(Prescrição!$K$8:$K$507,MATCH(24,Prescrição!$U$8:$U$507,0)),"")</f>
        <v/>
      </c>
      <c r="G95" s="74" t="str">
        <f aca="false">IFERROR(INDEX(Prescrição!$L$8:$L$507,MATCH(24,Prescrição!$U$8:$U$507,0)),"")</f>
        <v/>
      </c>
      <c r="H95" s="100" t="str">
        <f aca="false">IFERROR(INDEX(Prescrição!$M$8:$M$507,MATCH(24,Prescrição!$U$8:$U$507,0)),"")</f>
        <v/>
      </c>
      <c r="I95" s="74" t="str">
        <f aca="false">IFERROR(INDEX(Prescrição!$N$8:$N$507,MATCH(24,Prescrição!$U$8:$U$507,0)),"")</f>
        <v/>
      </c>
      <c r="J95" s="74" t="str">
        <f aca="false">IFERROR(INDEX(Prescrição!$O$8:$O$507,MATCH(24,Prescrição!$U$8:$U$507,0)),"")</f>
        <v/>
      </c>
      <c r="K95" s="74" t="str">
        <f aca="false">IFERROR(INDEX(Prescrição!$P$8:$P$507,MATCH(24,Prescrição!$U$8:$U$507,0)),"")</f>
        <v/>
      </c>
      <c r="L95" s="100" t="str">
        <f aca="false">IFERROR(INDEX(Prescrição!$S$8:$S$507,MATCH(24,Prescrição!$U$8:$U$507,0)),"")</f>
        <v/>
      </c>
      <c r="M95" s="100" t="str">
        <f aca="false">IFERROR(INDEX(Prescrição!$T$8:$T$507,MATCH(24,Prescrição!$U$8:$U$507,0)),"")</f>
        <v/>
      </c>
    </row>
    <row r="96" customFormat="false" ht="15" hidden="false" customHeight="false" outlineLevel="0" collapsed="false">
      <c r="A96" s="95" t="str">
        <f aca="false">IFERROR(INDEX(Prescrição!$A$8:$A$507,MATCH(25,Prescrição!$U$8:$U$507,0)),"")</f>
        <v/>
      </c>
      <c r="B96" s="70" t="str">
        <f aca="false">IFERROR(INDEX(Prescrição!$C$8:$C$507,MATCH(25,Prescrição!$U$8:$U$507,0)),"")</f>
        <v/>
      </c>
      <c r="C96" s="70" t="str">
        <f aca="false">IFERROR(INDEX(Prescrição!$F$8:$F$507,MATCH(25,Prescrição!$U$8:$U$507,0)),"")</f>
        <v/>
      </c>
      <c r="D96" s="96" t="str">
        <f aca="false">IFERROR(INDEX(Prescrição!$G$8:$G$507,MATCH(25,Prescrição!$U$8:$U$507,0)),"")</f>
        <v/>
      </c>
      <c r="E96" s="97" t="str">
        <f aca="false">IFERROR(INDEX(Prescrição!$J$8:$J$507,MATCH(25,Prescrição!$U$8:$U$507,0)),"")</f>
        <v/>
      </c>
      <c r="F96" s="70" t="str">
        <f aca="false">IFERROR(INDEX(Prescrição!$K$8:$K$507,MATCH(25,Prescrição!$U$8:$U$507,0)),"")</f>
        <v/>
      </c>
      <c r="G96" s="70" t="str">
        <f aca="false">IFERROR(INDEX(Prescrição!$L$8:$L$507,MATCH(25,Prescrição!$U$8:$U$507,0)),"")</f>
        <v/>
      </c>
      <c r="H96" s="97" t="str">
        <f aca="false">IFERROR(INDEX(Prescrição!$M$8:$M$507,MATCH(25,Prescrição!$U$8:$U$507,0)),"")</f>
        <v/>
      </c>
      <c r="I96" s="70" t="str">
        <f aca="false">IFERROR(INDEX(Prescrição!$N$8:$N$507,MATCH(25,Prescrição!$U$8:$U$507,0)),"")</f>
        <v/>
      </c>
      <c r="J96" s="70" t="str">
        <f aca="false">IFERROR(INDEX(Prescrição!$O$8:$O$507,MATCH(25,Prescrição!$U$8:$U$507,0)),"")</f>
        <v/>
      </c>
      <c r="K96" s="70" t="str">
        <f aca="false">IFERROR(INDEX(Prescrição!$P$8:$P$507,MATCH(25,Prescrição!$U$8:$U$507,0)),"")</f>
        <v/>
      </c>
      <c r="L96" s="97" t="str">
        <f aca="false">IFERROR(INDEX(Prescrição!$S$8:$S$507,MATCH(25,Prescrição!$U$8:$U$507,0)),"")</f>
        <v/>
      </c>
      <c r="M96" s="97" t="str">
        <f aca="false">IFERROR(INDEX(Prescrição!$T$8:$T$507,MATCH(25,Prescrição!$U$8:$U$507,0)),"")</f>
        <v/>
      </c>
    </row>
    <row r="97" customFormat="false" ht="15" hidden="false" customHeight="false" outlineLevel="0" collapsed="false">
      <c r="A97" s="98" t="str">
        <f aca="false">IFERROR(INDEX(Prescrição!$A$8:$A$507,MATCH(26,Prescrição!$U$8:$U$507,0)),"")</f>
        <v/>
      </c>
      <c r="B97" s="74" t="str">
        <f aca="false">IFERROR(INDEX(Prescrição!$C$8:$C$507,MATCH(26,Prescrição!$U$8:$U$507,0)),"")</f>
        <v/>
      </c>
      <c r="C97" s="74" t="str">
        <f aca="false">IFERROR(INDEX(Prescrição!$F$8:$F$507,MATCH(26,Prescrição!$U$8:$U$507,0)),"")</f>
        <v/>
      </c>
      <c r="D97" s="99" t="str">
        <f aca="false">IFERROR(INDEX(Prescrição!$G$8:$G$507,MATCH(26,Prescrição!$U$8:$U$507,0)),"")</f>
        <v/>
      </c>
      <c r="E97" s="100" t="str">
        <f aca="false">IFERROR(INDEX(Prescrição!$J$8:$J$507,MATCH(26,Prescrição!$U$8:$U$507,0)),"")</f>
        <v/>
      </c>
      <c r="F97" s="74" t="str">
        <f aca="false">IFERROR(INDEX(Prescrição!$K$8:$K$507,MATCH(26,Prescrição!$U$8:$U$507,0)),"")</f>
        <v/>
      </c>
      <c r="G97" s="74" t="str">
        <f aca="false">IFERROR(INDEX(Prescrição!$L$8:$L$507,MATCH(26,Prescrição!$U$8:$U$507,0)),"")</f>
        <v/>
      </c>
      <c r="H97" s="100" t="str">
        <f aca="false">IFERROR(INDEX(Prescrição!$M$8:$M$507,MATCH(26,Prescrição!$U$8:$U$507,0)),"")</f>
        <v/>
      </c>
      <c r="I97" s="74" t="str">
        <f aca="false">IFERROR(INDEX(Prescrição!$N$8:$N$507,MATCH(26,Prescrição!$U$8:$U$507,0)),"")</f>
        <v/>
      </c>
      <c r="J97" s="74" t="str">
        <f aca="false">IFERROR(INDEX(Prescrição!$O$8:$O$507,MATCH(26,Prescrição!$U$8:$U$507,0)),"")</f>
        <v/>
      </c>
      <c r="K97" s="74" t="str">
        <f aca="false">IFERROR(INDEX(Prescrição!$P$8:$P$507,MATCH(26,Prescrição!$U$8:$U$507,0)),"")</f>
        <v/>
      </c>
      <c r="L97" s="100" t="str">
        <f aca="false">IFERROR(INDEX(Prescrição!$S$8:$S$507,MATCH(26,Prescrição!$U$8:$U$507,0)),"")</f>
        <v/>
      </c>
      <c r="M97" s="100" t="str">
        <f aca="false">IFERROR(INDEX(Prescrição!$T$8:$T$507,MATCH(26,Prescrição!$U$8:$U$507,0)),"")</f>
        <v/>
      </c>
    </row>
    <row r="98" customFormat="false" ht="15" hidden="false" customHeight="false" outlineLevel="0" collapsed="false">
      <c r="A98" s="95" t="str">
        <f aca="false">IFERROR(INDEX(Prescrição!$A$8:$A$507,MATCH(27,Prescrição!$U$8:$U$507,0)),"")</f>
        <v/>
      </c>
      <c r="B98" s="70" t="str">
        <f aca="false">IFERROR(INDEX(Prescrição!$C$8:$C$507,MATCH(27,Prescrição!$U$8:$U$507,0)),"")</f>
        <v/>
      </c>
      <c r="C98" s="70" t="str">
        <f aca="false">IFERROR(INDEX(Prescrição!$F$8:$F$507,MATCH(27,Prescrição!$U$8:$U$507,0)),"")</f>
        <v/>
      </c>
      <c r="D98" s="96" t="str">
        <f aca="false">IFERROR(INDEX(Prescrição!$G$8:$G$507,MATCH(27,Prescrição!$U$8:$U$507,0)),"")</f>
        <v/>
      </c>
      <c r="E98" s="97" t="str">
        <f aca="false">IFERROR(INDEX(Prescrição!$J$8:$J$507,MATCH(27,Prescrição!$U$8:$U$507,0)),"")</f>
        <v/>
      </c>
      <c r="F98" s="70" t="str">
        <f aca="false">IFERROR(INDEX(Prescrição!$K$8:$K$507,MATCH(27,Prescrição!$U$8:$U$507,0)),"")</f>
        <v/>
      </c>
      <c r="G98" s="70" t="str">
        <f aca="false">IFERROR(INDEX(Prescrição!$L$8:$L$507,MATCH(27,Prescrição!$U$8:$U$507,0)),"")</f>
        <v/>
      </c>
      <c r="H98" s="97" t="str">
        <f aca="false">IFERROR(INDEX(Prescrição!$M$8:$M$507,MATCH(27,Prescrição!$U$8:$U$507,0)),"")</f>
        <v/>
      </c>
      <c r="I98" s="70" t="str">
        <f aca="false">IFERROR(INDEX(Prescrição!$N$8:$N$507,MATCH(27,Prescrição!$U$8:$U$507,0)),"")</f>
        <v/>
      </c>
      <c r="J98" s="70" t="str">
        <f aca="false">IFERROR(INDEX(Prescrição!$O$8:$O$507,MATCH(27,Prescrição!$U$8:$U$507,0)),"")</f>
        <v/>
      </c>
      <c r="K98" s="70" t="str">
        <f aca="false">IFERROR(INDEX(Prescrição!$P$8:$P$507,MATCH(27,Prescrição!$U$8:$U$507,0)),"")</f>
        <v/>
      </c>
      <c r="L98" s="97" t="str">
        <f aca="false">IFERROR(INDEX(Prescrição!$S$8:$S$507,MATCH(27,Prescrição!$U$8:$U$507,0)),"")</f>
        <v/>
      </c>
      <c r="M98" s="97" t="str">
        <f aca="false">IFERROR(INDEX(Prescrição!$T$8:$T$507,MATCH(27,Prescrição!$U$8:$U$507,0)),"")</f>
        <v/>
      </c>
    </row>
    <row r="99" customFormat="false" ht="15" hidden="false" customHeight="false" outlineLevel="0" collapsed="false">
      <c r="A99" s="98" t="str">
        <f aca="false">IFERROR(INDEX(Prescrição!$A$8:$A$507,MATCH(28,Prescrição!$U$8:$U$507,0)),"")</f>
        <v/>
      </c>
      <c r="B99" s="74" t="str">
        <f aca="false">IFERROR(INDEX(Prescrição!$C$8:$C$507,MATCH(28,Prescrição!$U$8:$U$507,0)),"")</f>
        <v/>
      </c>
      <c r="C99" s="74" t="str">
        <f aca="false">IFERROR(INDEX(Prescrição!$F$8:$F$507,MATCH(28,Prescrição!$U$8:$U$507,0)),"")</f>
        <v/>
      </c>
      <c r="D99" s="99" t="str">
        <f aca="false">IFERROR(INDEX(Prescrição!$G$8:$G$507,MATCH(28,Prescrição!$U$8:$U$507,0)),"")</f>
        <v/>
      </c>
      <c r="E99" s="100" t="str">
        <f aca="false">IFERROR(INDEX(Prescrição!$J$8:$J$507,MATCH(28,Prescrição!$U$8:$U$507,0)),"")</f>
        <v/>
      </c>
      <c r="F99" s="74" t="str">
        <f aca="false">IFERROR(INDEX(Prescrição!$K$8:$K$507,MATCH(28,Prescrição!$U$8:$U$507,0)),"")</f>
        <v/>
      </c>
      <c r="G99" s="74" t="str">
        <f aca="false">IFERROR(INDEX(Prescrição!$L$8:$L$507,MATCH(28,Prescrição!$U$8:$U$507,0)),"")</f>
        <v/>
      </c>
      <c r="H99" s="100" t="str">
        <f aca="false">IFERROR(INDEX(Prescrição!$M$8:$M$507,MATCH(28,Prescrição!$U$8:$U$507,0)),"")</f>
        <v/>
      </c>
      <c r="I99" s="74" t="str">
        <f aca="false">IFERROR(INDEX(Prescrição!$N$8:$N$507,MATCH(28,Prescrição!$U$8:$U$507,0)),"")</f>
        <v/>
      </c>
      <c r="J99" s="74" t="str">
        <f aca="false">IFERROR(INDEX(Prescrição!$O$8:$O$507,MATCH(28,Prescrição!$U$8:$U$507,0)),"")</f>
        <v/>
      </c>
      <c r="K99" s="74" t="str">
        <f aca="false">IFERROR(INDEX(Prescrição!$P$8:$P$507,MATCH(28,Prescrição!$U$8:$U$507,0)),"")</f>
        <v/>
      </c>
      <c r="L99" s="100" t="str">
        <f aca="false">IFERROR(INDEX(Prescrição!$S$8:$S$507,MATCH(28,Prescrição!$U$8:$U$507,0)),"")</f>
        <v/>
      </c>
      <c r="M99" s="100" t="str">
        <f aca="false">IFERROR(INDEX(Prescrição!$T$8:$T$507,MATCH(28,Prescrição!$U$8:$U$507,0)),"")</f>
        <v/>
      </c>
    </row>
    <row r="100" customFormat="false" ht="15" hidden="false" customHeight="false" outlineLevel="0" collapsed="false">
      <c r="A100" s="95" t="str">
        <f aca="false">IFERROR(INDEX(Prescrição!$A$8:$A$507,MATCH(29,Prescrição!$U$8:$U$507,0)),"")</f>
        <v/>
      </c>
      <c r="B100" s="70" t="str">
        <f aca="false">IFERROR(INDEX(Prescrição!$C$8:$C$507,MATCH(29,Prescrição!$U$8:$U$507,0)),"")</f>
        <v/>
      </c>
      <c r="C100" s="70" t="str">
        <f aca="false">IFERROR(INDEX(Prescrição!$F$8:$F$507,MATCH(29,Prescrição!$U$8:$U$507,0)),"")</f>
        <v/>
      </c>
      <c r="D100" s="96" t="str">
        <f aca="false">IFERROR(INDEX(Prescrição!$G$8:$G$507,MATCH(29,Prescrição!$U$8:$U$507,0)),"")</f>
        <v/>
      </c>
      <c r="E100" s="97" t="str">
        <f aca="false">IFERROR(INDEX(Prescrição!$J$8:$J$507,MATCH(29,Prescrição!$U$8:$U$507,0)),"")</f>
        <v/>
      </c>
      <c r="F100" s="70" t="str">
        <f aca="false">IFERROR(INDEX(Prescrição!$K$8:$K$507,MATCH(29,Prescrição!$U$8:$U$507,0)),"")</f>
        <v/>
      </c>
      <c r="G100" s="70" t="str">
        <f aca="false">IFERROR(INDEX(Prescrição!$L$8:$L$507,MATCH(29,Prescrição!$U$8:$U$507,0)),"")</f>
        <v/>
      </c>
      <c r="H100" s="97" t="str">
        <f aca="false">IFERROR(INDEX(Prescrição!$M$8:$M$507,MATCH(29,Prescrição!$U$8:$U$507,0)),"")</f>
        <v/>
      </c>
      <c r="I100" s="70" t="str">
        <f aca="false">IFERROR(INDEX(Prescrição!$N$8:$N$507,MATCH(29,Prescrição!$U$8:$U$507,0)),"")</f>
        <v/>
      </c>
      <c r="J100" s="70" t="str">
        <f aca="false">IFERROR(INDEX(Prescrição!$O$8:$O$507,MATCH(29,Prescrição!$U$8:$U$507,0)),"")</f>
        <v/>
      </c>
      <c r="K100" s="70" t="str">
        <f aca="false">IFERROR(INDEX(Prescrição!$P$8:$P$507,MATCH(29,Prescrição!$U$8:$U$507,0)),"")</f>
        <v/>
      </c>
      <c r="L100" s="97" t="str">
        <f aca="false">IFERROR(INDEX(Prescrição!$S$8:$S$507,MATCH(29,Prescrição!$U$8:$U$507,0)),"")</f>
        <v/>
      </c>
      <c r="M100" s="97" t="str">
        <f aca="false">IFERROR(INDEX(Prescrição!$T$8:$T$507,MATCH(29,Prescrição!$U$8:$U$507,0)),"")</f>
        <v/>
      </c>
    </row>
    <row r="101" customFormat="false" ht="15" hidden="false" customHeight="false" outlineLevel="0" collapsed="false">
      <c r="A101" s="98" t="str">
        <f aca="false">IFERROR(INDEX(Prescrição!$A$8:$A$507,MATCH(30,Prescrição!$U$8:$U$507,0)),"")</f>
        <v/>
      </c>
      <c r="B101" s="74" t="str">
        <f aca="false">IFERROR(INDEX(Prescrição!$C$8:$C$507,MATCH(30,Prescrição!$U$8:$U$507,0)),"")</f>
        <v/>
      </c>
      <c r="C101" s="74" t="str">
        <f aca="false">IFERROR(INDEX(Prescrição!$F$8:$F$507,MATCH(30,Prescrição!$U$8:$U$507,0)),"")</f>
        <v/>
      </c>
      <c r="D101" s="99" t="str">
        <f aca="false">IFERROR(INDEX(Prescrição!$G$8:$G$507,MATCH(30,Prescrição!$U$8:$U$507,0)),"")</f>
        <v/>
      </c>
      <c r="E101" s="100" t="str">
        <f aca="false">IFERROR(INDEX(Prescrição!$J$8:$J$507,MATCH(30,Prescrição!$U$8:$U$507,0)),"")</f>
        <v/>
      </c>
      <c r="F101" s="74" t="str">
        <f aca="false">IFERROR(INDEX(Prescrição!$K$8:$K$507,MATCH(30,Prescrição!$U$8:$U$507,0)),"")</f>
        <v/>
      </c>
      <c r="G101" s="74" t="str">
        <f aca="false">IFERROR(INDEX(Prescrição!$L$8:$L$507,MATCH(30,Prescrição!$U$8:$U$507,0)),"")</f>
        <v/>
      </c>
      <c r="H101" s="100" t="str">
        <f aca="false">IFERROR(INDEX(Prescrição!$M$8:$M$507,MATCH(30,Prescrição!$U$8:$U$507,0)),"")</f>
        <v/>
      </c>
      <c r="I101" s="74" t="str">
        <f aca="false">IFERROR(INDEX(Prescrição!$N$8:$N$507,MATCH(30,Prescrição!$U$8:$U$507,0)),"")</f>
        <v/>
      </c>
      <c r="J101" s="74" t="str">
        <f aca="false">IFERROR(INDEX(Prescrição!$O$8:$O$507,MATCH(30,Prescrição!$U$8:$U$507,0)),"")</f>
        <v/>
      </c>
      <c r="K101" s="74" t="str">
        <f aca="false">IFERROR(INDEX(Prescrição!$P$8:$P$507,MATCH(30,Prescrição!$U$8:$U$507,0)),"")</f>
        <v/>
      </c>
      <c r="L101" s="100" t="str">
        <f aca="false">IFERROR(INDEX(Prescrição!$S$8:$S$507,MATCH(30,Prescrição!$U$8:$U$507,0)),"")</f>
        <v/>
      </c>
      <c r="M101" s="100" t="str">
        <f aca="false">IFERROR(INDEX(Prescrição!$T$8:$T$507,MATCH(30,Prescrição!$U$8:$U$507,0)),"")</f>
        <v/>
      </c>
    </row>
    <row r="103" customFormat="false" ht="15" hidden="false" customHeight="true" outlineLevel="0" collapsed="false">
      <c r="A103" s="17" t="s">
        <v>462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</sheetData>
  <mergeCells count="38">
    <mergeCell ref="A1:P1"/>
    <mergeCell ref="A2:P2"/>
    <mergeCell ref="C4:F4"/>
    <mergeCell ref="C5:F5"/>
    <mergeCell ref="A7:P7"/>
    <mergeCell ref="B8:E8"/>
    <mergeCell ref="H8:K8"/>
    <mergeCell ref="N8:Q8"/>
    <mergeCell ref="B9:E9"/>
    <mergeCell ref="H9:K9"/>
    <mergeCell ref="N9:Q9"/>
    <mergeCell ref="B10:E10"/>
    <mergeCell ref="H10:K10"/>
    <mergeCell ref="N10:Q10"/>
    <mergeCell ref="B11:E11"/>
    <mergeCell ref="H11:K11"/>
    <mergeCell ref="N11:Q11"/>
    <mergeCell ref="A13:P13"/>
    <mergeCell ref="A14:B14"/>
    <mergeCell ref="C14:D14"/>
    <mergeCell ref="E14:F14"/>
    <mergeCell ref="G14:H14"/>
    <mergeCell ref="I14:J14"/>
    <mergeCell ref="K14:L14"/>
    <mergeCell ref="M14:N14"/>
    <mergeCell ref="O14:P14"/>
    <mergeCell ref="A15:B15"/>
    <mergeCell ref="C15:D15"/>
    <mergeCell ref="E15:F15"/>
    <mergeCell ref="G15:H15"/>
    <mergeCell ref="I15:J15"/>
    <mergeCell ref="K15:L15"/>
    <mergeCell ref="M15:N15"/>
    <mergeCell ref="O15:P15"/>
    <mergeCell ref="A16:P16"/>
    <mergeCell ref="A18:P18"/>
    <mergeCell ref="A70:P70"/>
    <mergeCell ref="A103:P103"/>
  </mergeCells>
  <conditionalFormatting sqref="N20:N67">
    <cfRule type="cellIs" priority="2" operator="greaterThan" aboveAverage="0" equalAverage="0" bottom="0" percent="0" rank="0" text="" dxfId="7">
      <formula>2</formula>
    </cfRule>
  </conditionalFormatting>
  <conditionalFormatting sqref="J20:J67">
    <cfRule type="colorScale" priority="3">
      <colorScale>
        <cfvo type="min" val="0"/>
        <cfvo type="max" val="0"/>
        <color rgb="FFFFFFFF"/>
        <color rgb="FF9CC3E5"/>
      </colorScale>
    </cfRule>
  </conditionalFormatting>
  <dataValidations count="1">
    <dataValidation allowBlank="true" errorStyle="stop" operator="between" showDropDown="false" showErrorMessage="false" showInputMessage="false" sqref="C4" type="list">
      <formula1>Cadastro!$B$7:$B$66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15C"/>
    <pageSetUpPr fitToPage="true"/>
  </sheetPr>
  <dimension ref="A1:T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"/>
    <col collapsed="false" customWidth="true" hidden="false" outlineLevel="0" max="18" min="11" style="0" width="13"/>
    <col collapsed="false" customWidth="true" hidden="false" outlineLevel="0" max="19" min="19" style="0" width="26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30" hidden="false" customHeight="true" outlineLevel="0" collapsed="false">
      <c r="A1" s="1" t="s">
        <v>463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464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false" outlineLevel="0" collapsed="false">
      <c r="A4" s="29" t="s">
        <v>465</v>
      </c>
      <c r="C4" s="101" t="n">
        <f aca="true">IFERROR(MAX(1,INT((TODAY()-Macrociclo!$C$11)/7)+1),1)</f>
        <v>35</v>
      </c>
      <c r="D4" s="101"/>
    </row>
    <row r="6" customFormat="false" ht="25.5" hidden="false" customHeight="true" outlineLevel="0" collapsed="false">
      <c r="A6" s="57" t="s">
        <v>466</v>
      </c>
      <c r="B6" s="57"/>
      <c r="C6" s="102" t="s">
        <v>467</v>
      </c>
      <c r="D6" s="102"/>
      <c r="E6" s="57" t="s">
        <v>468</v>
      </c>
      <c r="F6" s="57"/>
      <c r="G6" s="57" t="s">
        <v>469</v>
      </c>
      <c r="H6" s="57"/>
      <c r="I6" s="57"/>
      <c r="J6" s="58" t="s">
        <v>470</v>
      </c>
      <c r="K6" s="58"/>
      <c r="L6" s="58"/>
      <c r="M6" s="58" t="s">
        <v>471</v>
      </c>
      <c r="N6" s="58"/>
      <c r="O6" s="58"/>
      <c r="P6" s="102" t="s">
        <v>472</v>
      </c>
      <c r="Q6" s="102"/>
      <c r="R6" s="82" t="s">
        <v>473</v>
      </c>
      <c r="S6" s="82"/>
      <c r="T6" s="82"/>
    </row>
    <row r="7" customFormat="false" ht="30" hidden="false" customHeight="true" outlineLevel="0" collapsed="false">
      <c r="A7" s="59" t="n">
        <f aca="false">COUNTIF(Cadastro!$T$7:$T$66,"Ativo")</f>
        <v>0</v>
      </c>
      <c r="B7" s="59"/>
      <c r="C7" s="103" t="n">
        <f aca="false">COUNTIF(Cadastro!$T$7:$T$66,"Lesionado")+COUNTIF(Cadastro!$T$7:$T$66,"Departamento Médico")</f>
        <v>0</v>
      </c>
      <c r="D7" s="103"/>
      <c r="E7" s="59" t="n">
        <f aca="false">COUNT('Carga (PSE)'!$A$8:$A$1007)</f>
        <v>0</v>
      </c>
      <c r="F7" s="59"/>
      <c r="G7" s="60" t="n">
        <f aca="false">SUM('Carga (PSE)'!$G$8:$G$1007)</f>
        <v>0</v>
      </c>
      <c r="H7" s="60"/>
      <c r="I7" s="60"/>
      <c r="J7" s="61" t="n">
        <f aca="false">SUMIFS('Carga (PSE)'!$G$8:$G$1007,'Carga (PSE)'!$B$8:$B$1007,$C$4)</f>
        <v>0</v>
      </c>
      <c r="K7" s="61"/>
      <c r="L7" s="61"/>
      <c r="M7" s="61" t="n">
        <f aca="false">IFERROR(J7/MAX(1,COUNTIF(Cadastro!$T$7:$T$66,"Ativo")),0)</f>
        <v>0</v>
      </c>
      <c r="N7" s="61"/>
      <c r="O7" s="61"/>
      <c r="P7" s="103" t="n">
        <f aca="false">COUNTIFS('Carga (PSE)'!$B$8:$B$1007,$C$4,'Carga (PSE)'!$J$8:$J$1007,"&gt;1.5")</f>
        <v>0</v>
      </c>
      <c r="Q7" s="103"/>
      <c r="R7" s="85" t="n">
        <f aca="false">IFERROR(AVERAGEIFS(Wellness!$H$8:$H$1007,Wellness!$B$8:$B$1007,$C$4),0)</f>
        <v>0</v>
      </c>
      <c r="S7" s="85"/>
      <c r="T7" s="85"/>
    </row>
    <row r="9" customFormat="false" ht="19.5" hidden="false" customHeight="true" outlineLevel="0" collapsed="false">
      <c r="A9" s="3" t="s">
        <v>474</v>
      </c>
      <c r="B9" s="3"/>
      <c r="C9" s="3"/>
      <c r="D9" s="3"/>
      <c r="E9" s="3"/>
      <c r="F9" s="3"/>
      <c r="G9" s="3"/>
      <c r="H9" s="3"/>
      <c r="I9" s="3"/>
    </row>
    <row r="10" customFormat="false" ht="31.5" hidden="false" customHeight="true" outlineLevel="0" collapsed="false">
      <c r="A10" s="18" t="s">
        <v>370</v>
      </c>
      <c r="B10" s="18" t="s">
        <v>448</v>
      </c>
      <c r="C10" s="18" t="s">
        <v>475</v>
      </c>
      <c r="D10" s="18" t="s">
        <v>476</v>
      </c>
      <c r="E10" s="18" t="s">
        <v>409</v>
      </c>
      <c r="F10" s="18" t="s">
        <v>477</v>
      </c>
      <c r="G10" s="18" t="s">
        <v>478</v>
      </c>
      <c r="H10" s="18" t="s">
        <v>479</v>
      </c>
      <c r="I10" s="18" t="s">
        <v>411</v>
      </c>
    </row>
    <row r="11" customFormat="false" ht="15" hidden="false" customHeight="false" outlineLevel="0" collapsed="false">
      <c r="A11" s="70" t="n">
        <v>1</v>
      </c>
      <c r="B11" s="87" t="n">
        <f aca="false">IF(Macrociclo!$C$11="","",Macrociclo!$C$11+($A11-1)*7)</f>
        <v>46027</v>
      </c>
      <c r="C11" s="48" t="n">
        <f aca="false">SUMIFS('Carga (PSE)'!$G$8:$G$1007,'Carga (PSE)'!$B$8:$B$1007,$A11)</f>
        <v>0</v>
      </c>
      <c r="D11" s="88" t="n">
        <f aca="false">IFERROR($C11/MAX(1,COUNTIF(Cadastro!$T$7:$T$66,"Ativo")),0)</f>
        <v>0</v>
      </c>
      <c r="E11" s="69" t="n">
        <f aca="false">COUNTIFS('Carga (PSE)'!$B$8:$B$1007,$A11)</f>
        <v>0</v>
      </c>
      <c r="F11" s="89" t="n">
        <f aca="false">IFERROR(AVERAGEIFS('Carga (PSE)'!$F$8:$F$1007,'Carga (PSE)'!$B$8:$B$1007,$A11),0)</f>
        <v>0</v>
      </c>
      <c r="G11" s="89" t="n">
        <f aca="false">IFERROR(AVERAGEIFS(Wellness!$H$8:$H$1007,Wellness!$B$8:$B$1007,$A11),0)</f>
        <v>0</v>
      </c>
      <c r="H11" s="89" t="n">
        <f aca="false">IFERROR(AVERAGEIFS('Carga (PSE)'!$J$8:$J$1007,'Carga (PSE)'!$B$8:$B$1007,$A11),0)</f>
        <v>0</v>
      </c>
      <c r="I11" s="104" t="n">
        <f aca="false">IFERROR(COUNTIFS(Presença!$B$8:$B$1007,$A11,Presença!$E$8:$E$1007,"Presente")/MAX(1,COUNTIFS(Presença!$B$8:$B$1007,$A11)),0)</f>
        <v>0</v>
      </c>
    </row>
    <row r="12" customFormat="false" ht="15" hidden="false" customHeight="false" outlineLevel="0" collapsed="false">
      <c r="A12" s="74" t="n">
        <v>2</v>
      </c>
      <c r="B12" s="90" t="n">
        <f aca="false">IF(Macrociclo!$C$11="","",Macrociclo!$C$11+($A12-1)*7)</f>
        <v>46034</v>
      </c>
      <c r="C12" s="92" t="n">
        <f aca="false">SUMIFS('Carga (PSE)'!$G$8:$G$1007,'Carga (PSE)'!$B$8:$B$1007,$A12)</f>
        <v>0</v>
      </c>
      <c r="D12" s="91" t="n">
        <f aca="false">IFERROR($C12/MAX(1,COUNTIF(Cadastro!$T$7:$T$66,"Ativo")),0)</f>
        <v>0</v>
      </c>
      <c r="E12" s="72" t="n">
        <f aca="false">COUNTIFS('Carga (PSE)'!$B$8:$B$1007,$A12)</f>
        <v>0</v>
      </c>
      <c r="F12" s="93" t="n">
        <f aca="false">IFERROR(AVERAGEIFS('Carga (PSE)'!$F$8:$F$1007,'Carga (PSE)'!$B$8:$B$1007,$A12),0)</f>
        <v>0</v>
      </c>
      <c r="G12" s="93" t="n">
        <f aca="false">IFERROR(AVERAGEIFS(Wellness!$H$8:$H$1007,Wellness!$B$8:$B$1007,$A12),0)</f>
        <v>0</v>
      </c>
      <c r="H12" s="93" t="n">
        <f aca="false">IFERROR(AVERAGEIFS('Carga (PSE)'!$J$8:$J$1007,'Carga (PSE)'!$B$8:$B$1007,$A12),0)</f>
        <v>0</v>
      </c>
      <c r="I12" s="105" t="n">
        <f aca="false">IFERROR(COUNTIFS(Presença!$B$8:$B$1007,$A12,Presença!$E$8:$E$1007,"Presente")/MAX(1,COUNTIFS(Presença!$B$8:$B$1007,$A12)),0)</f>
        <v>0</v>
      </c>
    </row>
    <row r="13" customFormat="false" ht="15" hidden="false" customHeight="false" outlineLevel="0" collapsed="false">
      <c r="A13" s="70" t="n">
        <v>3</v>
      </c>
      <c r="B13" s="87" t="n">
        <f aca="false">IF(Macrociclo!$C$11="","",Macrociclo!$C$11+($A13-1)*7)</f>
        <v>46041</v>
      </c>
      <c r="C13" s="48" t="n">
        <f aca="false">SUMIFS('Carga (PSE)'!$G$8:$G$1007,'Carga (PSE)'!$B$8:$B$1007,$A13)</f>
        <v>0</v>
      </c>
      <c r="D13" s="88" t="n">
        <f aca="false">IFERROR($C13/MAX(1,COUNTIF(Cadastro!$T$7:$T$66,"Ativo")),0)</f>
        <v>0</v>
      </c>
      <c r="E13" s="69" t="n">
        <f aca="false">COUNTIFS('Carga (PSE)'!$B$8:$B$1007,$A13)</f>
        <v>0</v>
      </c>
      <c r="F13" s="89" t="n">
        <f aca="false">IFERROR(AVERAGEIFS('Carga (PSE)'!$F$8:$F$1007,'Carga (PSE)'!$B$8:$B$1007,$A13),0)</f>
        <v>0</v>
      </c>
      <c r="G13" s="89" t="n">
        <f aca="false">IFERROR(AVERAGEIFS(Wellness!$H$8:$H$1007,Wellness!$B$8:$B$1007,$A13),0)</f>
        <v>0</v>
      </c>
      <c r="H13" s="89" t="n">
        <f aca="false">IFERROR(AVERAGEIFS('Carga (PSE)'!$J$8:$J$1007,'Carga (PSE)'!$B$8:$B$1007,$A13),0)</f>
        <v>0</v>
      </c>
      <c r="I13" s="104" t="n">
        <f aca="false">IFERROR(COUNTIFS(Presença!$B$8:$B$1007,$A13,Presença!$E$8:$E$1007,"Presente")/MAX(1,COUNTIFS(Presença!$B$8:$B$1007,$A13)),0)</f>
        <v>0</v>
      </c>
    </row>
    <row r="14" customFormat="false" ht="15" hidden="false" customHeight="false" outlineLevel="0" collapsed="false">
      <c r="A14" s="74" t="n">
        <v>4</v>
      </c>
      <c r="B14" s="90" t="n">
        <f aca="false">IF(Macrociclo!$C$11="","",Macrociclo!$C$11+($A14-1)*7)</f>
        <v>46048</v>
      </c>
      <c r="C14" s="92" t="n">
        <f aca="false">SUMIFS('Carga (PSE)'!$G$8:$G$1007,'Carga (PSE)'!$B$8:$B$1007,$A14)</f>
        <v>0</v>
      </c>
      <c r="D14" s="91" t="n">
        <f aca="false">IFERROR($C14/MAX(1,COUNTIF(Cadastro!$T$7:$T$66,"Ativo")),0)</f>
        <v>0</v>
      </c>
      <c r="E14" s="72" t="n">
        <f aca="false">COUNTIFS('Carga (PSE)'!$B$8:$B$1007,$A14)</f>
        <v>0</v>
      </c>
      <c r="F14" s="93" t="n">
        <f aca="false">IFERROR(AVERAGEIFS('Carga (PSE)'!$F$8:$F$1007,'Carga (PSE)'!$B$8:$B$1007,$A14),0)</f>
        <v>0</v>
      </c>
      <c r="G14" s="93" t="n">
        <f aca="false">IFERROR(AVERAGEIFS(Wellness!$H$8:$H$1007,Wellness!$B$8:$B$1007,$A14),0)</f>
        <v>0</v>
      </c>
      <c r="H14" s="93" t="n">
        <f aca="false">IFERROR(AVERAGEIFS('Carga (PSE)'!$J$8:$J$1007,'Carga (PSE)'!$B$8:$B$1007,$A14),0)</f>
        <v>0</v>
      </c>
      <c r="I14" s="105" t="n">
        <f aca="false">IFERROR(COUNTIFS(Presença!$B$8:$B$1007,$A14,Presença!$E$8:$E$1007,"Presente")/MAX(1,COUNTIFS(Presença!$B$8:$B$1007,$A14)),0)</f>
        <v>0</v>
      </c>
    </row>
    <row r="15" customFormat="false" ht="15" hidden="false" customHeight="false" outlineLevel="0" collapsed="false">
      <c r="A15" s="70" t="n">
        <v>5</v>
      </c>
      <c r="B15" s="87" t="n">
        <f aca="false">IF(Macrociclo!$C$11="","",Macrociclo!$C$11+($A15-1)*7)</f>
        <v>46055</v>
      </c>
      <c r="C15" s="48" t="n">
        <f aca="false">SUMIFS('Carga (PSE)'!$G$8:$G$1007,'Carga (PSE)'!$B$8:$B$1007,$A15)</f>
        <v>0</v>
      </c>
      <c r="D15" s="88" t="n">
        <f aca="false">IFERROR($C15/MAX(1,COUNTIF(Cadastro!$T$7:$T$66,"Ativo")),0)</f>
        <v>0</v>
      </c>
      <c r="E15" s="69" t="n">
        <f aca="false">COUNTIFS('Carga (PSE)'!$B$8:$B$1007,$A15)</f>
        <v>0</v>
      </c>
      <c r="F15" s="89" t="n">
        <f aca="false">IFERROR(AVERAGEIFS('Carga (PSE)'!$F$8:$F$1007,'Carga (PSE)'!$B$8:$B$1007,$A15),0)</f>
        <v>0</v>
      </c>
      <c r="G15" s="89" t="n">
        <f aca="false">IFERROR(AVERAGEIFS(Wellness!$H$8:$H$1007,Wellness!$B$8:$B$1007,$A15),0)</f>
        <v>0</v>
      </c>
      <c r="H15" s="89" t="n">
        <f aca="false">IFERROR(AVERAGEIFS('Carga (PSE)'!$J$8:$J$1007,'Carga (PSE)'!$B$8:$B$1007,$A15),0)</f>
        <v>0</v>
      </c>
      <c r="I15" s="104" t="n">
        <f aca="false">IFERROR(COUNTIFS(Presença!$B$8:$B$1007,$A15,Presença!$E$8:$E$1007,"Presente")/MAX(1,COUNTIFS(Presença!$B$8:$B$1007,$A15)),0)</f>
        <v>0</v>
      </c>
    </row>
    <row r="16" customFormat="false" ht="15" hidden="false" customHeight="false" outlineLevel="0" collapsed="false">
      <c r="A16" s="74" t="n">
        <v>6</v>
      </c>
      <c r="B16" s="90" t="n">
        <f aca="false">IF(Macrociclo!$C$11="","",Macrociclo!$C$11+($A16-1)*7)</f>
        <v>46062</v>
      </c>
      <c r="C16" s="92" t="n">
        <f aca="false">SUMIFS('Carga (PSE)'!$G$8:$G$1007,'Carga (PSE)'!$B$8:$B$1007,$A16)</f>
        <v>0</v>
      </c>
      <c r="D16" s="91" t="n">
        <f aca="false">IFERROR($C16/MAX(1,COUNTIF(Cadastro!$T$7:$T$66,"Ativo")),0)</f>
        <v>0</v>
      </c>
      <c r="E16" s="72" t="n">
        <f aca="false">COUNTIFS('Carga (PSE)'!$B$8:$B$1007,$A16)</f>
        <v>0</v>
      </c>
      <c r="F16" s="93" t="n">
        <f aca="false">IFERROR(AVERAGEIFS('Carga (PSE)'!$F$8:$F$1007,'Carga (PSE)'!$B$8:$B$1007,$A16),0)</f>
        <v>0</v>
      </c>
      <c r="G16" s="93" t="n">
        <f aca="false">IFERROR(AVERAGEIFS(Wellness!$H$8:$H$1007,Wellness!$B$8:$B$1007,$A16),0)</f>
        <v>0</v>
      </c>
      <c r="H16" s="93" t="n">
        <f aca="false">IFERROR(AVERAGEIFS('Carga (PSE)'!$J$8:$J$1007,'Carga (PSE)'!$B$8:$B$1007,$A16),0)</f>
        <v>0</v>
      </c>
      <c r="I16" s="105" t="n">
        <f aca="false">IFERROR(COUNTIFS(Presença!$B$8:$B$1007,$A16,Presença!$E$8:$E$1007,"Presente")/MAX(1,COUNTIFS(Presença!$B$8:$B$1007,$A16)),0)</f>
        <v>0</v>
      </c>
    </row>
    <row r="17" customFormat="false" ht="15" hidden="false" customHeight="false" outlineLevel="0" collapsed="false">
      <c r="A17" s="70" t="n">
        <v>7</v>
      </c>
      <c r="B17" s="87" t="n">
        <f aca="false">IF(Macrociclo!$C$11="","",Macrociclo!$C$11+($A17-1)*7)</f>
        <v>46069</v>
      </c>
      <c r="C17" s="48" t="n">
        <f aca="false">SUMIFS('Carga (PSE)'!$G$8:$G$1007,'Carga (PSE)'!$B$8:$B$1007,$A17)</f>
        <v>0</v>
      </c>
      <c r="D17" s="88" t="n">
        <f aca="false">IFERROR($C17/MAX(1,COUNTIF(Cadastro!$T$7:$T$66,"Ativo")),0)</f>
        <v>0</v>
      </c>
      <c r="E17" s="69" t="n">
        <f aca="false">COUNTIFS('Carga (PSE)'!$B$8:$B$1007,$A17)</f>
        <v>0</v>
      </c>
      <c r="F17" s="89" t="n">
        <f aca="false">IFERROR(AVERAGEIFS('Carga (PSE)'!$F$8:$F$1007,'Carga (PSE)'!$B$8:$B$1007,$A17),0)</f>
        <v>0</v>
      </c>
      <c r="G17" s="89" t="n">
        <f aca="false">IFERROR(AVERAGEIFS(Wellness!$H$8:$H$1007,Wellness!$B$8:$B$1007,$A17),0)</f>
        <v>0</v>
      </c>
      <c r="H17" s="89" t="n">
        <f aca="false">IFERROR(AVERAGEIFS('Carga (PSE)'!$J$8:$J$1007,'Carga (PSE)'!$B$8:$B$1007,$A17),0)</f>
        <v>0</v>
      </c>
      <c r="I17" s="104" t="n">
        <f aca="false">IFERROR(COUNTIFS(Presença!$B$8:$B$1007,$A17,Presença!$E$8:$E$1007,"Presente")/MAX(1,COUNTIFS(Presença!$B$8:$B$1007,$A17)),0)</f>
        <v>0</v>
      </c>
    </row>
    <row r="18" customFormat="false" ht="15" hidden="false" customHeight="false" outlineLevel="0" collapsed="false">
      <c r="A18" s="74" t="n">
        <v>8</v>
      </c>
      <c r="B18" s="90" t="n">
        <f aca="false">IF(Macrociclo!$C$11="","",Macrociclo!$C$11+($A18-1)*7)</f>
        <v>46076</v>
      </c>
      <c r="C18" s="92" t="n">
        <f aca="false">SUMIFS('Carga (PSE)'!$G$8:$G$1007,'Carga (PSE)'!$B$8:$B$1007,$A18)</f>
        <v>0</v>
      </c>
      <c r="D18" s="91" t="n">
        <f aca="false">IFERROR($C18/MAX(1,COUNTIF(Cadastro!$T$7:$T$66,"Ativo")),0)</f>
        <v>0</v>
      </c>
      <c r="E18" s="72" t="n">
        <f aca="false">COUNTIFS('Carga (PSE)'!$B$8:$B$1007,$A18)</f>
        <v>0</v>
      </c>
      <c r="F18" s="93" t="n">
        <f aca="false">IFERROR(AVERAGEIFS('Carga (PSE)'!$F$8:$F$1007,'Carga (PSE)'!$B$8:$B$1007,$A18),0)</f>
        <v>0</v>
      </c>
      <c r="G18" s="93" t="n">
        <f aca="false">IFERROR(AVERAGEIFS(Wellness!$H$8:$H$1007,Wellness!$B$8:$B$1007,$A18),0)</f>
        <v>0</v>
      </c>
      <c r="H18" s="93" t="n">
        <f aca="false">IFERROR(AVERAGEIFS('Carga (PSE)'!$J$8:$J$1007,'Carga (PSE)'!$B$8:$B$1007,$A18),0)</f>
        <v>0</v>
      </c>
      <c r="I18" s="105" t="n">
        <f aca="false">IFERROR(COUNTIFS(Presença!$B$8:$B$1007,$A18,Presença!$E$8:$E$1007,"Presente")/MAX(1,COUNTIFS(Presença!$B$8:$B$1007,$A18)),0)</f>
        <v>0</v>
      </c>
    </row>
    <row r="19" customFormat="false" ht="15" hidden="false" customHeight="false" outlineLevel="0" collapsed="false">
      <c r="A19" s="70" t="n">
        <v>9</v>
      </c>
      <c r="B19" s="87" t="n">
        <f aca="false">IF(Macrociclo!$C$11="","",Macrociclo!$C$11+($A19-1)*7)</f>
        <v>46083</v>
      </c>
      <c r="C19" s="48" t="n">
        <f aca="false">SUMIFS('Carga (PSE)'!$G$8:$G$1007,'Carga (PSE)'!$B$8:$B$1007,$A19)</f>
        <v>0</v>
      </c>
      <c r="D19" s="88" t="n">
        <f aca="false">IFERROR($C19/MAX(1,COUNTIF(Cadastro!$T$7:$T$66,"Ativo")),0)</f>
        <v>0</v>
      </c>
      <c r="E19" s="69" t="n">
        <f aca="false">COUNTIFS('Carga (PSE)'!$B$8:$B$1007,$A19)</f>
        <v>0</v>
      </c>
      <c r="F19" s="89" t="n">
        <f aca="false">IFERROR(AVERAGEIFS('Carga (PSE)'!$F$8:$F$1007,'Carga (PSE)'!$B$8:$B$1007,$A19),0)</f>
        <v>0</v>
      </c>
      <c r="G19" s="89" t="n">
        <f aca="false">IFERROR(AVERAGEIFS(Wellness!$H$8:$H$1007,Wellness!$B$8:$B$1007,$A19),0)</f>
        <v>0</v>
      </c>
      <c r="H19" s="89" t="n">
        <f aca="false">IFERROR(AVERAGEIFS('Carga (PSE)'!$J$8:$J$1007,'Carga (PSE)'!$B$8:$B$1007,$A19),0)</f>
        <v>0</v>
      </c>
      <c r="I19" s="104" t="n">
        <f aca="false">IFERROR(COUNTIFS(Presença!$B$8:$B$1007,$A19,Presença!$E$8:$E$1007,"Presente")/MAX(1,COUNTIFS(Presença!$B$8:$B$1007,$A19)),0)</f>
        <v>0</v>
      </c>
    </row>
    <row r="20" customFormat="false" ht="15" hidden="false" customHeight="false" outlineLevel="0" collapsed="false">
      <c r="A20" s="74" t="n">
        <v>10</v>
      </c>
      <c r="B20" s="90" t="n">
        <f aca="false">IF(Macrociclo!$C$11="","",Macrociclo!$C$11+($A20-1)*7)</f>
        <v>46090</v>
      </c>
      <c r="C20" s="92" t="n">
        <f aca="false">SUMIFS('Carga (PSE)'!$G$8:$G$1007,'Carga (PSE)'!$B$8:$B$1007,$A20)</f>
        <v>0</v>
      </c>
      <c r="D20" s="91" t="n">
        <f aca="false">IFERROR($C20/MAX(1,COUNTIF(Cadastro!$T$7:$T$66,"Ativo")),0)</f>
        <v>0</v>
      </c>
      <c r="E20" s="72" t="n">
        <f aca="false">COUNTIFS('Carga (PSE)'!$B$8:$B$1007,$A20)</f>
        <v>0</v>
      </c>
      <c r="F20" s="93" t="n">
        <f aca="false">IFERROR(AVERAGEIFS('Carga (PSE)'!$F$8:$F$1007,'Carga (PSE)'!$B$8:$B$1007,$A20),0)</f>
        <v>0</v>
      </c>
      <c r="G20" s="93" t="n">
        <f aca="false">IFERROR(AVERAGEIFS(Wellness!$H$8:$H$1007,Wellness!$B$8:$B$1007,$A20),0)</f>
        <v>0</v>
      </c>
      <c r="H20" s="93" t="n">
        <f aca="false">IFERROR(AVERAGEIFS('Carga (PSE)'!$J$8:$J$1007,'Carga (PSE)'!$B$8:$B$1007,$A20),0)</f>
        <v>0</v>
      </c>
      <c r="I20" s="105" t="n">
        <f aca="false">IFERROR(COUNTIFS(Presença!$B$8:$B$1007,$A20,Presença!$E$8:$E$1007,"Presente")/MAX(1,COUNTIFS(Presença!$B$8:$B$1007,$A20)),0)</f>
        <v>0</v>
      </c>
    </row>
    <row r="21" customFormat="false" ht="15" hidden="false" customHeight="false" outlineLevel="0" collapsed="false">
      <c r="A21" s="70" t="n">
        <v>11</v>
      </c>
      <c r="B21" s="87" t="n">
        <f aca="false">IF(Macrociclo!$C$11="","",Macrociclo!$C$11+($A21-1)*7)</f>
        <v>46097</v>
      </c>
      <c r="C21" s="48" t="n">
        <f aca="false">SUMIFS('Carga (PSE)'!$G$8:$G$1007,'Carga (PSE)'!$B$8:$B$1007,$A21)</f>
        <v>0</v>
      </c>
      <c r="D21" s="88" t="n">
        <f aca="false">IFERROR($C21/MAX(1,COUNTIF(Cadastro!$T$7:$T$66,"Ativo")),0)</f>
        <v>0</v>
      </c>
      <c r="E21" s="69" t="n">
        <f aca="false">COUNTIFS('Carga (PSE)'!$B$8:$B$1007,$A21)</f>
        <v>0</v>
      </c>
      <c r="F21" s="89" t="n">
        <f aca="false">IFERROR(AVERAGEIFS('Carga (PSE)'!$F$8:$F$1007,'Carga (PSE)'!$B$8:$B$1007,$A21),0)</f>
        <v>0</v>
      </c>
      <c r="G21" s="89" t="n">
        <f aca="false">IFERROR(AVERAGEIFS(Wellness!$H$8:$H$1007,Wellness!$B$8:$B$1007,$A21),0)</f>
        <v>0</v>
      </c>
      <c r="H21" s="89" t="n">
        <f aca="false">IFERROR(AVERAGEIFS('Carga (PSE)'!$J$8:$J$1007,'Carga (PSE)'!$B$8:$B$1007,$A21),0)</f>
        <v>0</v>
      </c>
      <c r="I21" s="104" t="n">
        <f aca="false">IFERROR(COUNTIFS(Presença!$B$8:$B$1007,$A21,Presença!$E$8:$E$1007,"Presente")/MAX(1,COUNTIFS(Presença!$B$8:$B$1007,$A21)),0)</f>
        <v>0</v>
      </c>
    </row>
    <row r="22" customFormat="false" ht="15" hidden="false" customHeight="false" outlineLevel="0" collapsed="false">
      <c r="A22" s="74" t="n">
        <v>12</v>
      </c>
      <c r="B22" s="90" t="n">
        <f aca="false">IF(Macrociclo!$C$11="","",Macrociclo!$C$11+($A22-1)*7)</f>
        <v>46104</v>
      </c>
      <c r="C22" s="92" t="n">
        <f aca="false">SUMIFS('Carga (PSE)'!$G$8:$G$1007,'Carga (PSE)'!$B$8:$B$1007,$A22)</f>
        <v>0</v>
      </c>
      <c r="D22" s="91" t="n">
        <f aca="false">IFERROR($C22/MAX(1,COUNTIF(Cadastro!$T$7:$T$66,"Ativo")),0)</f>
        <v>0</v>
      </c>
      <c r="E22" s="72" t="n">
        <f aca="false">COUNTIFS('Carga (PSE)'!$B$8:$B$1007,$A22)</f>
        <v>0</v>
      </c>
      <c r="F22" s="93" t="n">
        <f aca="false">IFERROR(AVERAGEIFS('Carga (PSE)'!$F$8:$F$1007,'Carga (PSE)'!$B$8:$B$1007,$A22),0)</f>
        <v>0</v>
      </c>
      <c r="G22" s="93" t="n">
        <f aca="false">IFERROR(AVERAGEIFS(Wellness!$H$8:$H$1007,Wellness!$B$8:$B$1007,$A22),0)</f>
        <v>0</v>
      </c>
      <c r="H22" s="93" t="n">
        <f aca="false">IFERROR(AVERAGEIFS('Carga (PSE)'!$J$8:$J$1007,'Carga (PSE)'!$B$8:$B$1007,$A22),0)</f>
        <v>0</v>
      </c>
      <c r="I22" s="105" t="n">
        <f aca="false">IFERROR(COUNTIFS(Presença!$B$8:$B$1007,$A22,Presença!$E$8:$E$1007,"Presente")/MAX(1,COUNTIFS(Presença!$B$8:$B$1007,$A22)),0)</f>
        <v>0</v>
      </c>
    </row>
    <row r="23" customFormat="false" ht="15" hidden="false" customHeight="false" outlineLevel="0" collapsed="false">
      <c r="A23" s="70" t="n">
        <v>13</v>
      </c>
      <c r="B23" s="87" t="n">
        <f aca="false">IF(Macrociclo!$C$11="","",Macrociclo!$C$11+($A23-1)*7)</f>
        <v>46111</v>
      </c>
      <c r="C23" s="48" t="n">
        <f aca="false">SUMIFS('Carga (PSE)'!$G$8:$G$1007,'Carga (PSE)'!$B$8:$B$1007,$A23)</f>
        <v>0</v>
      </c>
      <c r="D23" s="88" t="n">
        <f aca="false">IFERROR($C23/MAX(1,COUNTIF(Cadastro!$T$7:$T$66,"Ativo")),0)</f>
        <v>0</v>
      </c>
      <c r="E23" s="69" t="n">
        <f aca="false">COUNTIFS('Carga (PSE)'!$B$8:$B$1007,$A23)</f>
        <v>0</v>
      </c>
      <c r="F23" s="89" t="n">
        <f aca="false">IFERROR(AVERAGEIFS('Carga (PSE)'!$F$8:$F$1007,'Carga (PSE)'!$B$8:$B$1007,$A23),0)</f>
        <v>0</v>
      </c>
      <c r="G23" s="89" t="n">
        <f aca="false">IFERROR(AVERAGEIFS(Wellness!$H$8:$H$1007,Wellness!$B$8:$B$1007,$A23),0)</f>
        <v>0</v>
      </c>
      <c r="H23" s="89" t="n">
        <f aca="false">IFERROR(AVERAGEIFS('Carga (PSE)'!$J$8:$J$1007,'Carga (PSE)'!$B$8:$B$1007,$A23),0)</f>
        <v>0</v>
      </c>
      <c r="I23" s="104" t="n">
        <f aca="false">IFERROR(COUNTIFS(Presença!$B$8:$B$1007,$A23,Presença!$E$8:$E$1007,"Presente")/MAX(1,COUNTIFS(Presença!$B$8:$B$1007,$A23)),0)</f>
        <v>0</v>
      </c>
    </row>
    <row r="24" customFormat="false" ht="15" hidden="false" customHeight="false" outlineLevel="0" collapsed="false">
      <c r="A24" s="74" t="n">
        <v>14</v>
      </c>
      <c r="B24" s="90" t="n">
        <f aca="false">IF(Macrociclo!$C$11="","",Macrociclo!$C$11+($A24-1)*7)</f>
        <v>46118</v>
      </c>
      <c r="C24" s="92" t="n">
        <f aca="false">SUMIFS('Carga (PSE)'!$G$8:$G$1007,'Carga (PSE)'!$B$8:$B$1007,$A24)</f>
        <v>0</v>
      </c>
      <c r="D24" s="91" t="n">
        <f aca="false">IFERROR($C24/MAX(1,COUNTIF(Cadastro!$T$7:$T$66,"Ativo")),0)</f>
        <v>0</v>
      </c>
      <c r="E24" s="72" t="n">
        <f aca="false">COUNTIFS('Carga (PSE)'!$B$8:$B$1007,$A24)</f>
        <v>0</v>
      </c>
      <c r="F24" s="93" t="n">
        <f aca="false">IFERROR(AVERAGEIFS('Carga (PSE)'!$F$8:$F$1007,'Carga (PSE)'!$B$8:$B$1007,$A24),0)</f>
        <v>0</v>
      </c>
      <c r="G24" s="93" t="n">
        <f aca="false">IFERROR(AVERAGEIFS(Wellness!$H$8:$H$1007,Wellness!$B$8:$B$1007,$A24),0)</f>
        <v>0</v>
      </c>
      <c r="H24" s="93" t="n">
        <f aca="false">IFERROR(AVERAGEIFS('Carga (PSE)'!$J$8:$J$1007,'Carga (PSE)'!$B$8:$B$1007,$A24),0)</f>
        <v>0</v>
      </c>
      <c r="I24" s="105" t="n">
        <f aca="false">IFERROR(COUNTIFS(Presença!$B$8:$B$1007,$A24,Presença!$E$8:$E$1007,"Presente")/MAX(1,COUNTIFS(Presença!$B$8:$B$1007,$A24)),0)</f>
        <v>0</v>
      </c>
    </row>
    <row r="25" customFormat="false" ht="15" hidden="false" customHeight="false" outlineLevel="0" collapsed="false">
      <c r="A25" s="70" t="n">
        <v>15</v>
      </c>
      <c r="B25" s="87" t="n">
        <f aca="false">IF(Macrociclo!$C$11="","",Macrociclo!$C$11+($A25-1)*7)</f>
        <v>46125</v>
      </c>
      <c r="C25" s="48" t="n">
        <f aca="false">SUMIFS('Carga (PSE)'!$G$8:$G$1007,'Carga (PSE)'!$B$8:$B$1007,$A25)</f>
        <v>0</v>
      </c>
      <c r="D25" s="88" t="n">
        <f aca="false">IFERROR($C25/MAX(1,COUNTIF(Cadastro!$T$7:$T$66,"Ativo")),0)</f>
        <v>0</v>
      </c>
      <c r="E25" s="69" t="n">
        <f aca="false">COUNTIFS('Carga (PSE)'!$B$8:$B$1007,$A25)</f>
        <v>0</v>
      </c>
      <c r="F25" s="89" t="n">
        <f aca="false">IFERROR(AVERAGEIFS('Carga (PSE)'!$F$8:$F$1007,'Carga (PSE)'!$B$8:$B$1007,$A25),0)</f>
        <v>0</v>
      </c>
      <c r="G25" s="89" t="n">
        <f aca="false">IFERROR(AVERAGEIFS(Wellness!$H$8:$H$1007,Wellness!$B$8:$B$1007,$A25),0)</f>
        <v>0</v>
      </c>
      <c r="H25" s="89" t="n">
        <f aca="false">IFERROR(AVERAGEIFS('Carga (PSE)'!$J$8:$J$1007,'Carga (PSE)'!$B$8:$B$1007,$A25),0)</f>
        <v>0</v>
      </c>
      <c r="I25" s="104" t="n">
        <f aca="false">IFERROR(COUNTIFS(Presença!$B$8:$B$1007,$A25,Presença!$E$8:$E$1007,"Presente")/MAX(1,COUNTIFS(Presença!$B$8:$B$1007,$A25)),0)</f>
        <v>0</v>
      </c>
    </row>
    <row r="26" customFormat="false" ht="15" hidden="false" customHeight="false" outlineLevel="0" collapsed="false">
      <c r="A26" s="74" t="n">
        <v>16</v>
      </c>
      <c r="B26" s="90" t="n">
        <f aca="false">IF(Macrociclo!$C$11="","",Macrociclo!$C$11+($A26-1)*7)</f>
        <v>46132</v>
      </c>
      <c r="C26" s="92" t="n">
        <f aca="false">SUMIFS('Carga (PSE)'!$G$8:$G$1007,'Carga (PSE)'!$B$8:$B$1007,$A26)</f>
        <v>0</v>
      </c>
      <c r="D26" s="91" t="n">
        <f aca="false">IFERROR($C26/MAX(1,COUNTIF(Cadastro!$T$7:$T$66,"Ativo")),0)</f>
        <v>0</v>
      </c>
      <c r="E26" s="72" t="n">
        <f aca="false">COUNTIFS('Carga (PSE)'!$B$8:$B$1007,$A26)</f>
        <v>0</v>
      </c>
      <c r="F26" s="93" t="n">
        <f aca="false">IFERROR(AVERAGEIFS('Carga (PSE)'!$F$8:$F$1007,'Carga (PSE)'!$B$8:$B$1007,$A26),0)</f>
        <v>0</v>
      </c>
      <c r="G26" s="93" t="n">
        <f aca="false">IFERROR(AVERAGEIFS(Wellness!$H$8:$H$1007,Wellness!$B$8:$B$1007,$A26),0)</f>
        <v>0</v>
      </c>
      <c r="H26" s="93" t="n">
        <f aca="false">IFERROR(AVERAGEIFS('Carga (PSE)'!$J$8:$J$1007,'Carga (PSE)'!$B$8:$B$1007,$A26),0)</f>
        <v>0</v>
      </c>
      <c r="I26" s="105" t="n">
        <f aca="false">IFERROR(COUNTIFS(Presença!$B$8:$B$1007,$A26,Presença!$E$8:$E$1007,"Presente")/MAX(1,COUNTIFS(Presença!$B$8:$B$1007,$A26)),0)</f>
        <v>0</v>
      </c>
    </row>
    <row r="27" customFormat="false" ht="15" hidden="false" customHeight="false" outlineLevel="0" collapsed="false">
      <c r="A27" s="70" t="n">
        <v>17</v>
      </c>
      <c r="B27" s="87" t="n">
        <f aca="false">IF(Macrociclo!$C$11="","",Macrociclo!$C$11+($A27-1)*7)</f>
        <v>46139</v>
      </c>
      <c r="C27" s="48" t="n">
        <f aca="false">SUMIFS('Carga (PSE)'!$G$8:$G$1007,'Carga (PSE)'!$B$8:$B$1007,$A27)</f>
        <v>0</v>
      </c>
      <c r="D27" s="88" t="n">
        <f aca="false">IFERROR($C27/MAX(1,COUNTIF(Cadastro!$T$7:$T$66,"Ativo")),0)</f>
        <v>0</v>
      </c>
      <c r="E27" s="69" t="n">
        <f aca="false">COUNTIFS('Carga (PSE)'!$B$8:$B$1007,$A27)</f>
        <v>0</v>
      </c>
      <c r="F27" s="89" t="n">
        <f aca="false">IFERROR(AVERAGEIFS('Carga (PSE)'!$F$8:$F$1007,'Carga (PSE)'!$B$8:$B$1007,$A27),0)</f>
        <v>0</v>
      </c>
      <c r="G27" s="89" t="n">
        <f aca="false">IFERROR(AVERAGEIFS(Wellness!$H$8:$H$1007,Wellness!$B$8:$B$1007,$A27),0)</f>
        <v>0</v>
      </c>
      <c r="H27" s="89" t="n">
        <f aca="false">IFERROR(AVERAGEIFS('Carga (PSE)'!$J$8:$J$1007,'Carga (PSE)'!$B$8:$B$1007,$A27),0)</f>
        <v>0</v>
      </c>
      <c r="I27" s="104" t="n">
        <f aca="false">IFERROR(COUNTIFS(Presença!$B$8:$B$1007,$A27,Presença!$E$8:$E$1007,"Presente")/MAX(1,COUNTIFS(Presença!$B$8:$B$1007,$A27)),0)</f>
        <v>0</v>
      </c>
    </row>
    <row r="28" customFormat="false" ht="15" hidden="false" customHeight="false" outlineLevel="0" collapsed="false">
      <c r="A28" s="74" t="n">
        <v>18</v>
      </c>
      <c r="B28" s="90" t="n">
        <f aca="false">IF(Macrociclo!$C$11="","",Macrociclo!$C$11+($A28-1)*7)</f>
        <v>46146</v>
      </c>
      <c r="C28" s="92" t="n">
        <f aca="false">SUMIFS('Carga (PSE)'!$G$8:$G$1007,'Carga (PSE)'!$B$8:$B$1007,$A28)</f>
        <v>0</v>
      </c>
      <c r="D28" s="91" t="n">
        <f aca="false">IFERROR($C28/MAX(1,COUNTIF(Cadastro!$T$7:$T$66,"Ativo")),0)</f>
        <v>0</v>
      </c>
      <c r="E28" s="72" t="n">
        <f aca="false">COUNTIFS('Carga (PSE)'!$B$8:$B$1007,$A28)</f>
        <v>0</v>
      </c>
      <c r="F28" s="93" t="n">
        <f aca="false">IFERROR(AVERAGEIFS('Carga (PSE)'!$F$8:$F$1007,'Carga (PSE)'!$B$8:$B$1007,$A28),0)</f>
        <v>0</v>
      </c>
      <c r="G28" s="93" t="n">
        <f aca="false">IFERROR(AVERAGEIFS(Wellness!$H$8:$H$1007,Wellness!$B$8:$B$1007,$A28),0)</f>
        <v>0</v>
      </c>
      <c r="H28" s="93" t="n">
        <f aca="false">IFERROR(AVERAGEIFS('Carga (PSE)'!$J$8:$J$1007,'Carga (PSE)'!$B$8:$B$1007,$A28),0)</f>
        <v>0</v>
      </c>
      <c r="I28" s="105" t="n">
        <f aca="false">IFERROR(COUNTIFS(Presença!$B$8:$B$1007,$A28,Presença!$E$8:$E$1007,"Presente")/MAX(1,COUNTIFS(Presença!$B$8:$B$1007,$A28)),0)</f>
        <v>0</v>
      </c>
    </row>
    <row r="29" customFormat="false" ht="15" hidden="false" customHeight="false" outlineLevel="0" collapsed="false">
      <c r="A29" s="70" t="n">
        <v>19</v>
      </c>
      <c r="B29" s="87" t="n">
        <f aca="false">IF(Macrociclo!$C$11="","",Macrociclo!$C$11+($A29-1)*7)</f>
        <v>46153</v>
      </c>
      <c r="C29" s="48" t="n">
        <f aca="false">SUMIFS('Carga (PSE)'!$G$8:$G$1007,'Carga (PSE)'!$B$8:$B$1007,$A29)</f>
        <v>0</v>
      </c>
      <c r="D29" s="88" t="n">
        <f aca="false">IFERROR($C29/MAX(1,COUNTIF(Cadastro!$T$7:$T$66,"Ativo")),0)</f>
        <v>0</v>
      </c>
      <c r="E29" s="69" t="n">
        <f aca="false">COUNTIFS('Carga (PSE)'!$B$8:$B$1007,$A29)</f>
        <v>0</v>
      </c>
      <c r="F29" s="89" t="n">
        <f aca="false">IFERROR(AVERAGEIFS('Carga (PSE)'!$F$8:$F$1007,'Carga (PSE)'!$B$8:$B$1007,$A29),0)</f>
        <v>0</v>
      </c>
      <c r="G29" s="89" t="n">
        <f aca="false">IFERROR(AVERAGEIFS(Wellness!$H$8:$H$1007,Wellness!$B$8:$B$1007,$A29),0)</f>
        <v>0</v>
      </c>
      <c r="H29" s="89" t="n">
        <f aca="false">IFERROR(AVERAGEIFS('Carga (PSE)'!$J$8:$J$1007,'Carga (PSE)'!$B$8:$B$1007,$A29),0)</f>
        <v>0</v>
      </c>
      <c r="I29" s="104" t="n">
        <f aca="false">IFERROR(COUNTIFS(Presença!$B$8:$B$1007,$A29,Presença!$E$8:$E$1007,"Presente")/MAX(1,COUNTIFS(Presença!$B$8:$B$1007,$A29)),0)</f>
        <v>0</v>
      </c>
    </row>
    <row r="30" customFormat="false" ht="15" hidden="false" customHeight="false" outlineLevel="0" collapsed="false">
      <c r="A30" s="74" t="n">
        <v>20</v>
      </c>
      <c r="B30" s="90" t="n">
        <f aca="false">IF(Macrociclo!$C$11="","",Macrociclo!$C$11+($A30-1)*7)</f>
        <v>46160</v>
      </c>
      <c r="C30" s="92" t="n">
        <f aca="false">SUMIFS('Carga (PSE)'!$G$8:$G$1007,'Carga (PSE)'!$B$8:$B$1007,$A30)</f>
        <v>0</v>
      </c>
      <c r="D30" s="91" t="n">
        <f aca="false">IFERROR($C30/MAX(1,COUNTIF(Cadastro!$T$7:$T$66,"Ativo")),0)</f>
        <v>0</v>
      </c>
      <c r="E30" s="72" t="n">
        <f aca="false">COUNTIFS('Carga (PSE)'!$B$8:$B$1007,$A30)</f>
        <v>0</v>
      </c>
      <c r="F30" s="93" t="n">
        <f aca="false">IFERROR(AVERAGEIFS('Carga (PSE)'!$F$8:$F$1007,'Carga (PSE)'!$B$8:$B$1007,$A30),0)</f>
        <v>0</v>
      </c>
      <c r="G30" s="93" t="n">
        <f aca="false">IFERROR(AVERAGEIFS(Wellness!$H$8:$H$1007,Wellness!$B$8:$B$1007,$A30),0)</f>
        <v>0</v>
      </c>
      <c r="H30" s="93" t="n">
        <f aca="false">IFERROR(AVERAGEIFS('Carga (PSE)'!$J$8:$J$1007,'Carga (PSE)'!$B$8:$B$1007,$A30),0)</f>
        <v>0</v>
      </c>
      <c r="I30" s="105" t="n">
        <f aca="false">IFERROR(COUNTIFS(Presença!$B$8:$B$1007,$A30,Presença!$E$8:$E$1007,"Presente")/MAX(1,COUNTIFS(Presença!$B$8:$B$1007,$A30)),0)</f>
        <v>0</v>
      </c>
    </row>
    <row r="31" customFormat="false" ht="15" hidden="false" customHeight="false" outlineLevel="0" collapsed="false">
      <c r="A31" s="70" t="n">
        <v>21</v>
      </c>
      <c r="B31" s="87" t="n">
        <f aca="false">IF(Macrociclo!$C$11="","",Macrociclo!$C$11+($A31-1)*7)</f>
        <v>46167</v>
      </c>
      <c r="C31" s="48" t="n">
        <f aca="false">SUMIFS('Carga (PSE)'!$G$8:$G$1007,'Carga (PSE)'!$B$8:$B$1007,$A31)</f>
        <v>0</v>
      </c>
      <c r="D31" s="88" t="n">
        <f aca="false">IFERROR($C31/MAX(1,COUNTIF(Cadastro!$T$7:$T$66,"Ativo")),0)</f>
        <v>0</v>
      </c>
      <c r="E31" s="69" t="n">
        <f aca="false">COUNTIFS('Carga (PSE)'!$B$8:$B$1007,$A31)</f>
        <v>0</v>
      </c>
      <c r="F31" s="89" t="n">
        <f aca="false">IFERROR(AVERAGEIFS('Carga (PSE)'!$F$8:$F$1007,'Carga (PSE)'!$B$8:$B$1007,$A31),0)</f>
        <v>0</v>
      </c>
      <c r="G31" s="89" t="n">
        <f aca="false">IFERROR(AVERAGEIFS(Wellness!$H$8:$H$1007,Wellness!$B$8:$B$1007,$A31),0)</f>
        <v>0</v>
      </c>
      <c r="H31" s="89" t="n">
        <f aca="false">IFERROR(AVERAGEIFS('Carga (PSE)'!$J$8:$J$1007,'Carga (PSE)'!$B$8:$B$1007,$A31),0)</f>
        <v>0</v>
      </c>
      <c r="I31" s="104" t="n">
        <f aca="false">IFERROR(COUNTIFS(Presença!$B$8:$B$1007,$A31,Presença!$E$8:$E$1007,"Presente")/MAX(1,COUNTIFS(Presença!$B$8:$B$1007,$A31)),0)</f>
        <v>0</v>
      </c>
    </row>
    <row r="32" customFormat="false" ht="15" hidden="false" customHeight="false" outlineLevel="0" collapsed="false">
      <c r="A32" s="74" t="n">
        <v>22</v>
      </c>
      <c r="B32" s="90" t="n">
        <f aca="false">IF(Macrociclo!$C$11="","",Macrociclo!$C$11+($A32-1)*7)</f>
        <v>46174</v>
      </c>
      <c r="C32" s="92" t="n">
        <f aca="false">SUMIFS('Carga (PSE)'!$G$8:$G$1007,'Carga (PSE)'!$B$8:$B$1007,$A32)</f>
        <v>0</v>
      </c>
      <c r="D32" s="91" t="n">
        <f aca="false">IFERROR($C32/MAX(1,COUNTIF(Cadastro!$T$7:$T$66,"Ativo")),0)</f>
        <v>0</v>
      </c>
      <c r="E32" s="72" t="n">
        <f aca="false">COUNTIFS('Carga (PSE)'!$B$8:$B$1007,$A32)</f>
        <v>0</v>
      </c>
      <c r="F32" s="93" t="n">
        <f aca="false">IFERROR(AVERAGEIFS('Carga (PSE)'!$F$8:$F$1007,'Carga (PSE)'!$B$8:$B$1007,$A32),0)</f>
        <v>0</v>
      </c>
      <c r="G32" s="93" t="n">
        <f aca="false">IFERROR(AVERAGEIFS(Wellness!$H$8:$H$1007,Wellness!$B$8:$B$1007,$A32),0)</f>
        <v>0</v>
      </c>
      <c r="H32" s="93" t="n">
        <f aca="false">IFERROR(AVERAGEIFS('Carga (PSE)'!$J$8:$J$1007,'Carga (PSE)'!$B$8:$B$1007,$A32),0)</f>
        <v>0</v>
      </c>
      <c r="I32" s="105" t="n">
        <f aca="false">IFERROR(COUNTIFS(Presença!$B$8:$B$1007,$A32,Presença!$E$8:$E$1007,"Presente")/MAX(1,COUNTIFS(Presença!$B$8:$B$1007,$A32)),0)</f>
        <v>0</v>
      </c>
    </row>
    <row r="33" customFormat="false" ht="15" hidden="false" customHeight="false" outlineLevel="0" collapsed="false">
      <c r="A33" s="70" t="n">
        <v>23</v>
      </c>
      <c r="B33" s="87" t="n">
        <f aca="false">IF(Macrociclo!$C$11="","",Macrociclo!$C$11+($A33-1)*7)</f>
        <v>46181</v>
      </c>
      <c r="C33" s="48" t="n">
        <f aca="false">SUMIFS('Carga (PSE)'!$G$8:$G$1007,'Carga (PSE)'!$B$8:$B$1007,$A33)</f>
        <v>0</v>
      </c>
      <c r="D33" s="88" t="n">
        <f aca="false">IFERROR($C33/MAX(1,COUNTIF(Cadastro!$T$7:$T$66,"Ativo")),0)</f>
        <v>0</v>
      </c>
      <c r="E33" s="69" t="n">
        <f aca="false">COUNTIFS('Carga (PSE)'!$B$8:$B$1007,$A33)</f>
        <v>0</v>
      </c>
      <c r="F33" s="89" t="n">
        <f aca="false">IFERROR(AVERAGEIFS('Carga (PSE)'!$F$8:$F$1007,'Carga (PSE)'!$B$8:$B$1007,$A33),0)</f>
        <v>0</v>
      </c>
      <c r="G33" s="89" t="n">
        <f aca="false">IFERROR(AVERAGEIFS(Wellness!$H$8:$H$1007,Wellness!$B$8:$B$1007,$A33),0)</f>
        <v>0</v>
      </c>
      <c r="H33" s="89" t="n">
        <f aca="false">IFERROR(AVERAGEIFS('Carga (PSE)'!$J$8:$J$1007,'Carga (PSE)'!$B$8:$B$1007,$A33),0)</f>
        <v>0</v>
      </c>
      <c r="I33" s="104" t="n">
        <f aca="false">IFERROR(COUNTIFS(Presença!$B$8:$B$1007,$A33,Presença!$E$8:$E$1007,"Presente")/MAX(1,COUNTIFS(Presença!$B$8:$B$1007,$A33)),0)</f>
        <v>0</v>
      </c>
    </row>
    <row r="34" customFormat="false" ht="15" hidden="false" customHeight="false" outlineLevel="0" collapsed="false">
      <c r="A34" s="74" t="n">
        <v>24</v>
      </c>
      <c r="B34" s="90" t="n">
        <f aca="false">IF(Macrociclo!$C$11="","",Macrociclo!$C$11+($A34-1)*7)</f>
        <v>46188</v>
      </c>
      <c r="C34" s="92" t="n">
        <f aca="false">SUMIFS('Carga (PSE)'!$G$8:$G$1007,'Carga (PSE)'!$B$8:$B$1007,$A34)</f>
        <v>0</v>
      </c>
      <c r="D34" s="91" t="n">
        <f aca="false">IFERROR($C34/MAX(1,COUNTIF(Cadastro!$T$7:$T$66,"Ativo")),0)</f>
        <v>0</v>
      </c>
      <c r="E34" s="72" t="n">
        <f aca="false">COUNTIFS('Carga (PSE)'!$B$8:$B$1007,$A34)</f>
        <v>0</v>
      </c>
      <c r="F34" s="93" t="n">
        <f aca="false">IFERROR(AVERAGEIFS('Carga (PSE)'!$F$8:$F$1007,'Carga (PSE)'!$B$8:$B$1007,$A34),0)</f>
        <v>0</v>
      </c>
      <c r="G34" s="93" t="n">
        <f aca="false">IFERROR(AVERAGEIFS(Wellness!$H$8:$H$1007,Wellness!$B$8:$B$1007,$A34),0)</f>
        <v>0</v>
      </c>
      <c r="H34" s="93" t="n">
        <f aca="false">IFERROR(AVERAGEIFS('Carga (PSE)'!$J$8:$J$1007,'Carga (PSE)'!$B$8:$B$1007,$A34),0)</f>
        <v>0</v>
      </c>
      <c r="I34" s="105" t="n">
        <f aca="false">IFERROR(COUNTIFS(Presença!$B$8:$B$1007,$A34,Presença!$E$8:$E$1007,"Presente")/MAX(1,COUNTIFS(Presença!$B$8:$B$1007,$A34)),0)</f>
        <v>0</v>
      </c>
    </row>
    <row r="35" customFormat="false" ht="15" hidden="false" customHeight="false" outlineLevel="0" collapsed="false">
      <c r="A35" s="70" t="n">
        <v>25</v>
      </c>
      <c r="B35" s="87" t="n">
        <f aca="false">IF(Macrociclo!$C$11="","",Macrociclo!$C$11+($A35-1)*7)</f>
        <v>46195</v>
      </c>
      <c r="C35" s="48" t="n">
        <f aca="false">SUMIFS('Carga (PSE)'!$G$8:$G$1007,'Carga (PSE)'!$B$8:$B$1007,$A35)</f>
        <v>0</v>
      </c>
      <c r="D35" s="88" t="n">
        <f aca="false">IFERROR($C35/MAX(1,COUNTIF(Cadastro!$T$7:$T$66,"Ativo")),0)</f>
        <v>0</v>
      </c>
      <c r="E35" s="69" t="n">
        <f aca="false">COUNTIFS('Carga (PSE)'!$B$8:$B$1007,$A35)</f>
        <v>0</v>
      </c>
      <c r="F35" s="89" t="n">
        <f aca="false">IFERROR(AVERAGEIFS('Carga (PSE)'!$F$8:$F$1007,'Carga (PSE)'!$B$8:$B$1007,$A35),0)</f>
        <v>0</v>
      </c>
      <c r="G35" s="89" t="n">
        <f aca="false">IFERROR(AVERAGEIFS(Wellness!$H$8:$H$1007,Wellness!$B$8:$B$1007,$A35),0)</f>
        <v>0</v>
      </c>
      <c r="H35" s="89" t="n">
        <f aca="false">IFERROR(AVERAGEIFS('Carga (PSE)'!$J$8:$J$1007,'Carga (PSE)'!$B$8:$B$1007,$A35),0)</f>
        <v>0</v>
      </c>
      <c r="I35" s="104" t="n">
        <f aca="false">IFERROR(COUNTIFS(Presença!$B$8:$B$1007,$A35,Presença!$E$8:$E$1007,"Presente")/MAX(1,COUNTIFS(Presença!$B$8:$B$1007,$A35)),0)</f>
        <v>0</v>
      </c>
    </row>
    <row r="36" customFormat="false" ht="15" hidden="false" customHeight="false" outlineLevel="0" collapsed="false">
      <c r="A36" s="74" t="n">
        <v>26</v>
      </c>
      <c r="B36" s="90" t="n">
        <f aca="false">IF(Macrociclo!$C$11="","",Macrociclo!$C$11+($A36-1)*7)</f>
        <v>46202</v>
      </c>
      <c r="C36" s="92" t="n">
        <f aca="false">SUMIFS('Carga (PSE)'!$G$8:$G$1007,'Carga (PSE)'!$B$8:$B$1007,$A36)</f>
        <v>0</v>
      </c>
      <c r="D36" s="91" t="n">
        <f aca="false">IFERROR($C36/MAX(1,COUNTIF(Cadastro!$T$7:$T$66,"Ativo")),0)</f>
        <v>0</v>
      </c>
      <c r="E36" s="72" t="n">
        <f aca="false">COUNTIFS('Carga (PSE)'!$B$8:$B$1007,$A36)</f>
        <v>0</v>
      </c>
      <c r="F36" s="93" t="n">
        <f aca="false">IFERROR(AVERAGEIFS('Carga (PSE)'!$F$8:$F$1007,'Carga (PSE)'!$B$8:$B$1007,$A36),0)</f>
        <v>0</v>
      </c>
      <c r="G36" s="93" t="n">
        <f aca="false">IFERROR(AVERAGEIFS(Wellness!$H$8:$H$1007,Wellness!$B$8:$B$1007,$A36),0)</f>
        <v>0</v>
      </c>
      <c r="H36" s="93" t="n">
        <f aca="false">IFERROR(AVERAGEIFS('Carga (PSE)'!$J$8:$J$1007,'Carga (PSE)'!$B$8:$B$1007,$A36),0)</f>
        <v>0</v>
      </c>
      <c r="I36" s="105" t="n">
        <f aca="false">IFERROR(COUNTIFS(Presença!$B$8:$B$1007,$A36,Presença!$E$8:$E$1007,"Presente")/MAX(1,COUNTIFS(Presença!$B$8:$B$1007,$A36)),0)</f>
        <v>0</v>
      </c>
    </row>
    <row r="37" customFormat="false" ht="15" hidden="false" customHeight="false" outlineLevel="0" collapsed="false">
      <c r="A37" s="70" t="n">
        <v>27</v>
      </c>
      <c r="B37" s="87" t="n">
        <f aca="false">IF(Macrociclo!$C$11="","",Macrociclo!$C$11+($A37-1)*7)</f>
        <v>46209</v>
      </c>
      <c r="C37" s="48" t="n">
        <f aca="false">SUMIFS('Carga (PSE)'!$G$8:$G$1007,'Carga (PSE)'!$B$8:$B$1007,$A37)</f>
        <v>0</v>
      </c>
      <c r="D37" s="88" t="n">
        <f aca="false">IFERROR($C37/MAX(1,COUNTIF(Cadastro!$T$7:$T$66,"Ativo")),0)</f>
        <v>0</v>
      </c>
      <c r="E37" s="69" t="n">
        <f aca="false">COUNTIFS('Carga (PSE)'!$B$8:$B$1007,$A37)</f>
        <v>0</v>
      </c>
      <c r="F37" s="89" t="n">
        <f aca="false">IFERROR(AVERAGEIFS('Carga (PSE)'!$F$8:$F$1007,'Carga (PSE)'!$B$8:$B$1007,$A37),0)</f>
        <v>0</v>
      </c>
      <c r="G37" s="89" t="n">
        <f aca="false">IFERROR(AVERAGEIFS(Wellness!$H$8:$H$1007,Wellness!$B$8:$B$1007,$A37),0)</f>
        <v>0</v>
      </c>
      <c r="H37" s="89" t="n">
        <f aca="false">IFERROR(AVERAGEIFS('Carga (PSE)'!$J$8:$J$1007,'Carga (PSE)'!$B$8:$B$1007,$A37),0)</f>
        <v>0</v>
      </c>
      <c r="I37" s="104" t="n">
        <f aca="false">IFERROR(COUNTIFS(Presença!$B$8:$B$1007,$A37,Presença!$E$8:$E$1007,"Presente")/MAX(1,COUNTIFS(Presença!$B$8:$B$1007,$A37)),0)</f>
        <v>0</v>
      </c>
    </row>
    <row r="38" customFormat="false" ht="15" hidden="false" customHeight="false" outlineLevel="0" collapsed="false">
      <c r="A38" s="74" t="n">
        <v>28</v>
      </c>
      <c r="B38" s="90" t="n">
        <f aca="false">IF(Macrociclo!$C$11="","",Macrociclo!$C$11+($A38-1)*7)</f>
        <v>46216</v>
      </c>
      <c r="C38" s="92" t="n">
        <f aca="false">SUMIFS('Carga (PSE)'!$G$8:$G$1007,'Carga (PSE)'!$B$8:$B$1007,$A38)</f>
        <v>0</v>
      </c>
      <c r="D38" s="91" t="n">
        <f aca="false">IFERROR($C38/MAX(1,COUNTIF(Cadastro!$T$7:$T$66,"Ativo")),0)</f>
        <v>0</v>
      </c>
      <c r="E38" s="72" t="n">
        <f aca="false">COUNTIFS('Carga (PSE)'!$B$8:$B$1007,$A38)</f>
        <v>0</v>
      </c>
      <c r="F38" s="93" t="n">
        <f aca="false">IFERROR(AVERAGEIFS('Carga (PSE)'!$F$8:$F$1007,'Carga (PSE)'!$B$8:$B$1007,$A38),0)</f>
        <v>0</v>
      </c>
      <c r="G38" s="93" t="n">
        <f aca="false">IFERROR(AVERAGEIFS(Wellness!$H$8:$H$1007,Wellness!$B$8:$B$1007,$A38),0)</f>
        <v>0</v>
      </c>
      <c r="H38" s="93" t="n">
        <f aca="false">IFERROR(AVERAGEIFS('Carga (PSE)'!$J$8:$J$1007,'Carga (PSE)'!$B$8:$B$1007,$A38),0)</f>
        <v>0</v>
      </c>
      <c r="I38" s="105" t="n">
        <f aca="false">IFERROR(COUNTIFS(Presença!$B$8:$B$1007,$A38,Presença!$E$8:$E$1007,"Presente")/MAX(1,COUNTIFS(Presença!$B$8:$B$1007,$A38)),0)</f>
        <v>0</v>
      </c>
    </row>
    <row r="39" customFormat="false" ht="15" hidden="false" customHeight="false" outlineLevel="0" collapsed="false">
      <c r="A39" s="70" t="n">
        <v>29</v>
      </c>
      <c r="B39" s="87" t="n">
        <f aca="false">IF(Macrociclo!$C$11="","",Macrociclo!$C$11+($A39-1)*7)</f>
        <v>46223</v>
      </c>
      <c r="C39" s="48" t="n">
        <f aca="false">SUMIFS('Carga (PSE)'!$G$8:$G$1007,'Carga (PSE)'!$B$8:$B$1007,$A39)</f>
        <v>0</v>
      </c>
      <c r="D39" s="88" t="n">
        <f aca="false">IFERROR($C39/MAX(1,COUNTIF(Cadastro!$T$7:$T$66,"Ativo")),0)</f>
        <v>0</v>
      </c>
      <c r="E39" s="69" t="n">
        <f aca="false">COUNTIFS('Carga (PSE)'!$B$8:$B$1007,$A39)</f>
        <v>0</v>
      </c>
      <c r="F39" s="89" t="n">
        <f aca="false">IFERROR(AVERAGEIFS('Carga (PSE)'!$F$8:$F$1007,'Carga (PSE)'!$B$8:$B$1007,$A39),0)</f>
        <v>0</v>
      </c>
      <c r="G39" s="89" t="n">
        <f aca="false">IFERROR(AVERAGEIFS(Wellness!$H$8:$H$1007,Wellness!$B$8:$B$1007,$A39),0)</f>
        <v>0</v>
      </c>
      <c r="H39" s="89" t="n">
        <f aca="false">IFERROR(AVERAGEIFS('Carga (PSE)'!$J$8:$J$1007,'Carga (PSE)'!$B$8:$B$1007,$A39),0)</f>
        <v>0</v>
      </c>
      <c r="I39" s="104" t="n">
        <f aca="false">IFERROR(COUNTIFS(Presença!$B$8:$B$1007,$A39,Presença!$E$8:$E$1007,"Presente")/MAX(1,COUNTIFS(Presença!$B$8:$B$1007,$A39)),0)</f>
        <v>0</v>
      </c>
    </row>
    <row r="40" customFormat="false" ht="15" hidden="false" customHeight="false" outlineLevel="0" collapsed="false">
      <c r="A40" s="74" t="n">
        <v>30</v>
      </c>
      <c r="B40" s="90" t="n">
        <f aca="false">IF(Macrociclo!$C$11="","",Macrociclo!$C$11+($A40-1)*7)</f>
        <v>46230</v>
      </c>
      <c r="C40" s="92" t="n">
        <f aca="false">SUMIFS('Carga (PSE)'!$G$8:$G$1007,'Carga (PSE)'!$B$8:$B$1007,$A40)</f>
        <v>0</v>
      </c>
      <c r="D40" s="91" t="n">
        <f aca="false">IFERROR($C40/MAX(1,COUNTIF(Cadastro!$T$7:$T$66,"Ativo")),0)</f>
        <v>0</v>
      </c>
      <c r="E40" s="72" t="n">
        <f aca="false">COUNTIFS('Carga (PSE)'!$B$8:$B$1007,$A40)</f>
        <v>0</v>
      </c>
      <c r="F40" s="93" t="n">
        <f aca="false">IFERROR(AVERAGEIFS('Carga (PSE)'!$F$8:$F$1007,'Carga (PSE)'!$B$8:$B$1007,$A40),0)</f>
        <v>0</v>
      </c>
      <c r="G40" s="93" t="n">
        <f aca="false">IFERROR(AVERAGEIFS(Wellness!$H$8:$H$1007,Wellness!$B$8:$B$1007,$A40),0)</f>
        <v>0</v>
      </c>
      <c r="H40" s="93" t="n">
        <f aca="false">IFERROR(AVERAGEIFS('Carga (PSE)'!$J$8:$J$1007,'Carga (PSE)'!$B$8:$B$1007,$A40),0)</f>
        <v>0</v>
      </c>
      <c r="I40" s="105" t="n">
        <f aca="false">IFERROR(COUNTIFS(Presença!$B$8:$B$1007,$A40,Presença!$E$8:$E$1007,"Presente")/MAX(1,COUNTIFS(Presença!$B$8:$B$1007,$A40)),0)</f>
        <v>0</v>
      </c>
    </row>
    <row r="41" customFormat="false" ht="15" hidden="false" customHeight="false" outlineLevel="0" collapsed="false">
      <c r="A41" s="70" t="n">
        <v>31</v>
      </c>
      <c r="B41" s="87" t="n">
        <f aca="false">IF(Macrociclo!$C$11="","",Macrociclo!$C$11+($A41-1)*7)</f>
        <v>46237</v>
      </c>
      <c r="C41" s="48" t="n">
        <f aca="false">SUMIFS('Carga (PSE)'!$G$8:$G$1007,'Carga (PSE)'!$B$8:$B$1007,$A41)</f>
        <v>0</v>
      </c>
      <c r="D41" s="88" t="n">
        <f aca="false">IFERROR($C41/MAX(1,COUNTIF(Cadastro!$T$7:$T$66,"Ativo")),0)</f>
        <v>0</v>
      </c>
      <c r="E41" s="69" t="n">
        <f aca="false">COUNTIFS('Carga (PSE)'!$B$8:$B$1007,$A41)</f>
        <v>0</v>
      </c>
      <c r="F41" s="89" t="n">
        <f aca="false">IFERROR(AVERAGEIFS('Carga (PSE)'!$F$8:$F$1007,'Carga (PSE)'!$B$8:$B$1007,$A41),0)</f>
        <v>0</v>
      </c>
      <c r="G41" s="89" t="n">
        <f aca="false">IFERROR(AVERAGEIFS(Wellness!$H$8:$H$1007,Wellness!$B$8:$B$1007,$A41),0)</f>
        <v>0</v>
      </c>
      <c r="H41" s="89" t="n">
        <f aca="false">IFERROR(AVERAGEIFS('Carga (PSE)'!$J$8:$J$1007,'Carga (PSE)'!$B$8:$B$1007,$A41),0)</f>
        <v>0</v>
      </c>
      <c r="I41" s="104" t="n">
        <f aca="false">IFERROR(COUNTIFS(Presença!$B$8:$B$1007,$A41,Presença!$E$8:$E$1007,"Presente")/MAX(1,COUNTIFS(Presença!$B$8:$B$1007,$A41)),0)</f>
        <v>0</v>
      </c>
    </row>
    <row r="42" customFormat="false" ht="15" hidden="false" customHeight="false" outlineLevel="0" collapsed="false">
      <c r="A42" s="74" t="n">
        <v>32</v>
      </c>
      <c r="B42" s="90" t="n">
        <f aca="false">IF(Macrociclo!$C$11="","",Macrociclo!$C$11+($A42-1)*7)</f>
        <v>46244</v>
      </c>
      <c r="C42" s="92" t="n">
        <f aca="false">SUMIFS('Carga (PSE)'!$G$8:$G$1007,'Carga (PSE)'!$B$8:$B$1007,$A42)</f>
        <v>0</v>
      </c>
      <c r="D42" s="91" t="n">
        <f aca="false">IFERROR($C42/MAX(1,COUNTIF(Cadastro!$T$7:$T$66,"Ativo")),0)</f>
        <v>0</v>
      </c>
      <c r="E42" s="72" t="n">
        <f aca="false">COUNTIFS('Carga (PSE)'!$B$8:$B$1007,$A42)</f>
        <v>0</v>
      </c>
      <c r="F42" s="93" t="n">
        <f aca="false">IFERROR(AVERAGEIFS('Carga (PSE)'!$F$8:$F$1007,'Carga (PSE)'!$B$8:$B$1007,$A42),0)</f>
        <v>0</v>
      </c>
      <c r="G42" s="93" t="n">
        <f aca="false">IFERROR(AVERAGEIFS(Wellness!$H$8:$H$1007,Wellness!$B$8:$B$1007,$A42),0)</f>
        <v>0</v>
      </c>
      <c r="H42" s="93" t="n">
        <f aca="false">IFERROR(AVERAGEIFS('Carga (PSE)'!$J$8:$J$1007,'Carga (PSE)'!$B$8:$B$1007,$A42),0)</f>
        <v>0</v>
      </c>
      <c r="I42" s="105" t="n">
        <f aca="false">IFERROR(COUNTIFS(Presença!$B$8:$B$1007,$A42,Presença!$E$8:$E$1007,"Presente")/MAX(1,COUNTIFS(Presença!$B$8:$B$1007,$A42)),0)</f>
        <v>0</v>
      </c>
    </row>
    <row r="43" customFormat="false" ht="15" hidden="false" customHeight="false" outlineLevel="0" collapsed="false">
      <c r="A43" s="70" t="n">
        <v>33</v>
      </c>
      <c r="B43" s="87" t="n">
        <f aca="false">IF(Macrociclo!$C$11="","",Macrociclo!$C$11+($A43-1)*7)</f>
        <v>46251</v>
      </c>
      <c r="C43" s="48" t="n">
        <f aca="false">SUMIFS('Carga (PSE)'!$G$8:$G$1007,'Carga (PSE)'!$B$8:$B$1007,$A43)</f>
        <v>0</v>
      </c>
      <c r="D43" s="88" t="n">
        <f aca="false">IFERROR($C43/MAX(1,COUNTIF(Cadastro!$T$7:$T$66,"Ativo")),0)</f>
        <v>0</v>
      </c>
      <c r="E43" s="69" t="n">
        <f aca="false">COUNTIFS('Carga (PSE)'!$B$8:$B$1007,$A43)</f>
        <v>0</v>
      </c>
      <c r="F43" s="89" t="n">
        <f aca="false">IFERROR(AVERAGEIFS('Carga (PSE)'!$F$8:$F$1007,'Carga (PSE)'!$B$8:$B$1007,$A43),0)</f>
        <v>0</v>
      </c>
      <c r="G43" s="89" t="n">
        <f aca="false">IFERROR(AVERAGEIFS(Wellness!$H$8:$H$1007,Wellness!$B$8:$B$1007,$A43),0)</f>
        <v>0</v>
      </c>
      <c r="H43" s="89" t="n">
        <f aca="false">IFERROR(AVERAGEIFS('Carga (PSE)'!$J$8:$J$1007,'Carga (PSE)'!$B$8:$B$1007,$A43),0)</f>
        <v>0</v>
      </c>
      <c r="I43" s="104" t="n">
        <f aca="false">IFERROR(COUNTIFS(Presença!$B$8:$B$1007,$A43,Presença!$E$8:$E$1007,"Presente")/MAX(1,COUNTIFS(Presença!$B$8:$B$1007,$A43)),0)</f>
        <v>0</v>
      </c>
    </row>
    <row r="44" customFormat="false" ht="15" hidden="false" customHeight="false" outlineLevel="0" collapsed="false">
      <c r="A44" s="74" t="n">
        <v>34</v>
      </c>
      <c r="B44" s="90" t="n">
        <f aca="false">IF(Macrociclo!$C$11="","",Macrociclo!$C$11+($A44-1)*7)</f>
        <v>46258</v>
      </c>
      <c r="C44" s="92" t="n">
        <f aca="false">SUMIFS('Carga (PSE)'!$G$8:$G$1007,'Carga (PSE)'!$B$8:$B$1007,$A44)</f>
        <v>0</v>
      </c>
      <c r="D44" s="91" t="n">
        <f aca="false">IFERROR($C44/MAX(1,COUNTIF(Cadastro!$T$7:$T$66,"Ativo")),0)</f>
        <v>0</v>
      </c>
      <c r="E44" s="72" t="n">
        <f aca="false">COUNTIFS('Carga (PSE)'!$B$8:$B$1007,$A44)</f>
        <v>0</v>
      </c>
      <c r="F44" s="93" t="n">
        <f aca="false">IFERROR(AVERAGEIFS('Carga (PSE)'!$F$8:$F$1007,'Carga (PSE)'!$B$8:$B$1007,$A44),0)</f>
        <v>0</v>
      </c>
      <c r="G44" s="93" t="n">
        <f aca="false">IFERROR(AVERAGEIFS(Wellness!$H$8:$H$1007,Wellness!$B$8:$B$1007,$A44),0)</f>
        <v>0</v>
      </c>
      <c r="H44" s="93" t="n">
        <f aca="false">IFERROR(AVERAGEIFS('Carga (PSE)'!$J$8:$J$1007,'Carga (PSE)'!$B$8:$B$1007,$A44),0)</f>
        <v>0</v>
      </c>
      <c r="I44" s="105" t="n">
        <f aca="false">IFERROR(COUNTIFS(Presença!$B$8:$B$1007,$A44,Presença!$E$8:$E$1007,"Presente")/MAX(1,COUNTIFS(Presença!$B$8:$B$1007,$A44)),0)</f>
        <v>0</v>
      </c>
    </row>
    <row r="45" customFormat="false" ht="19.5" hidden="false" customHeight="true" outlineLevel="0" collapsed="false">
      <c r="A45" s="70" t="n">
        <v>35</v>
      </c>
      <c r="B45" s="87" t="n">
        <f aca="false">IF(Macrociclo!$C$11="","",Macrociclo!$C$11+($A45-1)*7)</f>
        <v>46265</v>
      </c>
      <c r="C45" s="48" t="n">
        <f aca="false">SUMIFS('Carga (PSE)'!$G$8:$G$1007,'Carga (PSE)'!$B$8:$B$1007,$A45)</f>
        <v>0</v>
      </c>
      <c r="D45" s="88" t="n">
        <f aca="false">IFERROR($C45/MAX(1,COUNTIF(Cadastro!$T$7:$T$66,"Ativo")),0)</f>
        <v>0</v>
      </c>
      <c r="E45" s="69" t="n">
        <f aca="false">COUNTIFS('Carga (PSE)'!$B$8:$B$1007,$A45)</f>
        <v>0</v>
      </c>
      <c r="F45" s="89" t="n">
        <f aca="false">IFERROR(AVERAGEIFS('Carga (PSE)'!$F$8:$F$1007,'Carga (PSE)'!$B$8:$B$1007,$A45),0)</f>
        <v>0</v>
      </c>
      <c r="G45" s="89" t="n">
        <f aca="false">IFERROR(AVERAGEIFS(Wellness!$H$8:$H$1007,Wellness!$B$8:$B$1007,$A45),0)</f>
        <v>0</v>
      </c>
      <c r="H45" s="89" t="n">
        <f aca="false">IFERROR(AVERAGEIFS('Carga (PSE)'!$J$8:$J$1007,'Carga (PSE)'!$B$8:$B$1007,$A45),0)</f>
        <v>0</v>
      </c>
      <c r="I45" s="104" t="n">
        <f aca="false">IFERROR(COUNTIFS(Presença!$B$8:$B$1007,$A45,Presença!$E$8:$E$1007,"Presente")/MAX(1,COUNTIFS(Presença!$B$8:$B$1007,$A45)),0)</f>
        <v>0</v>
      </c>
      <c r="K45" s="3" t="s">
        <v>480</v>
      </c>
      <c r="L45" s="3"/>
      <c r="M45" s="3"/>
    </row>
    <row r="46" customFormat="false" ht="31.5" hidden="false" customHeight="true" outlineLevel="0" collapsed="false">
      <c r="A46" s="74" t="n">
        <v>36</v>
      </c>
      <c r="B46" s="90" t="n">
        <f aca="false">IF(Macrociclo!$C$11="","",Macrociclo!$C$11+($A46-1)*7)</f>
        <v>46272</v>
      </c>
      <c r="C46" s="92" t="n">
        <f aca="false">SUMIFS('Carga (PSE)'!$G$8:$G$1007,'Carga (PSE)'!$B$8:$B$1007,$A46)</f>
        <v>0</v>
      </c>
      <c r="D46" s="91" t="n">
        <f aca="false">IFERROR($C46/MAX(1,COUNTIF(Cadastro!$T$7:$T$66,"Ativo")),0)</f>
        <v>0</v>
      </c>
      <c r="E46" s="72" t="n">
        <f aca="false">COUNTIFS('Carga (PSE)'!$B$8:$B$1007,$A46)</f>
        <v>0</v>
      </c>
      <c r="F46" s="93" t="n">
        <f aca="false">IFERROR(AVERAGEIFS('Carga (PSE)'!$F$8:$F$1007,'Carga (PSE)'!$B$8:$B$1007,$A46),0)</f>
        <v>0</v>
      </c>
      <c r="G46" s="93" t="n">
        <f aca="false">IFERROR(AVERAGEIFS(Wellness!$H$8:$H$1007,Wellness!$B$8:$B$1007,$A46),0)</f>
        <v>0</v>
      </c>
      <c r="H46" s="93" t="n">
        <f aca="false">IFERROR(AVERAGEIFS('Carga (PSE)'!$J$8:$J$1007,'Carga (PSE)'!$B$8:$B$1007,$A46),0)</f>
        <v>0</v>
      </c>
      <c r="I46" s="105" t="n">
        <f aca="false">IFERROR(COUNTIFS(Presença!$B$8:$B$1007,$A46,Presença!$E$8:$E$1007,"Presente")/MAX(1,COUNTIFS(Presença!$B$8:$B$1007,$A46)),0)</f>
        <v>0</v>
      </c>
      <c r="K46" s="18" t="s">
        <v>341</v>
      </c>
      <c r="L46" s="18" t="s">
        <v>388</v>
      </c>
      <c r="M46" s="18" t="s">
        <v>481</v>
      </c>
    </row>
    <row r="47" customFormat="false" ht="15" hidden="false" customHeight="false" outlineLevel="0" collapsed="false">
      <c r="A47" s="70" t="n">
        <v>37</v>
      </c>
      <c r="B47" s="87" t="n">
        <f aca="false">IF(Macrociclo!$C$11="","",Macrociclo!$C$11+($A47-1)*7)</f>
        <v>46279</v>
      </c>
      <c r="C47" s="48" t="n">
        <f aca="false">SUMIFS('Carga (PSE)'!$G$8:$G$1007,'Carga (PSE)'!$B$8:$B$1007,$A47)</f>
        <v>0</v>
      </c>
      <c r="D47" s="88" t="n">
        <f aca="false">IFERROR($C47/MAX(1,COUNTIF(Cadastro!$T$7:$T$66,"Ativo")),0)</f>
        <v>0</v>
      </c>
      <c r="E47" s="69" t="n">
        <f aca="false">COUNTIFS('Carga (PSE)'!$B$8:$B$1007,$A47)</f>
        <v>0</v>
      </c>
      <c r="F47" s="89" t="n">
        <f aca="false">IFERROR(AVERAGEIFS('Carga (PSE)'!$F$8:$F$1007,'Carga (PSE)'!$B$8:$B$1007,$A47),0)</f>
        <v>0</v>
      </c>
      <c r="G47" s="89" t="n">
        <f aca="false">IFERROR(AVERAGEIFS(Wellness!$H$8:$H$1007,Wellness!$B$8:$B$1007,$A47),0)</f>
        <v>0</v>
      </c>
      <c r="H47" s="89" t="n">
        <f aca="false">IFERROR(AVERAGEIFS('Carga (PSE)'!$J$8:$J$1007,'Carga (PSE)'!$B$8:$B$1007,$A47),0)</f>
        <v>0</v>
      </c>
      <c r="I47" s="104" t="n">
        <f aca="false">IFERROR(COUNTIFS(Presença!$B$8:$B$1007,$A47,Presença!$E$8:$E$1007,"Presente")/MAX(1,COUNTIFS(Presença!$B$8:$B$1007,$A47)),0)</f>
        <v>0</v>
      </c>
      <c r="K47" s="68" t="s">
        <v>482</v>
      </c>
      <c r="L47" s="88" t="n">
        <f aca="false">SUMIFS('Carga (PSE)'!$G$8:$G$1007,'Carga (PSE)'!$D$8:$D$1007,$K47)</f>
        <v>0</v>
      </c>
      <c r="M47" s="104" t="n">
        <f aca="false">IFERROR($L47/SUM($L$47:$L$56),0)</f>
        <v>0</v>
      </c>
    </row>
    <row r="48" customFormat="false" ht="15" hidden="false" customHeight="false" outlineLevel="0" collapsed="false">
      <c r="A48" s="74" t="n">
        <v>38</v>
      </c>
      <c r="B48" s="90" t="n">
        <f aca="false">IF(Macrociclo!$C$11="","",Macrociclo!$C$11+($A48-1)*7)</f>
        <v>46286</v>
      </c>
      <c r="C48" s="92" t="n">
        <f aca="false">SUMIFS('Carga (PSE)'!$G$8:$G$1007,'Carga (PSE)'!$B$8:$B$1007,$A48)</f>
        <v>0</v>
      </c>
      <c r="D48" s="91" t="n">
        <f aca="false">IFERROR($C48/MAX(1,COUNTIF(Cadastro!$T$7:$T$66,"Ativo")),0)</f>
        <v>0</v>
      </c>
      <c r="E48" s="72" t="n">
        <f aca="false">COUNTIFS('Carga (PSE)'!$B$8:$B$1007,$A48)</f>
        <v>0</v>
      </c>
      <c r="F48" s="93" t="n">
        <f aca="false">IFERROR(AVERAGEIFS('Carga (PSE)'!$F$8:$F$1007,'Carga (PSE)'!$B$8:$B$1007,$A48),0)</f>
        <v>0</v>
      </c>
      <c r="G48" s="93" t="n">
        <f aca="false">IFERROR(AVERAGEIFS(Wellness!$H$8:$H$1007,Wellness!$B$8:$B$1007,$A48),0)</f>
        <v>0</v>
      </c>
      <c r="H48" s="93" t="n">
        <f aca="false">IFERROR(AVERAGEIFS('Carga (PSE)'!$J$8:$J$1007,'Carga (PSE)'!$B$8:$B$1007,$A48),0)</f>
        <v>0</v>
      </c>
      <c r="I48" s="105" t="n">
        <f aca="false">IFERROR(COUNTIFS(Presença!$B$8:$B$1007,$A48,Presença!$E$8:$E$1007,"Presente")/MAX(1,COUNTIFS(Presença!$B$8:$B$1007,$A48)),0)</f>
        <v>0</v>
      </c>
      <c r="K48" s="71" t="s">
        <v>483</v>
      </c>
      <c r="L48" s="91" t="n">
        <f aca="false">SUMIFS('Carga (PSE)'!$G$8:$G$1007,'Carga (PSE)'!$D$8:$D$1007,$K48)</f>
        <v>0</v>
      </c>
      <c r="M48" s="105" t="n">
        <f aca="false">IFERROR($L48/SUM($L$47:$L$56),0)</f>
        <v>0</v>
      </c>
    </row>
    <row r="49" customFormat="false" ht="15" hidden="false" customHeight="false" outlineLevel="0" collapsed="false">
      <c r="A49" s="70" t="n">
        <v>39</v>
      </c>
      <c r="B49" s="87" t="n">
        <f aca="false">IF(Macrociclo!$C$11="","",Macrociclo!$C$11+($A49-1)*7)</f>
        <v>46293</v>
      </c>
      <c r="C49" s="48" t="n">
        <f aca="false">SUMIFS('Carga (PSE)'!$G$8:$G$1007,'Carga (PSE)'!$B$8:$B$1007,$A49)</f>
        <v>0</v>
      </c>
      <c r="D49" s="88" t="n">
        <f aca="false">IFERROR($C49/MAX(1,COUNTIF(Cadastro!$T$7:$T$66,"Ativo")),0)</f>
        <v>0</v>
      </c>
      <c r="E49" s="69" t="n">
        <f aca="false">COUNTIFS('Carga (PSE)'!$B$8:$B$1007,$A49)</f>
        <v>0</v>
      </c>
      <c r="F49" s="89" t="n">
        <f aca="false">IFERROR(AVERAGEIFS('Carga (PSE)'!$F$8:$F$1007,'Carga (PSE)'!$B$8:$B$1007,$A49),0)</f>
        <v>0</v>
      </c>
      <c r="G49" s="89" t="n">
        <f aca="false">IFERROR(AVERAGEIFS(Wellness!$H$8:$H$1007,Wellness!$B$8:$B$1007,$A49),0)</f>
        <v>0</v>
      </c>
      <c r="H49" s="89" t="n">
        <f aca="false">IFERROR(AVERAGEIFS('Carga (PSE)'!$J$8:$J$1007,'Carga (PSE)'!$B$8:$B$1007,$A49),0)</f>
        <v>0</v>
      </c>
      <c r="I49" s="104" t="n">
        <f aca="false">IFERROR(COUNTIFS(Presença!$B$8:$B$1007,$A49,Presença!$E$8:$E$1007,"Presente")/MAX(1,COUNTIFS(Presença!$B$8:$B$1007,$A49)),0)</f>
        <v>0</v>
      </c>
      <c r="K49" s="68" t="s">
        <v>484</v>
      </c>
      <c r="L49" s="88" t="n">
        <f aca="false">SUMIFS('Carga (PSE)'!$G$8:$G$1007,'Carga (PSE)'!$D$8:$D$1007,$K49)</f>
        <v>0</v>
      </c>
      <c r="M49" s="104" t="n">
        <f aca="false">IFERROR($L49/SUM($L$47:$L$56),0)</f>
        <v>0</v>
      </c>
    </row>
    <row r="50" customFormat="false" ht="15" hidden="false" customHeight="false" outlineLevel="0" collapsed="false">
      <c r="A50" s="74" t="n">
        <v>40</v>
      </c>
      <c r="B50" s="90" t="n">
        <f aca="false">IF(Macrociclo!$C$11="","",Macrociclo!$C$11+($A50-1)*7)</f>
        <v>46300</v>
      </c>
      <c r="C50" s="92" t="n">
        <f aca="false">SUMIFS('Carga (PSE)'!$G$8:$G$1007,'Carga (PSE)'!$B$8:$B$1007,$A50)</f>
        <v>0</v>
      </c>
      <c r="D50" s="91" t="n">
        <f aca="false">IFERROR($C50/MAX(1,COUNTIF(Cadastro!$T$7:$T$66,"Ativo")),0)</f>
        <v>0</v>
      </c>
      <c r="E50" s="72" t="n">
        <f aca="false">COUNTIFS('Carga (PSE)'!$B$8:$B$1007,$A50)</f>
        <v>0</v>
      </c>
      <c r="F50" s="93" t="n">
        <f aca="false">IFERROR(AVERAGEIFS('Carga (PSE)'!$F$8:$F$1007,'Carga (PSE)'!$B$8:$B$1007,$A50),0)</f>
        <v>0</v>
      </c>
      <c r="G50" s="93" t="n">
        <f aca="false">IFERROR(AVERAGEIFS(Wellness!$H$8:$H$1007,Wellness!$B$8:$B$1007,$A50),0)</f>
        <v>0</v>
      </c>
      <c r="H50" s="93" t="n">
        <f aca="false">IFERROR(AVERAGEIFS('Carga (PSE)'!$J$8:$J$1007,'Carga (PSE)'!$B$8:$B$1007,$A50),0)</f>
        <v>0</v>
      </c>
      <c r="I50" s="105" t="n">
        <f aca="false">IFERROR(COUNTIFS(Presença!$B$8:$B$1007,$A50,Presença!$E$8:$E$1007,"Presente")/MAX(1,COUNTIFS(Presença!$B$8:$B$1007,$A50)),0)</f>
        <v>0</v>
      </c>
      <c r="K50" s="71" t="s">
        <v>485</v>
      </c>
      <c r="L50" s="91" t="n">
        <f aca="false">SUMIFS('Carga (PSE)'!$G$8:$G$1007,'Carga (PSE)'!$D$8:$D$1007,$K50)</f>
        <v>0</v>
      </c>
      <c r="M50" s="105" t="n">
        <f aca="false">IFERROR($L50/SUM($L$47:$L$56),0)</f>
        <v>0</v>
      </c>
    </row>
    <row r="51" customFormat="false" ht="15" hidden="false" customHeight="false" outlineLevel="0" collapsed="false">
      <c r="A51" s="70" t="n">
        <v>41</v>
      </c>
      <c r="B51" s="87" t="n">
        <f aca="false">IF(Macrociclo!$C$11="","",Macrociclo!$C$11+($A51-1)*7)</f>
        <v>46307</v>
      </c>
      <c r="C51" s="48" t="n">
        <f aca="false">SUMIFS('Carga (PSE)'!$G$8:$G$1007,'Carga (PSE)'!$B$8:$B$1007,$A51)</f>
        <v>0</v>
      </c>
      <c r="D51" s="88" t="n">
        <f aca="false">IFERROR($C51/MAX(1,COUNTIF(Cadastro!$T$7:$T$66,"Ativo")),0)</f>
        <v>0</v>
      </c>
      <c r="E51" s="69" t="n">
        <f aca="false">COUNTIFS('Carga (PSE)'!$B$8:$B$1007,$A51)</f>
        <v>0</v>
      </c>
      <c r="F51" s="89" t="n">
        <f aca="false">IFERROR(AVERAGEIFS('Carga (PSE)'!$F$8:$F$1007,'Carga (PSE)'!$B$8:$B$1007,$A51),0)</f>
        <v>0</v>
      </c>
      <c r="G51" s="89" t="n">
        <f aca="false">IFERROR(AVERAGEIFS(Wellness!$H$8:$H$1007,Wellness!$B$8:$B$1007,$A51),0)</f>
        <v>0</v>
      </c>
      <c r="H51" s="89" t="n">
        <f aca="false">IFERROR(AVERAGEIFS('Carga (PSE)'!$J$8:$J$1007,'Carga (PSE)'!$B$8:$B$1007,$A51),0)</f>
        <v>0</v>
      </c>
      <c r="I51" s="104" t="n">
        <f aca="false">IFERROR(COUNTIFS(Presença!$B$8:$B$1007,$A51,Presença!$E$8:$E$1007,"Presente")/MAX(1,COUNTIFS(Presença!$B$8:$B$1007,$A51)),0)</f>
        <v>0</v>
      </c>
      <c r="K51" s="68" t="s">
        <v>486</v>
      </c>
      <c r="L51" s="88" t="n">
        <f aca="false">SUMIFS('Carga (PSE)'!$G$8:$G$1007,'Carga (PSE)'!$D$8:$D$1007,$K51)</f>
        <v>0</v>
      </c>
      <c r="M51" s="104" t="n">
        <f aca="false">IFERROR($L51/SUM($L$47:$L$56),0)</f>
        <v>0</v>
      </c>
    </row>
    <row r="52" customFormat="false" ht="15" hidden="false" customHeight="false" outlineLevel="0" collapsed="false">
      <c r="A52" s="74" t="n">
        <v>42</v>
      </c>
      <c r="B52" s="90" t="n">
        <f aca="false">IF(Macrociclo!$C$11="","",Macrociclo!$C$11+($A52-1)*7)</f>
        <v>46314</v>
      </c>
      <c r="C52" s="92" t="n">
        <f aca="false">SUMIFS('Carga (PSE)'!$G$8:$G$1007,'Carga (PSE)'!$B$8:$B$1007,$A52)</f>
        <v>0</v>
      </c>
      <c r="D52" s="91" t="n">
        <f aca="false">IFERROR($C52/MAX(1,COUNTIF(Cadastro!$T$7:$T$66,"Ativo")),0)</f>
        <v>0</v>
      </c>
      <c r="E52" s="72" t="n">
        <f aca="false">COUNTIFS('Carga (PSE)'!$B$8:$B$1007,$A52)</f>
        <v>0</v>
      </c>
      <c r="F52" s="93" t="n">
        <f aca="false">IFERROR(AVERAGEIFS('Carga (PSE)'!$F$8:$F$1007,'Carga (PSE)'!$B$8:$B$1007,$A52),0)</f>
        <v>0</v>
      </c>
      <c r="G52" s="93" t="n">
        <f aca="false">IFERROR(AVERAGEIFS(Wellness!$H$8:$H$1007,Wellness!$B$8:$B$1007,$A52),0)</f>
        <v>0</v>
      </c>
      <c r="H52" s="93" t="n">
        <f aca="false">IFERROR(AVERAGEIFS('Carga (PSE)'!$J$8:$J$1007,'Carga (PSE)'!$B$8:$B$1007,$A52),0)</f>
        <v>0</v>
      </c>
      <c r="I52" s="105" t="n">
        <f aca="false">IFERROR(COUNTIFS(Presença!$B$8:$B$1007,$A52,Presença!$E$8:$E$1007,"Presente")/MAX(1,COUNTIFS(Presença!$B$8:$B$1007,$A52)),0)</f>
        <v>0</v>
      </c>
      <c r="K52" s="71" t="s">
        <v>487</v>
      </c>
      <c r="L52" s="91" t="n">
        <f aca="false">SUMIFS('Carga (PSE)'!$G$8:$G$1007,'Carga (PSE)'!$D$8:$D$1007,$K52)</f>
        <v>0</v>
      </c>
      <c r="M52" s="105" t="n">
        <f aca="false">IFERROR($L52/SUM($L$47:$L$56),0)</f>
        <v>0</v>
      </c>
    </row>
    <row r="53" customFormat="false" ht="15" hidden="false" customHeight="false" outlineLevel="0" collapsed="false">
      <c r="A53" s="70" t="n">
        <v>43</v>
      </c>
      <c r="B53" s="87" t="n">
        <f aca="false">IF(Macrociclo!$C$11="","",Macrociclo!$C$11+($A53-1)*7)</f>
        <v>46321</v>
      </c>
      <c r="C53" s="48" t="n">
        <f aca="false">SUMIFS('Carga (PSE)'!$G$8:$G$1007,'Carga (PSE)'!$B$8:$B$1007,$A53)</f>
        <v>0</v>
      </c>
      <c r="D53" s="88" t="n">
        <f aca="false">IFERROR($C53/MAX(1,COUNTIF(Cadastro!$T$7:$T$66,"Ativo")),0)</f>
        <v>0</v>
      </c>
      <c r="E53" s="69" t="n">
        <f aca="false">COUNTIFS('Carga (PSE)'!$B$8:$B$1007,$A53)</f>
        <v>0</v>
      </c>
      <c r="F53" s="89" t="n">
        <f aca="false">IFERROR(AVERAGEIFS('Carga (PSE)'!$F$8:$F$1007,'Carga (PSE)'!$B$8:$B$1007,$A53),0)</f>
        <v>0</v>
      </c>
      <c r="G53" s="89" t="n">
        <f aca="false">IFERROR(AVERAGEIFS(Wellness!$H$8:$H$1007,Wellness!$B$8:$B$1007,$A53),0)</f>
        <v>0</v>
      </c>
      <c r="H53" s="89" t="n">
        <f aca="false">IFERROR(AVERAGEIFS('Carga (PSE)'!$J$8:$J$1007,'Carga (PSE)'!$B$8:$B$1007,$A53),0)</f>
        <v>0</v>
      </c>
      <c r="I53" s="104" t="n">
        <f aca="false">IFERROR(COUNTIFS(Presença!$B$8:$B$1007,$A53,Presença!$E$8:$E$1007,"Presente")/MAX(1,COUNTIFS(Presença!$B$8:$B$1007,$A53)),0)</f>
        <v>0</v>
      </c>
      <c r="K53" s="68" t="s">
        <v>488</v>
      </c>
      <c r="L53" s="88" t="n">
        <f aca="false">SUMIFS('Carga (PSE)'!$G$8:$G$1007,'Carga (PSE)'!$D$8:$D$1007,$K53)</f>
        <v>0</v>
      </c>
      <c r="M53" s="104" t="n">
        <f aca="false">IFERROR($L53/SUM($L$47:$L$56),0)</f>
        <v>0</v>
      </c>
    </row>
    <row r="54" customFormat="false" ht="15" hidden="false" customHeight="false" outlineLevel="0" collapsed="false">
      <c r="A54" s="74" t="n">
        <v>44</v>
      </c>
      <c r="B54" s="90" t="n">
        <f aca="false">IF(Macrociclo!$C$11="","",Macrociclo!$C$11+($A54-1)*7)</f>
        <v>46328</v>
      </c>
      <c r="C54" s="92" t="n">
        <f aca="false">SUMIFS('Carga (PSE)'!$G$8:$G$1007,'Carga (PSE)'!$B$8:$B$1007,$A54)</f>
        <v>0</v>
      </c>
      <c r="D54" s="91" t="n">
        <f aca="false">IFERROR($C54/MAX(1,COUNTIF(Cadastro!$T$7:$T$66,"Ativo")),0)</f>
        <v>0</v>
      </c>
      <c r="E54" s="72" t="n">
        <f aca="false">COUNTIFS('Carga (PSE)'!$B$8:$B$1007,$A54)</f>
        <v>0</v>
      </c>
      <c r="F54" s="93" t="n">
        <f aca="false">IFERROR(AVERAGEIFS('Carga (PSE)'!$F$8:$F$1007,'Carga (PSE)'!$B$8:$B$1007,$A54),0)</f>
        <v>0</v>
      </c>
      <c r="G54" s="93" t="n">
        <f aca="false">IFERROR(AVERAGEIFS(Wellness!$H$8:$H$1007,Wellness!$B$8:$B$1007,$A54),0)</f>
        <v>0</v>
      </c>
      <c r="H54" s="93" t="n">
        <f aca="false">IFERROR(AVERAGEIFS('Carga (PSE)'!$J$8:$J$1007,'Carga (PSE)'!$B$8:$B$1007,$A54),0)</f>
        <v>0</v>
      </c>
      <c r="I54" s="105" t="n">
        <f aca="false">IFERROR(COUNTIFS(Presença!$B$8:$B$1007,$A54,Presença!$E$8:$E$1007,"Presente")/MAX(1,COUNTIFS(Presença!$B$8:$B$1007,$A54)),0)</f>
        <v>0</v>
      </c>
      <c r="K54" s="71" t="s">
        <v>489</v>
      </c>
      <c r="L54" s="91" t="n">
        <f aca="false">SUMIFS('Carga (PSE)'!$G$8:$G$1007,'Carga (PSE)'!$D$8:$D$1007,$K54)</f>
        <v>0</v>
      </c>
      <c r="M54" s="105" t="n">
        <f aca="false">IFERROR($L54/SUM($L$47:$L$56),0)</f>
        <v>0</v>
      </c>
    </row>
    <row r="55" customFormat="false" ht="15" hidden="false" customHeight="false" outlineLevel="0" collapsed="false">
      <c r="A55" s="70" t="n">
        <v>45</v>
      </c>
      <c r="B55" s="87" t="n">
        <f aca="false">IF(Macrociclo!$C$11="","",Macrociclo!$C$11+($A55-1)*7)</f>
        <v>46335</v>
      </c>
      <c r="C55" s="48" t="n">
        <f aca="false">SUMIFS('Carga (PSE)'!$G$8:$G$1007,'Carga (PSE)'!$B$8:$B$1007,$A55)</f>
        <v>0</v>
      </c>
      <c r="D55" s="88" t="n">
        <f aca="false">IFERROR($C55/MAX(1,COUNTIF(Cadastro!$T$7:$T$66,"Ativo")),0)</f>
        <v>0</v>
      </c>
      <c r="E55" s="69" t="n">
        <f aca="false">COUNTIFS('Carga (PSE)'!$B$8:$B$1007,$A55)</f>
        <v>0</v>
      </c>
      <c r="F55" s="89" t="n">
        <f aca="false">IFERROR(AVERAGEIFS('Carga (PSE)'!$F$8:$F$1007,'Carga (PSE)'!$B$8:$B$1007,$A55),0)</f>
        <v>0</v>
      </c>
      <c r="G55" s="89" t="n">
        <f aca="false">IFERROR(AVERAGEIFS(Wellness!$H$8:$H$1007,Wellness!$B$8:$B$1007,$A55),0)</f>
        <v>0</v>
      </c>
      <c r="H55" s="89" t="n">
        <f aca="false">IFERROR(AVERAGEIFS('Carga (PSE)'!$J$8:$J$1007,'Carga (PSE)'!$B$8:$B$1007,$A55),0)</f>
        <v>0</v>
      </c>
      <c r="I55" s="104" t="n">
        <f aca="false">IFERROR(COUNTIFS(Presença!$B$8:$B$1007,$A55,Presença!$E$8:$E$1007,"Presente")/MAX(1,COUNTIFS(Presença!$B$8:$B$1007,$A55)),0)</f>
        <v>0</v>
      </c>
      <c r="K55" s="68" t="s">
        <v>490</v>
      </c>
      <c r="L55" s="88" t="n">
        <f aca="false">SUMIFS('Carga (PSE)'!$G$8:$G$1007,'Carga (PSE)'!$D$8:$D$1007,$K55)</f>
        <v>0</v>
      </c>
      <c r="M55" s="104" t="n">
        <f aca="false">IFERROR($L55/SUM($L$47:$L$56),0)</f>
        <v>0</v>
      </c>
    </row>
    <row r="56" customFormat="false" ht="15" hidden="false" customHeight="false" outlineLevel="0" collapsed="false">
      <c r="A56" s="74" t="n">
        <v>46</v>
      </c>
      <c r="B56" s="90" t="n">
        <f aca="false">IF(Macrociclo!$C$11="","",Macrociclo!$C$11+($A56-1)*7)</f>
        <v>46342</v>
      </c>
      <c r="C56" s="92" t="n">
        <f aca="false">SUMIFS('Carga (PSE)'!$G$8:$G$1007,'Carga (PSE)'!$B$8:$B$1007,$A56)</f>
        <v>0</v>
      </c>
      <c r="D56" s="91" t="n">
        <f aca="false">IFERROR($C56/MAX(1,COUNTIF(Cadastro!$T$7:$T$66,"Ativo")),0)</f>
        <v>0</v>
      </c>
      <c r="E56" s="72" t="n">
        <f aca="false">COUNTIFS('Carga (PSE)'!$B$8:$B$1007,$A56)</f>
        <v>0</v>
      </c>
      <c r="F56" s="93" t="n">
        <f aca="false">IFERROR(AVERAGEIFS('Carga (PSE)'!$F$8:$F$1007,'Carga (PSE)'!$B$8:$B$1007,$A56),0)</f>
        <v>0</v>
      </c>
      <c r="G56" s="93" t="n">
        <f aca="false">IFERROR(AVERAGEIFS(Wellness!$H$8:$H$1007,Wellness!$B$8:$B$1007,$A56),0)</f>
        <v>0</v>
      </c>
      <c r="H56" s="93" t="n">
        <f aca="false">IFERROR(AVERAGEIFS('Carga (PSE)'!$J$8:$J$1007,'Carga (PSE)'!$B$8:$B$1007,$A56),0)</f>
        <v>0</v>
      </c>
      <c r="I56" s="105" t="n">
        <f aca="false">IFERROR(COUNTIFS(Presença!$B$8:$B$1007,$A56,Presença!$E$8:$E$1007,"Presente")/MAX(1,COUNTIFS(Presença!$B$8:$B$1007,$A56)),0)</f>
        <v>0</v>
      </c>
      <c r="K56" s="71" t="s">
        <v>491</v>
      </c>
      <c r="L56" s="91" t="n">
        <f aca="false">SUMIFS('Carga (PSE)'!$G$8:$G$1007,'Carga (PSE)'!$D$8:$D$1007,$K56)</f>
        <v>0</v>
      </c>
      <c r="M56" s="105" t="n">
        <f aca="false">IFERROR($L56/SUM($L$47:$L$56),0)</f>
        <v>0</v>
      </c>
    </row>
    <row r="57" customFormat="false" ht="15" hidden="false" customHeight="false" outlineLevel="0" collapsed="false">
      <c r="A57" s="70" t="n">
        <v>47</v>
      </c>
      <c r="B57" s="87" t="n">
        <f aca="false">IF(Macrociclo!$C$11="","",Macrociclo!$C$11+($A57-1)*7)</f>
        <v>46349</v>
      </c>
      <c r="C57" s="48" t="n">
        <f aca="false">SUMIFS('Carga (PSE)'!$G$8:$G$1007,'Carga (PSE)'!$B$8:$B$1007,$A57)</f>
        <v>0</v>
      </c>
      <c r="D57" s="88" t="n">
        <f aca="false">IFERROR($C57/MAX(1,COUNTIF(Cadastro!$T$7:$T$66,"Ativo")),0)</f>
        <v>0</v>
      </c>
      <c r="E57" s="69" t="n">
        <f aca="false">COUNTIFS('Carga (PSE)'!$B$8:$B$1007,$A57)</f>
        <v>0</v>
      </c>
      <c r="F57" s="89" t="n">
        <f aca="false">IFERROR(AVERAGEIFS('Carga (PSE)'!$F$8:$F$1007,'Carga (PSE)'!$B$8:$B$1007,$A57),0)</f>
        <v>0</v>
      </c>
      <c r="G57" s="89" t="n">
        <f aca="false">IFERROR(AVERAGEIFS(Wellness!$H$8:$H$1007,Wellness!$B$8:$B$1007,$A57),0)</f>
        <v>0</v>
      </c>
      <c r="H57" s="89" t="n">
        <f aca="false">IFERROR(AVERAGEIFS('Carga (PSE)'!$J$8:$J$1007,'Carga (PSE)'!$B$8:$B$1007,$A57),0)</f>
        <v>0</v>
      </c>
      <c r="I57" s="104" t="n">
        <f aca="false">IFERROR(COUNTIFS(Presença!$B$8:$B$1007,$A57,Presença!$E$8:$E$1007,"Presente")/MAX(1,COUNTIFS(Presença!$B$8:$B$1007,$A57)),0)</f>
        <v>0</v>
      </c>
    </row>
    <row r="58" customFormat="false" ht="15" hidden="false" customHeight="false" outlineLevel="0" collapsed="false">
      <c r="A58" s="74" t="n">
        <v>48</v>
      </c>
      <c r="B58" s="90" t="n">
        <f aca="false">IF(Macrociclo!$C$11="","",Macrociclo!$C$11+($A58-1)*7)</f>
        <v>46356</v>
      </c>
      <c r="C58" s="92" t="n">
        <f aca="false">SUMIFS('Carga (PSE)'!$G$8:$G$1007,'Carga (PSE)'!$B$8:$B$1007,$A58)</f>
        <v>0</v>
      </c>
      <c r="D58" s="91" t="n">
        <f aca="false">IFERROR($C58/MAX(1,COUNTIF(Cadastro!$T$7:$T$66,"Ativo")),0)</f>
        <v>0</v>
      </c>
      <c r="E58" s="72" t="n">
        <f aca="false">COUNTIFS('Carga (PSE)'!$B$8:$B$1007,$A58)</f>
        <v>0</v>
      </c>
      <c r="F58" s="93" t="n">
        <f aca="false">IFERROR(AVERAGEIFS('Carga (PSE)'!$F$8:$F$1007,'Carga (PSE)'!$B$8:$B$1007,$A58),0)</f>
        <v>0</v>
      </c>
      <c r="G58" s="93" t="n">
        <f aca="false">IFERROR(AVERAGEIFS(Wellness!$H$8:$H$1007,Wellness!$B$8:$B$1007,$A58),0)</f>
        <v>0</v>
      </c>
      <c r="H58" s="93" t="n">
        <f aca="false">IFERROR(AVERAGEIFS('Carga (PSE)'!$J$8:$J$1007,'Carga (PSE)'!$B$8:$B$1007,$A58),0)</f>
        <v>0</v>
      </c>
      <c r="I58" s="105" t="n">
        <f aca="false">IFERROR(COUNTIFS(Presença!$B$8:$B$1007,$A58,Presença!$E$8:$E$1007,"Presente")/MAX(1,COUNTIFS(Presença!$B$8:$B$1007,$A58)),0)</f>
        <v>0</v>
      </c>
    </row>
    <row r="61" customFormat="false" ht="19.5" hidden="false" customHeight="true" outlineLevel="0" collapsed="false">
      <c r="A61" s="3" t="s">
        <v>492</v>
      </c>
      <c r="B61" s="3"/>
      <c r="C61" s="3"/>
      <c r="D61" s="3"/>
      <c r="E61" s="3"/>
      <c r="F61" s="3"/>
      <c r="G61" s="3"/>
      <c r="H61" s="3"/>
      <c r="I61" s="3"/>
    </row>
    <row r="62" customFormat="false" ht="31.5" hidden="false" customHeight="true" outlineLevel="0" collapsed="false">
      <c r="A62" s="18" t="s">
        <v>386</v>
      </c>
      <c r="B62" s="18" t="s">
        <v>62</v>
      </c>
      <c r="C62" s="18" t="s">
        <v>457</v>
      </c>
      <c r="D62" s="18" t="s">
        <v>475</v>
      </c>
      <c r="E62" s="18" t="s">
        <v>493</v>
      </c>
      <c r="F62" s="18" t="s">
        <v>494</v>
      </c>
      <c r="G62" s="18" t="s">
        <v>411</v>
      </c>
      <c r="H62" s="18" t="s">
        <v>478</v>
      </c>
      <c r="I62" s="18" t="s">
        <v>309</v>
      </c>
    </row>
    <row r="63" customFormat="false" ht="15" hidden="false" customHeight="false" outlineLevel="0" collapsed="false">
      <c r="A63" s="68" t="str">
        <f aca="false">IF(Cadastro!$B7="","",Cadastro!$B7)</f>
        <v/>
      </c>
      <c r="B63" s="68" t="str">
        <f aca="false">IF($A63="","",Cadastro!$F7)</f>
        <v/>
      </c>
      <c r="C63" s="69" t="n">
        <f aca="false">IF($A63="",0,COUNTIFS('Carga (PSE)'!$C$8:$C$1007,$A63))</f>
        <v>0</v>
      </c>
      <c r="D63" s="48" t="n">
        <f aca="false">IF($A63="",0,SUMIFS('Carga (PSE)'!$G$8:$G$1007,'Carga (PSE)'!$C$8:$C$1007,$A63))</f>
        <v>0</v>
      </c>
      <c r="E63" s="88" t="n">
        <f aca="false">IF($C63=0,0,$D63/$C63)</f>
        <v>0</v>
      </c>
      <c r="F63" s="89" t="n">
        <f aca="false">IF($A63="",0,IFERROR(AVERAGEIFS('Carga (PSE)'!$J$8:$J$1007,'Carga (PSE)'!$C$8:$C$1007,$A63,'Carga (PSE)'!$A$8:$A$1007,SUMPRODUCT(MAX(('Carga (PSE)'!$C$8:$C$1007=$A63)*'Carga (PSE)'!$A$8:$A$1007))),0))</f>
        <v>0</v>
      </c>
      <c r="G63" s="104" t="n">
        <f aca="false">IF($A63="",0,IFERROR(INDEX(Presença!$L$8:$L$67,MATCH($A63,Presença!$I$8:$I$67,0)),0))</f>
        <v>0</v>
      </c>
      <c r="H63" s="106" t="n">
        <f aca="false">IF($A63="",0,IFERROR(AVERAGEIFS(Wellness!$H$8:$H$1007,Wellness!$C$8:$C$1007,$A63),0))</f>
        <v>0</v>
      </c>
      <c r="I63" s="68" t="str">
        <f aca="false">IF($A63="","",IF(Cadastro!$T7="Lesionado","LESIONADO",IF($F63&gt;1.5,"ALERTA — carga aguda alta",IF($H63&gt;16,"ALERTA — wellness baixo",IF(AND($G63&gt;0,$G63&lt;0.75),"Assiduidade baixa",IF($C63=0,"Sem registros","OK"))))))</f>
        <v/>
      </c>
    </row>
    <row r="64" customFormat="false" ht="15" hidden="false" customHeight="false" outlineLevel="0" collapsed="false">
      <c r="A64" s="71" t="str">
        <f aca="false">IF(Cadastro!$B8="","",Cadastro!$B8)</f>
        <v/>
      </c>
      <c r="B64" s="71" t="str">
        <f aca="false">IF($A64="","",Cadastro!$F8)</f>
        <v/>
      </c>
      <c r="C64" s="72" t="n">
        <f aca="false">IF($A64="",0,COUNTIFS('Carga (PSE)'!$C$8:$C$1007,$A64))</f>
        <v>0</v>
      </c>
      <c r="D64" s="92" t="n">
        <f aca="false">IF($A64="",0,SUMIFS('Carga (PSE)'!$G$8:$G$1007,'Carga (PSE)'!$C$8:$C$1007,$A64))</f>
        <v>0</v>
      </c>
      <c r="E64" s="91" t="n">
        <f aca="false">IF($C64=0,0,$D64/$C64)</f>
        <v>0</v>
      </c>
      <c r="F64" s="93" t="n">
        <f aca="false">IF($A64="",0,IFERROR(AVERAGEIFS('Carga (PSE)'!$J$8:$J$1007,'Carga (PSE)'!$C$8:$C$1007,$A64,'Carga (PSE)'!$A$8:$A$1007,SUMPRODUCT(MAX(('Carga (PSE)'!$C$8:$C$1007=$A64)*'Carga (PSE)'!$A$8:$A$1007))),0))</f>
        <v>0</v>
      </c>
      <c r="G64" s="105" t="n">
        <f aca="false">IF($A64="",0,IFERROR(INDEX(Presença!$L$8:$L$67,MATCH($A64,Presença!$I$8:$I$67,0)),0))</f>
        <v>0</v>
      </c>
      <c r="H64" s="107" t="n">
        <f aca="false">IF($A64="",0,IFERROR(AVERAGEIFS(Wellness!$H$8:$H$1007,Wellness!$C$8:$C$1007,$A64),0))</f>
        <v>0</v>
      </c>
      <c r="I64" s="71" t="str">
        <f aca="false">IF($A64="","",IF(Cadastro!$T8="Lesionado","LESIONADO",IF($F64&gt;1.5,"ALERTA — carga aguda alta",IF($H64&gt;16,"ALERTA — wellness baixo",IF(AND($G64&gt;0,$G64&lt;0.75),"Assiduidade baixa",IF($C64=0,"Sem registros","OK"))))))</f>
        <v/>
      </c>
    </row>
    <row r="65" customFormat="false" ht="15" hidden="false" customHeight="false" outlineLevel="0" collapsed="false">
      <c r="A65" s="68" t="str">
        <f aca="false">IF(Cadastro!$B9="","",Cadastro!$B9)</f>
        <v/>
      </c>
      <c r="B65" s="68" t="str">
        <f aca="false">IF($A65="","",Cadastro!$F9)</f>
        <v/>
      </c>
      <c r="C65" s="69" t="n">
        <f aca="false">IF($A65="",0,COUNTIFS('Carga (PSE)'!$C$8:$C$1007,$A65))</f>
        <v>0</v>
      </c>
      <c r="D65" s="48" t="n">
        <f aca="false">IF($A65="",0,SUMIFS('Carga (PSE)'!$G$8:$G$1007,'Carga (PSE)'!$C$8:$C$1007,$A65))</f>
        <v>0</v>
      </c>
      <c r="E65" s="88" t="n">
        <f aca="false">IF($C65=0,0,$D65/$C65)</f>
        <v>0</v>
      </c>
      <c r="F65" s="89" t="n">
        <f aca="false">IF($A65="",0,IFERROR(AVERAGEIFS('Carga (PSE)'!$J$8:$J$1007,'Carga (PSE)'!$C$8:$C$1007,$A65,'Carga (PSE)'!$A$8:$A$1007,SUMPRODUCT(MAX(('Carga (PSE)'!$C$8:$C$1007=$A65)*'Carga (PSE)'!$A$8:$A$1007))),0))</f>
        <v>0</v>
      </c>
      <c r="G65" s="104" t="n">
        <f aca="false">IF($A65="",0,IFERROR(INDEX(Presença!$L$8:$L$67,MATCH($A65,Presença!$I$8:$I$67,0)),0))</f>
        <v>0</v>
      </c>
      <c r="H65" s="106" t="n">
        <f aca="false">IF($A65="",0,IFERROR(AVERAGEIFS(Wellness!$H$8:$H$1007,Wellness!$C$8:$C$1007,$A65),0))</f>
        <v>0</v>
      </c>
      <c r="I65" s="68" t="str">
        <f aca="false">IF($A65="","",IF(Cadastro!$T9="Lesionado","LESIONADO",IF($F65&gt;1.5,"ALERTA — carga aguda alta",IF($H65&gt;16,"ALERTA — wellness baixo",IF(AND($G65&gt;0,$G65&lt;0.75),"Assiduidade baixa",IF($C65=0,"Sem registros","OK"))))))</f>
        <v/>
      </c>
    </row>
    <row r="66" customFormat="false" ht="15" hidden="false" customHeight="false" outlineLevel="0" collapsed="false">
      <c r="A66" s="71" t="str">
        <f aca="false">IF(Cadastro!$B10="","",Cadastro!$B10)</f>
        <v/>
      </c>
      <c r="B66" s="71" t="str">
        <f aca="false">IF($A66="","",Cadastro!$F10)</f>
        <v/>
      </c>
      <c r="C66" s="72" t="n">
        <f aca="false">IF($A66="",0,COUNTIFS('Carga (PSE)'!$C$8:$C$1007,$A66))</f>
        <v>0</v>
      </c>
      <c r="D66" s="92" t="n">
        <f aca="false">IF($A66="",0,SUMIFS('Carga (PSE)'!$G$8:$G$1007,'Carga (PSE)'!$C$8:$C$1007,$A66))</f>
        <v>0</v>
      </c>
      <c r="E66" s="91" t="n">
        <f aca="false">IF($C66=0,0,$D66/$C66)</f>
        <v>0</v>
      </c>
      <c r="F66" s="93" t="n">
        <f aca="false">IF($A66="",0,IFERROR(AVERAGEIFS('Carga (PSE)'!$J$8:$J$1007,'Carga (PSE)'!$C$8:$C$1007,$A66,'Carga (PSE)'!$A$8:$A$1007,SUMPRODUCT(MAX(('Carga (PSE)'!$C$8:$C$1007=$A66)*'Carga (PSE)'!$A$8:$A$1007))),0))</f>
        <v>0</v>
      </c>
      <c r="G66" s="105" t="n">
        <f aca="false">IF($A66="",0,IFERROR(INDEX(Presença!$L$8:$L$67,MATCH($A66,Presença!$I$8:$I$67,0)),0))</f>
        <v>0</v>
      </c>
      <c r="H66" s="107" t="n">
        <f aca="false">IF($A66="",0,IFERROR(AVERAGEIFS(Wellness!$H$8:$H$1007,Wellness!$C$8:$C$1007,$A66),0))</f>
        <v>0</v>
      </c>
      <c r="I66" s="71" t="str">
        <f aca="false">IF($A66="","",IF(Cadastro!$T10="Lesionado","LESIONADO",IF($F66&gt;1.5,"ALERTA — carga aguda alta",IF($H66&gt;16,"ALERTA — wellness baixo",IF(AND($G66&gt;0,$G66&lt;0.75),"Assiduidade baixa",IF($C66=0,"Sem registros","OK"))))))</f>
        <v/>
      </c>
    </row>
    <row r="67" customFormat="false" ht="15" hidden="false" customHeight="false" outlineLevel="0" collapsed="false">
      <c r="A67" s="68" t="str">
        <f aca="false">IF(Cadastro!$B11="","",Cadastro!$B11)</f>
        <v/>
      </c>
      <c r="B67" s="68" t="str">
        <f aca="false">IF($A67="","",Cadastro!$F11)</f>
        <v/>
      </c>
      <c r="C67" s="69" t="n">
        <f aca="false">IF($A67="",0,COUNTIFS('Carga (PSE)'!$C$8:$C$1007,$A67))</f>
        <v>0</v>
      </c>
      <c r="D67" s="48" t="n">
        <f aca="false">IF($A67="",0,SUMIFS('Carga (PSE)'!$G$8:$G$1007,'Carga (PSE)'!$C$8:$C$1007,$A67))</f>
        <v>0</v>
      </c>
      <c r="E67" s="88" t="n">
        <f aca="false">IF($C67=0,0,$D67/$C67)</f>
        <v>0</v>
      </c>
      <c r="F67" s="89" t="n">
        <f aca="false">IF($A67="",0,IFERROR(AVERAGEIFS('Carga (PSE)'!$J$8:$J$1007,'Carga (PSE)'!$C$8:$C$1007,$A67,'Carga (PSE)'!$A$8:$A$1007,SUMPRODUCT(MAX(('Carga (PSE)'!$C$8:$C$1007=$A67)*'Carga (PSE)'!$A$8:$A$1007))),0))</f>
        <v>0</v>
      </c>
      <c r="G67" s="104" t="n">
        <f aca="false">IF($A67="",0,IFERROR(INDEX(Presença!$L$8:$L$67,MATCH($A67,Presença!$I$8:$I$67,0)),0))</f>
        <v>0</v>
      </c>
      <c r="H67" s="106" t="n">
        <f aca="false">IF($A67="",0,IFERROR(AVERAGEIFS(Wellness!$H$8:$H$1007,Wellness!$C$8:$C$1007,$A67),0))</f>
        <v>0</v>
      </c>
      <c r="I67" s="68" t="str">
        <f aca="false">IF($A67="","",IF(Cadastro!$T11="Lesionado","LESIONADO",IF($F67&gt;1.5,"ALERTA — carga aguda alta",IF($H67&gt;16,"ALERTA — wellness baixo",IF(AND($G67&gt;0,$G67&lt;0.75),"Assiduidade baixa",IF($C67=0,"Sem registros","OK"))))))</f>
        <v/>
      </c>
    </row>
    <row r="68" customFormat="false" ht="15" hidden="false" customHeight="false" outlineLevel="0" collapsed="false">
      <c r="A68" s="71" t="str">
        <f aca="false">IF(Cadastro!$B12="","",Cadastro!$B12)</f>
        <v/>
      </c>
      <c r="B68" s="71" t="str">
        <f aca="false">IF($A68="","",Cadastro!$F12)</f>
        <v/>
      </c>
      <c r="C68" s="72" t="n">
        <f aca="false">IF($A68="",0,COUNTIFS('Carga (PSE)'!$C$8:$C$1007,$A68))</f>
        <v>0</v>
      </c>
      <c r="D68" s="92" t="n">
        <f aca="false">IF($A68="",0,SUMIFS('Carga (PSE)'!$G$8:$G$1007,'Carga (PSE)'!$C$8:$C$1007,$A68))</f>
        <v>0</v>
      </c>
      <c r="E68" s="91" t="n">
        <f aca="false">IF($C68=0,0,$D68/$C68)</f>
        <v>0</v>
      </c>
      <c r="F68" s="93" t="n">
        <f aca="false">IF($A68="",0,IFERROR(AVERAGEIFS('Carga (PSE)'!$J$8:$J$1007,'Carga (PSE)'!$C$8:$C$1007,$A68,'Carga (PSE)'!$A$8:$A$1007,SUMPRODUCT(MAX(('Carga (PSE)'!$C$8:$C$1007=$A68)*'Carga (PSE)'!$A$8:$A$1007))),0))</f>
        <v>0</v>
      </c>
      <c r="G68" s="105" t="n">
        <f aca="false">IF($A68="",0,IFERROR(INDEX(Presença!$L$8:$L$67,MATCH($A68,Presença!$I$8:$I$67,0)),0))</f>
        <v>0</v>
      </c>
      <c r="H68" s="107" t="n">
        <f aca="false">IF($A68="",0,IFERROR(AVERAGEIFS(Wellness!$H$8:$H$1007,Wellness!$C$8:$C$1007,$A68),0))</f>
        <v>0</v>
      </c>
      <c r="I68" s="71" t="str">
        <f aca="false">IF($A68="","",IF(Cadastro!$T12="Lesionado","LESIONADO",IF($F68&gt;1.5,"ALERTA — carga aguda alta",IF($H68&gt;16,"ALERTA — wellness baixo",IF(AND($G68&gt;0,$G68&lt;0.75),"Assiduidade baixa",IF($C68=0,"Sem registros","OK"))))))</f>
        <v/>
      </c>
    </row>
    <row r="69" customFormat="false" ht="15" hidden="false" customHeight="false" outlineLevel="0" collapsed="false">
      <c r="A69" s="68" t="str">
        <f aca="false">IF(Cadastro!$B13="","",Cadastro!$B13)</f>
        <v/>
      </c>
      <c r="B69" s="68" t="str">
        <f aca="false">IF($A69="","",Cadastro!$F13)</f>
        <v/>
      </c>
      <c r="C69" s="69" t="n">
        <f aca="false">IF($A69="",0,COUNTIFS('Carga (PSE)'!$C$8:$C$1007,$A69))</f>
        <v>0</v>
      </c>
      <c r="D69" s="48" t="n">
        <f aca="false">IF($A69="",0,SUMIFS('Carga (PSE)'!$G$8:$G$1007,'Carga (PSE)'!$C$8:$C$1007,$A69))</f>
        <v>0</v>
      </c>
      <c r="E69" s="88" t="n">
        <f aca="false">IF($C69=0,0,$D69/$C69)</f>
        <v>0</v>
      </c>
      <c r="F69" s="89" t="n">
        <f aca="false">IF($A69="",0,IFERROR(AVERAGEIFS('Carga (PSE)'!$J$8:$J$1007,'Carga (PSE)'!$C$8:$C$1007,$A69,'Carga (PSE)'!$A$8:$A$1007,SUMPRODUCT(MAX(('Carga (PSE)'!$C$8:$C$1007=$A69)*'Carga (PSE)'!$A$8:$A$1007))),0))</f>
        <v>0</v>
      </c>
      <c r="G69" s="104" t="n">
        <f aca="false">IF($A69="",0,IFERROR(INDEX(Presença!$L$8:$L$67,MATCH($A69,Presença!$I$8:$I$67,0)),0))</f>
        <v>0</v>
      </c>
      <c r="H69" s="106" t="n">
        <f aca="false">IF($A69="",0,IFERROR(AVERAGEIFS(Wellness!$H$8:$H$1007,Wellness!$C$8:$C$1007,$A69),0))</f>
        <v>0</v>
      </c>
      <c r="I69" s="68" t="str">
        <f aca="false">IF($A69="","",IF(Cadastro!$T13="Lesionado","LESIONADO",IF($F69&gt;1.5,"ALERTA — carga aguda alta",IF($H69&gt;16,"ALERTA — wellness baixo",IF(AND($G69&gt;0,$G69&lt;0.75),"Assiduidade baixa",IF($C69=0,"Sem registros","OK"))))))</f>
        <v/>
      </c>
    </row>
    <row r="70" customFormat="false" ht="15" hidden="false" customHeight="false" outlineLevel="0" collapsed="false">
      <c r="A70" s="71" t="str">
        <f aca="false">IF(Cadastro!$B14="","",Cadastro!$B14)</f>
        <v/>
      </c>
      <c r="B70" s="71" t="str">
        <f aca="false">IF($A70="","",Cadastro!$F14)</f>
        <v/>
      </c>
      <c r="C70" s="72" t="n">
        <f aca="false">IF($A70="",0,COUNTIFS('Carga (PSE)'!$C$8:$C$1007,$A70))</f>
        <v>0</v>
      </c>
      <c r="D70" s="92" t="n">
        <f aca="false">IF($A70="",0,SUMIFS('Carga (PSE)'!$G$8:$G$1007,'Carga (PSE)'!$C$8:$C$1007,$A70))</f>
        <v>0</v>
      </c>
      <c r="E70" s="91" t="n">
        <f aca="false">IF($C70=0,0,$D70/$C70)</f>
        <v>0</v>
      </c>
      <c r="F70" s="93" t="n">
        <f aca="false">IF($A70="",0,IFERROR(AVERAGEIFS('Carga (PSE)'!$J$8:$J$1007,'Carga (PSE)'!$C$8:$C$1007,$A70,'Carga (PSE)'!$A$8:$A$1007,SUMPRODUCT(MAX(('Carga (PSE)'!$C$8:$C$1007=$A70)*'Carga (PSE)'!$A$8:$A$1007))),0))</f>
        <v>0</v>
      </c>
      <c r="G70" s="105" t="n">
        <f aca="false">IF($A70="",0,IFERROR(INDEX(Presença!$L$8:$L$67,MATCH($A70,Presença!$I$8:$I$67,0)),0))</f>
        <v>0</v>
      </c>
      <c r="H70" s="107" t="n">
        <f aca="false">IF($A70="",0,IFERROR(AVERAGEIFS(Wellness!$H$8:$H$1007,Wellness!$C$8:$C$1007,$A70),0))</f>
        <v>0</v>
      </c>
      <c r="I70" s="71" t="str">
        <f aca="false">IF($A70="","",IF(Cadastro!$T14="Lesionado","LESIONADO",IF($F70&gt;1.5,"ALERTA — carga aguda alta",IF($H70&gt;16,"ALERTA — wellness baixo",IF(AND($G70&gt;0,$G70&lt;0.75),"Assiduidade baixa",IF($C70=0,"Sem registros","OK"))))))</f>
        <v/>
      </c>
    </row>
    <row r="71" customFormat="false" ht="15" hidden="false" customHeight="false" outlineLevel="0" collapsed="false">
      <c r="A71" s="68" t="str">
        <f aca="false">IF(Cadastro!$B15="","",Cadastro!$B15)</f>
        <v/>
      </c>
      <c r="B71" s="68" t="str">
        <f aca="false">IF($A71="","",Cadastro!$F15)</f>
        <v/>
      </c>
      <c r="C71" s="69" t="n">
        <f aca="false">IF($A71="",0,COUNTIFS('Carga (PSE)'!$C$8:$C$1007,$A71))</f>
        <v>0</v>
      </c>
      <c r="D71" s="48" t="n">
        <f aca="false">IF($A71="",0,SUMIFS('Carga (PSE)'!$G$8:$G$1007,'Carga (PSE)'!$C$8:$C$1007,$A71))</f>
        <v>0</v>
      </c>
      <c r="E71" s="88" t="n">
        <f aca="false">IF($C71=0,0,$D71/$C71)</f>
        <v>0</v>
      </c>
      <c r="F71" s="89" t="n">
        <f aca="false">IF($A71="",0,IFERROR(AVERAGEIFS('Carga (PSE)'!$J$8:$J$1007,'Carga (PSE)'!$C$8:$C$1007,$A71,'Carga (PSE)'!$A$8:$A$1007,SUMPRODUCT(MAX(('Carga (PSE)'!$C$8:$C$1007=$A71)*'Carga (PSE)'!$A$8:$A$1007))),0))</f>
        <v>0</v>
      </c>
      <c r="G71" s="104" t="n">
        <f aca="false">IF($A71="",0,IFERROR(INDEX(Presença!$L$8:$L$67,MATCH($A71,Presença!$I$8:$I$67,0)),0))</f>
        <v>0</v>
      </c>
      <c r="H71" s="106" t="n">
        <f aca="false">IF($A71="",0,IFERROR(AVERAGEIFS(Wellness!$H$8:$H$1007,Wellness!$C$8:$C$1007,$A71),0))</f>
        <v>0</v>
      </c>
      <c r="I71" s="68" t="str">
        <f aca="false">IF($A71="","",IF(Cadastro!$T15="Lesionado","LESIONADO",IF($F71&gt;1.5,"ALERTA — carga aguda alta",IF($H71&gt;16,"ALERTA — wellness baixo",IF(AND($G71&gt;0,$G71&lt;0.75),"Assiduidade baixa",IF($C71=0,"Sem registros","OK"))))))</f>
        <v/>
      </c>
    </row>
    <row r="72" customFormat="false" ht="15" hidden="false" customHeight="false" outlineLevel="0" collapsed="false">
      <c r="A72" s="71" t="str">
        <f aca="false">IF(Cadastro!$B16="","",Cadastro!$B16)</f>
        <v/>
      </c>
      <c r="B72" s="71" t="str">
        <f aca="false">IF($A72="","",Cadastro!$F16)</f>
        <v/>
      </c>
      <c r="C72" s="72" t="n">
        <f aca="false">IF($A72="",0,COUNTIFS('Carga (PSE)'!$C$8:$C$1007,$A72))</f>
        <v>0</v>
      </c>
      <c r="D72" s="92" t="n">
        <f aca="false">IF($A72="",0,SUMIFS('Carga (PSE)'!$G$8:$G$1007,'Carga (PSE)'!$C$8:$C$1007,$A72))</f>
        <v>0</v>
      </c>
      <c r="E72" s="91" t="n">
        <f aca="false">IF($C72=0,0,$D72/$C72)</f>
        <v>0</v>
      </c>
      <c r="F72" s="93" t="n">
        <f aca="false">IF($A72="",0,IFERROR(AVERAGEIFS('Carga (PSE)'!$J$8:$J$1007,'Carga (PSE)'!$C$8:$C$1007,$A72,'Carga (PSE)'!$A$8:$A$1007,SUMPRODUCT(MAX(('Carga (PSE)'!$C$8:$C$1007=$A72)*'Carga (PSE)'!$A$8:$A$1007))),0))</f>
        <v>0</v>
      </c>
      <c r="G72" s="105" t="n">
        <f aca="false">IF($A72="",0,IFERROR(INDEX(Presença!$L$8:$L$67,MATCH($A72,Presença!$I$8:$I$67,0)),0))</f>
        <v>0</v>
      </c>
      <c r="H72" s="107" t="n">
        <f aca="false">IF($A72="",0,IFERROR(AVERAGEIFS(Wellness!$H$8:$H$1007,Wellness!$C$8:$C$1007,$A72),0))</f>
        <v>0</v>
      </c>
      <c r="I72" s="71" t="str">
        <f aca="false">IF($A72="","",IF(Cadastro!$T16="Lesionado","LESIONADO",IF($F72&gt;1.5,"ALERTA — carga aguda alta",IF($H72&gt;16,"ALERTA — wellness baixo",IF(AND($G72&gt;0,$G72&lt;0.75),"Assiduidade baixa",IF($C72=0,"Sem registros","OK"))))))</f>
        <v/>
      </c>
    </row>
    <row r="73" customFormat="false" ht="15" hidden="false" customHeight="false" outlineLevel="0" collapsed="false">
      <c r="A73" s="68" t="str">
        <f aca="false">IF(Cadastro!$B17="","",Cadastro!$B17)</f>
        <v/>
      </c>
      <c r="B73" s="68" t="str">
        <f aca="false">IF($A73="","",Cadastro!$F17)</f>
        <v/>
      </c>
      <c r="C73" s="69" t="n">
        <f aca="false">IF($A73="",0,COUNTIFS('Carga (PSE)'!$C$8:$C$1007,$A73))</f>
        <v>0</v>
      </c>
      <c r="D73" s="48" t="n">
        <f aca="false">IF($A73="",0,SUMIFS('Carga (PSE)'!$G$8:$G$1007,'Carga (PSE)'!$C$8:$C$1007,$A73))</f>
        <v>0</v>
      </c>
      <c r="E73" s="88" t="n">
        <f aca="false">IF($C73=0,0,$D73/$C73)</f>
        <v>0</v>
      </c>
      <c r="F73" s="89" t="n">
        <f aca="false">IF($A73="",0,IFERROR(AVERAGEIFS('Carga (PSE)'!$J$8:$J$1007,'Carga (PSE)'!$C$8:$C$1007,$A73,'Carga (PSE)'!$A$8:$A$1007,SUMPRODUCT(MAX(('Carga (PSE)'!$C$8:$C$1007=$A73)*'Carga (PSE)'!$A$8:$A$1007))),0))</f>
        <v>0</v>
      </c>
      <c r="G73" s="104" t="n">
        <f aca="false">IF($A73="",0,IFERROR(INDEX(Presença!$L$8:$L$67,MATCH($A73,Presença!$I$8:$I$67,0)),0))</f>
        <v>0</v>
      </c>
      <c r="H73" s="106" t="n">
        <f aca="false">IF($A73="",0,IFERROR(AVERAGEIFS(Wellness!$H$8:$H$1007,Wellness!$C$8:$C$1007,$A73),0))</f>
        <v>0</v>
      </c>
      <c r="I73" s="68" t="str">
        <f aca="false">IF($A73="","",IF(Cadastro!$T17="Lesionado","LESIONADO",IF($F73&gt;1.5,"ALERTA — carga aguda alta",IF($H73&gt;16,"ALERTA — wellness baixo",IF(AND($G73&gt;0,$G73&lt;0.75),"Assiduidade baixa",IF($C73=0,"Sem registros","OK"))))))</f>
        <v/>
      </c>
    </row>
    <row r="74" customFormat="false" ht="15" hidden="false" customHeight="false" outlineLevel="0" collapsed="false">
      <c r="A74" s="71" t="str">
        <f aca="false">IF(Cadastro!$B18="","",Cadastro!$B18)</f>
        <v/>
      </c>
      <c r="B74" s="71" t="str">
        <f aca="false">IF($A74="","",Cadastro!$F18)</f>
        <v/>
      </c>
      <c r="C74" s="72" t="n">
        <f aca="false">IF($A74="",0,COUNTIFS('Carga (PSE)'!$C$8:$C$1007,$A74))</f>
        <v>0</v>
      </c>
      <c r="D74" s="92" t="n">
        <f aca="false">IF($A74="",0,SUMIFS('Carga (PSE)'!$G$8:$G$1007,'Carga (PSE)'!$C$8:$C$1007,$A74))</f>
        <v>0</v>
      </c>
      <c r="E74" s="91" t="n">
        <f aca="false">IF($C74=0,0,$D74/$C74)</f>
        <v>0</v>
      </c>
      <c r="F74" s="93" t="n">
        <f aca="false">IF($A74="",0,IFERROR(AVERAGEIFS('Carga (PSE)'!$J$8:$J$1007,'Carga (PSE)'!$C$8:$C$1007,$A74,'Carga (PSE)'!$A$8:$A$1007,SUMPRODUCT(MAX(('Carga (PSE)'!$C$8:$C$1007=$A74)*'Carga (PSE)'!$A$8:$A$1007))),0))</f>
        <v>0</v>
      </c>
      <c r="G74" s="105" t="n">
        <f aca="false">IF($A74="",0,IFERROR(INDEX(Presença!$L$8:$L$67,MATCH($A74,Presença!$I$8:$I$67,0)),0))</f>
        <v>0</v>
      </c>
      <c r="H74" s="107" t="n">
        <f aca="false">IF($A74="",0,IFERROR(AVERAGEIFS(Wellness!$H$8:$H$1007,Wellness!$C$8:$C$1007,$A74),0))</f>
        <v>0</v>
      </c>
      <c r="I74" s="71" t="str">
        <f aca="false">IF($A74="","",IF(Cadastro!$T18="Lesionado","LESIONADO",IF($F74&gt;1.5,"ALERTA — carga aguda alta",IF($H74&gt;16,"ALERTA — wellness baixo",IF(AND($G74&gt;0,$G74&lt;0.75),"Assiduidade baixa",IF($C74=0,"Sem registros","OK"))))))</f>
        <v/>
      </c>
    </row>
    <row r="75" customFormat="false" ht="15" hidden="false" customHeight="false" outlineLevel="0" collapsed="false">
      <c r="A75" s="68" t="str">
        <f aca="false">IF(Cadastro!$B19="","",Cadastro!$B19)</f>
        <v/>
      </c>
      <c r="B75" s="68" t="str">
        <f aca="false">IF($A75="","",Cadastro!$F19)</f>
        <v/>
      </c>
      <c r="C75" s="69" t="n">
        <f aca="false">IF($A75="",0,COUNTIFS('Carga (PSE)'!$C$8:$C$1007,$A75))</f>
        <v>0</v>
      </c>
      <c r="D75" s="48" t="n">
        <f aca="false">IF($A75="",0,SUMIFS('Carga (PSE)'!$G$8:$G$1007,'Carga (PSE)'!$C$8:$C$1007,$A75))</f>
        <v>0</v>
      </c>
      <c r="E75" s="88" t="n">
        <f aca="false">IF($C75=0,0,$D75/$C75)</f>
        <v>0</v>
      </c>
      <c r="F75" s="89" t="n">
        <f aca="false">IF($A75="",0,IFERROR(AVERAGEIFS('Carga (PSE)'!$J$8:$J$1007,'Carga (PSE)'!$C$8:$C$1007,$A75,'Carga (PSE)'!$A$8:$A$1007,SUMPRODUCT(MAX(('Carga (PSE)'!$C$8:$C$1007=$A75)*'Carga (PSE)'!$A$8:$A$1007))),0))</f>
        <v>0</v>
      </c>
      <c r="G75" s="104" t="n">
        <f aca="false">IF($A75="",0,IFERROR(INDEX(Presença!$L$8:$L$67,MATCH($A75,Presença!$I$8:$I$67,0)),0))</f>
        <v>0</v>
      </c>
      <c r="H75" s="106" t="n">
        <f aca="false">IF($A75="",0,IFERROR(AVERAGEIFS(Wellness!$H$8:$H$1007,Wellness!$C$8:$C$1007,$A75),0))</f>
        <v>0</v>
      </c>
      <c r="I75" s="68" t="str">
        <f aca="false">IF($A75="","",IF(Cadastro!$T19="Lesionado","LESIONADO",IF($F75&gt;1.5,"ALERTA — carga aguda alta",IF($H75&gt;16,"ALERTA — wellness baixo",IF(AND($G75&gt;0,$G75&lt;0.75),"Assiduidade baixa",IF($C75=0,"Sem registros","OK"))))))</f>
        <v/>
      </c>
    </row>
    <row r="76" customFormat="false" ht="15" hidden="false" customHeight="false" outlineLevel="0" collapsed="false">
      <c r="A76" s="71" t="str">
        <f aca="false">IF(Cadastro!$B20="","",Cadastro!$B20)</f>
        <v/>
      </c>
      <c r="B76" s="71" t="str">
        <f aca="false">IF($A76="","",Cadastro!$F20)</f>
        <v/>
      </c>
      <c r="C76" s="72" t="n">
        <f aca="false">IF($A76="",0,COUNTIFS('Carga (PSE)'!$C$8:$C$1007,$A76))</f>
        <v>0</v>
      </c>
      <c r="D76" s="92" t="n">
        <f aca="false">IF($A76="",0,SUMIFS('Carga (PSE)'!$G$8:$G$1007,'Carga (PSE)'!$C$8:$C$1007,$A76))</f>
        <v>0</v>
      </c>
      <c r="E76" s="91" t="n">
        <f aca="false">IF($C76=0,0,$D76/$C76)</f>
        <v>0</v>
      </c>
      <c r="F76" s="93" t="n">
        <f aca="false">IF($A76="",0,IFERROR(AVERAGEIFS('Carga (PSE)'!$J$8:$J$1007,'Carga (PSE)'!$C$8:$C$1007,$A76,'Carga (PSE)'!$A$8:$A$1007,SUMPRODUCT(MAX(('Carga (PSE)'!$C$8:$C$1007=$A76)*'Carga (PSE)'!$A$8:$A$1007))),0))</f>
        <v>0</v>
      </c>
      <c r="G76" s="105" t="n">
        <f aca="false">IF($A76="",0,IFERROR(INDEX(Presença!$L$8:$L$67,MATCH($A76,Presença!$I$8:$I$67,0)),0))</f>
        <v>0</v>
      </c>
      <c r="H76" s="107" t="n">
        <f aca="false">IF($A76="",0,IFERROR(AVERAGEIFS(Wellness!$H$8:$H$1007,Wellness!$C$8:$C$1007,$A76),0))</f>
        <v>0</v>
      </c>
      <c r="I76" s="71" t="str">
        <f aca="false">IF($A76="","",IF(Cadastro!$T20="Lesionado","LESIONADO",IF($F76&gt;1.5,"ALERTA — carga aguda alta",IF($H76&gt;16,"ALERTA — wellness baixo",IF(AND($G76&gt;0,$G76&lt;0.75),"Assiduidade baixa",IF($C76=0,"Sem registros","OK"))))))</f>
        <v/>
      </c>
    </row>
    <row r="77" customFormat="false" ht="15" hidden="false" customHeight="false" outlineLevel="0" collapsed="false">
      <c r="A77" s="68" t="str">
        <f aca="false">IF(Cadastro!$B21="","",Cadastro!$B21)</f>
        <v/>
      </c>
      <c r="B77" s="68" t="str">
        <f aca="false">IF($A77="","",Cadastro!$F21)</f>
        <v/>
      </c>
      <c r="C77" s="69" t="n">
        <f aca="false">IF($A77="",0,COUNTIFS('Carga (PSE)'!$C$8:$C$1007,$A77))</f>
        <v>0</v>
      </c>
      <c r="D77" s="48" t="n">
        <f aca="false">IF($A77="",0,SUMIFS('Carga (PSE)'!$G$8:$G$1007,'Carga (PSE)'!$C$8:$C$1007,$A77))</f>
        <v>0</v>
      </c>
      <c r="E77" s="88" t="n">
        <f aca="false">IF($C77=0,0,$D77/$C77)</f>
        <v>0</v>
      </c>
      <c r="F77" s="89" t="n">
        <f aca="false">IF($A77="",0,IFERROR(AVERAGEIFS('Carga (PSE)'!$J$8:$J$1007,'Carga (PSE)'!$C$8:$C$1007,$A77,'Carga (PSE)'!$A$8:$A$1007,SUMPRODUCT(MAX(('Carga (PSE)'!$C$8:$C$1007=$A77)*'Carga (PSE)'!$A$8:$A$1007))),0))</f>
        <v>0</v>
      </c>
      <c r="G77" s="104" t="n">
        <f aca="false">IF($A77="",0,IFERROR(INDEX(Presença!$L$8:$L$67,MATCH($A77,Presença!$I$8:$I$67,0)),0))</f>
        <v>0</v>
      </c>
      <c r="H77" s="106" t="n">
        <f aca="false">IF($A77="",0,IFERROR(AVERAGEIFS(Wellness!$H$8:$H$1007,Wellness!$C$8:$C$1007,$A77),0))</f>
        <v>0</v>
      </c>
      <c r="I77" s="68" t="str">
        <f aca="false">IF($A77="","",IF(Cadastro!$T21="Lesionado","LESIONADO",IF($F77&gt;1.5,"ALERTA — carga aguda alta",IF($H77&gt;16,"ALERTA — wellness baixo",IF(AND($G77&gt;0,$G77&lt;0.75),"Assiduidade baixa",IF($C77=0,"Sem registros","OK"))))))</f>
        <v/>
      </c>
    </row>
    <row r="78" customFormat="false" ht="15" hidden="false" customHeight="false" outlineLevel="0" collapsed="false">
      <c r="A78" s="71" t="str">
        <f aca="false">IF(Cadastro!$B22="","",Cadastro!$B22)</f>
        <v/>
      </c>
      <c r="B78" s="71" t="str">
        <f aca="false">IF($A78="","",Cadastro!$F22)</f>
        <v/>
      </c>
      <c r="C78" s="72" t="n">
        <f aca="false">IF($A78="",0,COUNTIFS('Carga (PSE)'!$C$8:$C$1007,$A78))</f>
        <v>0</v>
      </c>
      <c r="D78" s="92" t="n">
        <f aca="false">IF($A78="",0,SUMIFS('Carga (PSE)'!$G$8:$G$1007,'Carga (PSE)'!$C$8:$C$1007,$A78))</f>
        <v>0</v>
      </c>
      <c r="E78" s="91" t="n">
        <f aca="false">IF($C78=0,0,$D78/$C78)</f>
        <v>0</v>
      </c>
      <c r="F78" s="93" t="n">
        <f aca="false">IF($A78="",0,IFERROR(AVERAGEIFS('Carga (PSE)'!$J$8:$J$1007,'Carga (PSE)'!$C$8:$C$1007,$A78,'Carga (PSE)'!$A$8:$A$1007,SUMPRODUCT(MAX(('Carga (PSE)'!$C$8:$C$1007=$A78)*'Carga (PSE)'!$A$8:$A$1007))),0))</f>
        <v>0</v>
      </c>
      <c r="G78" s="105" t="n">
        <f aca="false">IF($A78="",0,IFERROR(INDEX(Presença!$L$8:$L$67,MATCH($A78,Presença!$I$8:$I$67,0)),0))</f>
        <v>0</v>
      </c>
      <c r="H78" s="107" t="n">
        <f aca="false">IF($A78="",0,IFERROR(AVERAGEIFS(Wellness!$H$8:$H$1007,Wellness!$C$8:$C$1007,$A78),0))</f>
        <v>0</v>
      </c>
      <c r="I78" s="71" t="str">
        <f aca="false">IF($A78="","",IF(Cadastro!$T22="Lesionado","LESIONADO",IF($F78&gt;1.5,"ALERTA — carga aguda alta",IF($H78&gt;16,"ALERTA — wellness baixo",IF(AND($G78&gt;0,$G78&lt;0.75),"Assiduidade baixa",IF($C78=0,"Sem registros","OK"))))))</f>
        <v/>
      </c>
    </row>
    <row r="79" customFormat="false" ht="15" hidden="false" customHeight="false" outlineLevel="0" collapsed="false">
      <c r="A79" s="68" t="str">
        <f aca="false">IF(Cadastro!$B23="","",Cadastro!$B23)</f>
        <v/>
      </c>
      <c r="B79" s="68" t="str">
        <f aca="false">IF($A79="","",Cadastro!$F23)</f>
        <v/>
      </c>
      <c r="C79" s="69" t="n">
        <f aca="false">IF($A79="",0,COUNTIFS('Carga (PSE)'!$C$8:$C$1007,$A79))</f>
        <v>0</v>
      </c>
      <c r="D79" s="48" t="n">
        <f aca="false">IF($A79="",0,SUMIFS('Carga (PSE)'!$G$8:$G$1007,'Carga (PSE)'!$C$8:$C$1007,$A79))</f>
        <v>0</v>
      </c>
      <c r="E79" s="88" t="n">
        <f aca="false">IF($C79=0,0,$D79/$C79)</f>
        <v>0</v>
      </c>
      <c r="F79" s="89" t="n">
        <f aca="false">IF($A79="",0,IFERROR(AVERAGEIFS('Carga (PSE)'!$J$8:$J$1007,'Carga (PSE)'!$C$8:$C$1007,$A79,'Carga (PSE)'!$A$8:$A$1007,SUMPRODUCT(MAX(('Carga (PSE)'!$C$8:$C$1007=$A79)*'Carga (PSE)'!$A$8:$A$1007))),0))</f>
        <v>0</v>
      </c>
      <c r="G79" s="104" t="n">
        <f aca="false">IF($A79="",0,IFERROR(INDEX(Presença!$L$8:$L$67,MATCH($A79,Presença!$I$8:$I$67,0)),0))</f>
        <v>0</v>
      </c>
      <c r="H79" s="106" t="n">
        <f aca="false">IF($A79="",0,IFERROR(AVERAGEIFS(Wellness!$H$8:$H$1007,Wellness!$C$8:$C$1007,$A79),0))</f>
        <v>0</v>
      </c>
      <c r="I79" s="68" t="str">
        <f aca="false">IF($A79="","",IF(Cadastro!$T23="Lesionado","LESIONADO",IF($F79&gt;1.5,"ALERTA — carga aguda alta",IF($H79&gt;16,"ALERTA — wellness baixo",IF(AND($G79&gt;0,$G79&lt;0.75),"Assiduidade baixa",IF($C79=0,"Sem registros","OK"))))))</f>
        <v/>
      </c>
    </row>
    <row r="80" customFormat="false" ht="15" hidden="false" customHeight="false" outlineLevel="0" collapsed="false">
      <c r="A80" s="71" t="str">
        <f aca="false">IF(Cadastro!$B24="","",Cadastro!$B24)</f>
        <v/>
      </c>
      <c r="B80" s="71" t="str">
        <f aca="false">IF($A80="","",Cadastro!$F24)</f>
        <v/>
      </c>
      <c r="C80" s="72" t="n">
        <f aca="false">IF($A80="",0,COUNTIFS('Carga (PSE)'!$C$8:$C$1007,$A80))</f>
        <v>0</v>
      </c>
      <c r="D80" s="92" t="n">
        <f aca="false">IF($A80="",0,SUMIFS('Carga (PSE)'!$G$8:$G$1007,'Carga (PSE)'!$C$8:$C$1007,$A80))</f>
        <v>0</v>
      </c>
      <c r="E80" s="91" t="n">
        <f aca="false">IF($C80=0,0,$D80/$C80)</f>
        <v>0</v>
      </c>
      <c r="F80" s="93" t="n">
        <f aca="false">IF($A80="",0,IFERROR(AVERAGEIFS('Carga (PSE)'!$J$8:$J$1007,'Carga (PSE)'!$C$8:$C$1007,$A80,'Carga (PSE)'!$A$8:$A$1007,SUMPRODUCT(MAX(('Carga (PSE)'!$C$8:$C$1007=$A80)*'Carga (PSE)'!$A$8:$A$1007))),0))</f>
        <v>0</v>
      </c>
      <c r="G80" s="105" t="n">
        <f aca="false">IF($A80="",0,IFERROR(INDEX(Presença!$L$8:$L$67,MATCH($A80,Presença!$I$8:$I$67,0)),0))</f>
        <v>0</v>
      </c>
      <c r="H80" s="107" t="n">
        <f aca="false">IF($A80="",0,IFERROR(AVERAGEIFS(Wellness!$H$8:$H$1007,Wellness!$C$8:$C$1007,$A80),0))</f>
        <v>0</v>
      </c>
      <c r="I80" s="71" t="str">
        <f aca="false">IF($A80="","",IF(Cadastro!$T24="Lesionado","LESIONADO",IF($F80&gt;1.5,"ALERTA — carga aguda alta",IF($H80&gt;16,"ALERTA — wellness baixo",IF(AND($G80&gt;0,$G80&lt;0.75),"Assiduidade baixa",IF($C80=0,"Sem registros","OK"))))))</f>
        <v/>
      </c>
    </row>
    <row r="81" customFormat="false" ht="15" hidden="false" customHeight="false" outlineLevel="0" collapsed="false">
      <c r="A81" s="68" t="str">
        <f aca="false">IF(Cadastro!$B25="","",Cadastro!$B25)</f>
        <v/>
      </c>
      <c r="B81" s="68" t="str">
        <f aca="false">IF($A81="","",Cadastro!$F25)</f>
        <v/>
      </c>
      <c r="C81" s="69" t="n">
        <f aca="false">IF($A81="",0,COUNTIFS('Carga (PSE)'!$C$8:$C$1007,$A81))</f>
        <v>0</v>
      </c>
      <c r="D81" s="48" t="n">
        <f aca="false">IF($A81="",0,SUMIFS('Carga (PSE)'!$G$8:$G$1007,'Carga (PSE)'!$C$8:$C$1007,$A81))</f>
        <v>0</v>
      </c>
      <c r="E81" s="88" t="n">
        <f aca="false">IF($C81=0,0,$D81/$C81)</f>
        <v>0</v>
      </c>
      <c r="F81" s="89" t="n">
        <f aca="false">IF($A81="",0,IFERROR(AVERAGEIFS('Carga (PSE)'!$J$8:$J$1007,'Carga (PSE)'!$C$8:$C$1007,$A81,'Carga (PSE)'!$A$8:$A$1007,SUMPRODUCT(MAX(('Carga (PSE)'!$C$8:$C$1007=$A81)*'Carga (PSE)'!$A$8:$A$1007))),0))</f>
        <v>0</v>
      </c>
      <c r="G81" s="104" t="n">
        <f aca="false">IF($A81="",0,IFERROR(INDEX(Presença!$L$8:$L$67,MATCH($A81,Presença!$I$8:$I$67,0)),0))</f>
        <v>0</v>
      </c>
      <c r="H81" s="106" t="n">
        <f aca="false">IF($A81="",0,IFERROR(AVERAGEIFS(Wellness!$H$8:$H$1007,Wellness!$C$8:$C$1007,$A81),0))</f>
        <v>0</v>
      </c>
      <c r="I81" s="68" t="str">
        <f aca="false">IF($A81="","",IF(Cadastro!$T25="Lesionado","LESIONADO",IF($F81&gt;1.5,"ALERTA — carga aguda alta",IF($H81&gt;16,"ALERTA — wellness baixo",IF(AND($G81&gt;0,$G81&lt;0.75),"Assiduidade baixa",IF($C81=0,"Sem registros","OK"))))))</f>
        <v/>
      </c>
    </row>
    <row r="82" customFormat="false" ht="15" hidden="false" customHeight="false" outlineLevel="0" collapsed="false">
      <c r="A82" s="71" t="str">
        <f aca="false">IF(Cadastro!$B26="","",Cadastro!$B26)</f>
        <v/>
      </c>
      <c r="B82" s="71" t="str">
        <f aca="false">IF($A82="","",Cadastro!$F26)</f>
        <v/>
      </c>
      <c r="C82" s="72" t="n">
        <f aca="false">IF($A82="",0,COUNTIFS('Carga (PSE)'!$C$8:$C$1007,$A82))</f>
        <v>0</v>
      </c>
      <c r="D82" s="92" t="n">
        <f aca="false">IF($A82="",0,SUMIFS('Carga (PSE)'!$G$8:$G$1007,'Carga (PSE)'!$C$8:$C$1007,$A82))</f>
        <v>0</v>
      </c>
      <c r="E82" s="91" t="n">
        <f aca="false">IF($C82=0,0,$D82/$C82)</f>
        <v>0</v>
      </c>
      <c r="F82" s="93" t="n">
        <f aca="false">IF($A82="",0,IFERROR(AVERAGEIFS('Carga (PSE)'!$J$8:$J$1007,'Carga (PSE)'!$C$8:$C$1007,$A82,'Carga (PSE)'!$A$8:$A$1007,SUMPRODUCT(MAX(('Carga (PSE)'!$C$8:$C$1007=$A82)*'Carga (PSE)'!$A$8:$A$1007))),0))</f>
        <v>0</v>
      </c>
      <c r="G82" s="105" t="n">
        <f aca="false">IF($A82="",0,IFERROR(INDEX(Presença!$L$8:$L$67,MATCH($A82,Presença!$I$8:$I$67,0)),0))</f>
        <v>0</v>
      </c>
      <c r="H82" s="107" t="n">
        <f aca="false">IF($A82="",0,IFERROR(AVERAGEIFS(Wellness!$H$8:$H$1007,Wellness!$C$8:$C$1007,$A82),0))</f>
        <v>0</v>
      </c>
      <c r="I82" s="71" t="str">
        <f aca="false">IF($A82="","",IF(Cadastro!$T26="Lesionado","LESIONADO",IF($F82&gt;1.5,"ALERTA — carga aguda alta",IF($H82&gt;16,"ALERTA — wellness baixo",IF(AND($G82&gt;0,$G82&lt;0.75),"Assiduidade baixa",IF($C82=0,"Sem registros","OK"))))))</f>
        <v/>
      </c>
    </row>
    <row r="83" customFormat="false" ht="15" hidden="false" customHeight="false" outlineLevel="0" collapsed="false">
      <c r="A83" s="68" t="str">
        <f aca="false">IF(Cadastro!$B27="","",Cadastro!$B27)</f>
        <v/>
      </c>
      <c r="B83" s="68" t="str">
        <f aca="false">IF($A83="","",Cadastro!$F27)</f>
        <v/>
      </c>
      <c r="C83" s="69" t="n">
        <f aca="false">IF($A83="",0,COUNTIFS('Carga (PSE)'!$C$8:$C$1007,$A83))</f>
        <v>0</v>
      </c>
      <c r="D83" s="48" t="n">
        <f aca="false">IF($A83="",0,SUMIFS('Carga (PSE)'!$G$8:$G$1007,'Carga (PSE)'!$C$8:$C$1007,$A83))</f>
        <v>0</v>
      </c>
      <c r="E83" s="88" t="n">
        <f aca="false">IF($C83=0,0,$D83/$C83)</f>
        <v>0</v>
      </c>
      <c r="F83" s="89" t="n">
        <f aca="false">IF($A83="",0,IFERROR(AVERAGEIFS('Carga (PSE)'!$J$8:$J$1007,'Carga (PSE)'!$C$8:$C$1007,$A83,'Carga (PSE)'!$A$8:$A$1007,SUMPRODUCT(MAX(('Carga (PSE)'!$C$8:$C$1007=$A83)*'Carga (PSE)'!$A$8:$A$1007))),0))</f>
        <v>0</v>
      </c>
      <c r="G83" s="104" t="n">
        <f aca="false">IF($A83="",0,IFERROR(INDEX(Presença!$L$8:$L$67,MATCH($A83,Presença!$I$8:$I$67,0)),0))</f>
        <v>0</v>
      </c>
      <c r="H83" s="106" t="n">
        <f aca="false">IF($A83="",0,IFERROR(AVERAGEIFS(Wellness!$H$8:$H$1007,Wellness!$C$8:$C$1007,$A83),0))</f>
        <v>0</v>
      </c>
      <c r="I83" s="68" t="str">
        <f aca="false">IF($A83="","",IF(Cadastro!$T27="Lesionado","LESIONADO",IF($F83&gt;1.5,"ALERTA — carga aguda alta",IF($H83&gt;16,"ALERTA — wellness baixo",IF(AND($G83&gt;0,$G83&lt;0.75),"Assiduidade baixa",IF($C83=0,"Sem registros","OK"))))))</f>
        <v/>
      </c>
    </row>
    <row r="84" customFormat="false" ht="15" hidden="false" customHeight="false" outlineLevel="0" collapsed="false">
      <c r="A84" s="71" t="str">
        <f aca="false">IF(Cadastro!$B28="","",Cadastro!$B28)</f>
        <v/>
      </c>
      <c r="B84" s="71" t="str">
        <f aca="false">IF($A84="","",Cadastro!$F28)</f>
        <v/>
      </c>
      <c r="C84" s="72" t="n">
        <f aca="false">IF($A84="",0,COUNTIFS('Carga (PSE)'!$C$8:$C$1007,$A84))</f>
        <v>0</v>
      </c>
      <c r="D84" s="92" t="n">
        <f aca="false">IF($A84="",0,SUMIFS('Carga (PSE)'!$G$8:$G$1007,'Carga (PSE)'!$C$8:$C$1007,$A84))</f>
        <v>0</v>
      </c>
      <c r="E84" s="91" t="n">
        <f aca="false">IF($C84=0,0,$D84/$C84)</f>
        <v>0</v>
      </c>
      <c r="F84" s="93" t="n">
        <f aca="false">IF($A84="",0,IFERROR(AVERAGEIFS('Carga (PSE)'!$J$8:$J$1007,'Carga (PSE)'!$C$8:$C$1007,$A84,'Carga (PSE)'!$A$8:$A$1007,SUMPRODUCT(MAX(('Carga (PSE)'!$C$8:$C$1007=$A84)*'Carga (PSE)'!$A$8:$A$1007))),0))</f>
        <v>0</v>
      </c>
      <c r="G84" s="105" t="n">
        <f aca="false">IF($A84="",0,IFERROR(INDEX(Presença!$L$8:$L$67,MATCH($A84,Presença!$I$8:$I$67,0)),0))</f>
        <v>0</v>
      </c>
      <c r="H84" s="107" t="n">
        <f aca="false">IF($A84="",0,IFERROR(AVERAGEIFS(Wellness!$H$8:$H$1007,Wellness!$C$8:$C$1007,$A84),0))</f>
        <v>0</v>
      </c>
      <c r="I84" s="71" t="str">
        <f aca="false">IF($A84="","",IF(Cadastro!$T28="Lesionado","LESIONADO",IF($F84&gt;1.5,"ALERTA — carga aguda alta",IF($H84&gt;16,"ALERTA — wellness baixo",IF(AND($G84&gt;0,$G84&lt;0.75),"Assiduidade baixa",IF($C84=0,"Sem registros","OK"))))))</f>
        <v/>
      </c>
    </row>
    <row r="85" customFormat="false" ht="15" hidden="false" customHeight="false" outlineLevel="0" collapsed="false">
      <c r="A85" s="68" t="str">
        <f aca="false">IF(Cadastro!$B29="","",Cadastro!$B29)</f>
        <v/>
      </c>
      <c r="B85" s="68" t="str">
        <f aca="false">IF($A85="","",Cadastro!$F29)</f>
        <v/>
      </c>
      <c r="C85" s="69" t="n">
        <f aca="false">IF($A85="",0,COUNTIFS('Carga (PSE)'!$C$8:$C$1007,$A85))</f>
        <v>0</v>
      </c>
      <c r="D85" s="48" t="n">
        <f aca="false">IF($A85="",0,SUMIFS('Carga (PSE)'!$G$8:$G$1007,'Carga (PSE)'!$C$8:$C$1007,$A85))</f>
        <v>0</v>
      </c>
      <c r="E85" s="88" t="n">
        <f aca="false">IF($C85=0,0,$D85/$C85)</f>
        <v>0</v>
      </c>
      <c r="F85" s="89" t="n">
        <f aca="false">IF($A85="",0,IFERROR(AVERAGEIFS('Carga (PSE)'!$J$8:$J$1007,'Carga (PSE)'!$C$8:$C$1007,$A85,'Carga (PSE)'!$A$8:$A$1007,SUMPRODUCT(MAX(('Carga (PSE)'!$C$8:$C$1007=$A85)*'Carga (PSE)'!$A$8:$A$1007))),0))</f>
        <v>0</v>
      </c>
      <c r="G85" s="104" t="n">
        <f aca="false">IF($A85="",0,IFERROR(INDEX(Presença!$L$8:$L$67,MATCH($A85,Presença!$I$8:$I$67,0)),0))</f>
        <v>0</v>
      </c>
      <c r="H85" s="106" t="n">
        <f aca="false">IF($A85="",0,IFERROR(AVERAGEIFS(Wellness!$H$8:$H$1007,Wellness!$C$8:$C$1007,$A85),0))</f>
        <v>0</v>
      </c>
      <c r="I85" s="68" t="str">
        <f aca="false">IF($A85="","",IF(Cadastro!$T29="Lesionado","LESIONADO",IF($F85&gt;1.5,"ALERTA — carga aguda alta",IF($H85&gt;16,"ALERTA — wellness baixo",IF(AND($G85&gt;0,$G85&lt;0.75),"Assiduidade baixa",IF($C85=0,"Sem registros","OK"))))))</f>
        <v/>
      </c>
    </row>
    <row r="86" customFormat="false" ht="15" hidden="false" customHeight="false" outlineLevel="0" collapsed="false">
      <c r="A86" s="71" t="str">
        <f aca="false">IF(Cadastro!$B30="","",Cadastro!$B30)</f>
        <v/>
      </c>
      <c r="B86" s="71" t="str">
        <f aca="false">IF($A86="","",Cadastro!$F30)</f>
        <v/>
      </c>
      <c r="C86" s="72" t="n">
        <f aca="false">IF($A86="",0,COUNTIFS('Carga (PSE)'!$C$8:$C$1007,$A86))</f>
        <v>0</v>
      </c>
      <c r="D86" s="92" t="n">
        <f aca="false">IF($A86="",0,SUMIFS('Carga (PSE)'!$G$8:$G$1007,'Carga (PSE)'!$C$8:$C$1007,$A86))</f>
        <v>0</v>
      </c>
      <c r="E86" s="91" t="n">
        <f aca="false">IF($C86=0,0,$D86/$C86)</f>
        <v>0</v>
      </c>
      <c r="F86" s="93" t="n">
        <f aca="false">IF($A86="",0,IFERROR(AVERAGEIFS('Carga (PSE)'!$J$8:$J$1007,'Carga (PSE)'!$C$8:$C$1007,$A86,'Carga (PSE)'!$A$8:$A$1007,SUMPRODUCT(MAX(('Carga (PSE)'!$C$8:$C$1007=$A86)*'Carga (PSE)'!$A$8:$A$1007))),0))</f>
        <v>0</v>
      </c>
      <c r="G86" s="105" t="n">
        <f aca="false">IF($A86="",0,IFERROR(INDEX(Presença!$L$8:$L$67,MATCH($A86,Presença!$I$8:$I$67,0)),0))</f>
        <v>0</v>
      </c>
      <c r="H86" s="107" t="n">
        <f aca="false">IF($A86="",0,IFERROR(AVERAGEIFS(Wellness!$H$8:$H$1007,Wellness!$C$8:$C$1007,$A86),0))</f>
        <v>0</v>
      </c>
      <c r="I86" s="71" t="str">
        <f aca="false">IF($A86="","",IF(Cadastro!$T30="Lesionado","LESIONADO",IF($F86&gt;1.5,"ALERTA — carga aguda alta",IF($H86&gt;16,"ALERTA — wellness baixo",IF(AND($G86&gt;0,$G86&lt;0.75),"Assiduidade baixa",IF($C86=0,"Sem registros","OK"))))))</f>
        <v/>
      </c>
    </row>
    <row r="87" customFormat="false" ht="15" hidden="false" customHeight="false" outlineLevel="0" collapsed="false">
      <c r="A87" s="68" t="str">
        <f aca="false">IF(Cadastro!$B31="","",Cadastro!$B31)</f>
        <v/>
      </c>
      <c r="B87" s="68" t="str">
        <f aca="false">IF($A87="","",Cadastro!$F31)</f>
        <v/>
      </c>
      <c r="C87" s="69" t="n">
        <f aca="false">IF($A87="",0,COUNTIFS('Carga (PSE)'!$C$8:$C$1007,$A87))</f>
        <v>0</v>
      </c>
      <c r="D87" s="48" t="n">
        <f aca="false">IF($A87="",0,SUMIFS('Carga (PSE)'!$G$8:$G$1007,'Carga (PSE)'!$C$8:$C$1007,$A87))</f>
        <v>0</v>
      </c>
      <c r="E87" s="88" t="n">
        <f aca="false">IF($C87=0,0,$D87/$C87)</f>
        <v>0</v>
      </c>
      <c r="F87" s="89" t="n">
        <f aca="false">IF($A87="",0,IFERROR(AVERAGEIFS('Carga (PSE)'!$J$8:$J$1007,'Carga (PSE)'!$C$8:$C$1007,$A87,'Carga (PSE)'!$A$8:$A$1007,SUMPRODUCT(MAX(('Carga (PSE)'!$C$8:$C$1007=$A87)*'Carga (PSE)'!$A$8:$A$1007))),0))</f>
        <v>0</v>
      </c>
      <c r="G87" s="104" t="n">
        <f aca="false">IF($A87="",0,IFERROR(INDEX(Presença!$L$8:$L$67,MATCH($A87,Presença!$I$8:$I$67,0)),0))</f>
        <v>0</v>
      </c>
      <c r="H87" s="106" t="n">
        <f aca="false">IF($A87="",0,IFERROR(AVERAGEIFS(Wellness!$H$8:$H$1007,Wellness!$C$8:$C$1007,$A87),0))</f>
        <v>0</v>
      </c>
      <c r="I87" s="68" t="str">
        <f aca="false">IF($A87="","",IF(Cadastro!$T31="Lesionado","LESIONADO",IF($F87&gt;1.5,"ALERTA — carga aguda alta",IF($H87&gt;16,"ALERTA — wellness baixo",IF(AND($G87&gt;0,$G87&lt;0.75),"Assiduidade baixa",IF($C87=0,"Sem registros","OK"))))))</f>
        <v/>
      </c>
    </row>
    <row r="88" customFormat="false" ht="15" hidden="false" customHeight="false" outlineLevel="0" collapsed="false">
      <c r="A88" s="71" t="str">
        <f aca="false">IF(Cadastro!$B32="","",Cadastro!$B32)</f>
        <v/>
      </c>
      <c r="B88" s="71" t="str">
        <f aca="false">IF($A88="","",Cadastro!$F32)</f>
        <v/>
      </c>
      <c r="C88" s="72" t="n">
        <f aca="false">IF($A88="",0,COUNTIFS('Carga (PSE)'!$C$8:$C$1007,$A88))</f>
        <v>0</v>
      </c>
      <c r="D88" s="92" t="n">
        <f aca="false">IF($A88="",0,SUMIFS('Carga (PSE)'!$G$8:$G$1007,'Carga (PSE)'!$C$8:$C$1007,$A88))</f>
        <v>0</v>
      </c>
      <c r="E88" s="91" t="n">
        <f aca="false">IF($C88=0,0,$D88/$C88)</f>
        <v>0</v>
      </c>
      <c r="F88" s="93" t="n">
        <f aca="false">IF($A88="",0,IFERROR(AVERAGEIFS('Carga (PSE)'!$J$8:$J$1007,'Carga (PSE)'!$C$8:$C$1007,$A88,'Carga (PSE)'!$A$8:$A$1007,SUMPRODUCT(MAX(('Carga (PSE)'!$C$8:$C$1007=$A88)*'Carga (PSE)'!$A$8:$A$1007))),0))</f>
        <v>0</v>
      </c>
      <c r="G88" s="105" t="n">
        <f aca="false">IF($A88="",0,IFERROR(INDEX(Presença!$L$8:$L$67,MATCH($A88,Presença!$I$8:$I$67,0)),0))</f>
        <v>0</v>
      </c>
      <c r="H88" s="107" t="n">
        <f aca="false">IF($A88="",0,IFERROR(AVERAGEIFS(Wellness!$H$8:$H$1007,Wellness!$C$8:$C$1007,$A88),0))</f>
        <v>0</v>
      </c>
      <c r="I88" s="71" t="str">
        <f aca="false">IF($A88="","",IF(Cadastro!$T32="Lesionado","LESIONADO",IF($F88&gt;1.5,"ALERTA — carga aguda alta",IF($H88&gt;16,"ALERTA — wellness baixo",IF(AND($G88&gt;0,$G88&lt;0.75),"Assiduidade baixa",IF($C88=0,"Sem registros","OK"))))))</f>
        <v/>
      </c>
    </row>
    <row r="89" customFormat="false" ht="15" hidden="false" customHeight="false" outlineLevel="0" collapsed="false">
      <c r="A89" s="68" t="str">
        <f aca="false">IF(Cadastro!$B33="","",Cadastro!$B33)</f>
        <v/>
      </c>
      <c r="B89" s="68" t="str">
        <f aca="false">IF($A89="","",Cadastro!$F33)</f>
        <v/>
      </c>
      <c r="C89" s="69" t="n">
        <f aca="false">IF($A89="",0,COUNTIFS('Carga (PSE)'!$C$8:$C$1007,$A89))</f>
        <v>0</v>
      </c>
      <c r="D89" s="48" t="n">
        <f aca="false">IF($A89="",0,SUMIFS('Carga (PSE)'!$G$8:$G$1007,'Carga (PSE)'!$C$8:$C$1007,$A89))</f>
        <v>0</v>
      </c>
      <c r="E89" s="88" t="n">
        <f aca="false">IF($C89=0,0,$D89/$C89)</f>
        <v>0</v>
      </c>
      <c r="F89" s="89" t="n">
        <f aca="false">IF($A89="",0,IFERROR(AVERAGEIFS('Carga (PSE)'!$J$8:$J$1007,'Carga (PSE)'!$C$8:$C$1007,$A89,'Carga (PSE)'!$A$8:$A$1007,SUMPRODUCT(MAX(('Carga (PSE)'!$C$8:$C$1007=$A89)*'Carga (PSE)'!$A$8:$A$1007))),0))</f>
        <v>0</v>
      </c>
      <c r="G89" s="104" t="n">
        <f aca="false">IF($A89="",0,IFERROR(INDEX(Presença!$L$8:$L$67,MATCH($A89,Presença!$I$8:$I$67,0)),0))</f>
        <v>0</v>
      </c>
      <c r="H89" s="106" t="n">
        <f aca="false">IF($A89="",0,IFERROR(AVERAGEIFS(Wellness!$H$8:$H$1007,Wellness!$C$8:$C$1007,$A89),0))</f>
        <v>0</v>
      </c>
      <c r="I89" s="68" t="str">
        <f aca="false">IF($A89="","",IF(Cadastro!$T33="Lesionado","LESIONADO",IF($F89&gt;1.5,"ALERTA — carga aguda alta",IF($H89&gt;16,"ALERTA — wellness baixo",IF(AND($G89&gt;0,$G89&lt;0.75),"Assiduidade baixa",IF($C89=0,"Sem registros","OK"))))))</f>
        <v/>
      </c>
    </row>
    <row r="90" customFormat="false" ht="15" hidden="false" customHeight="false" outlineLevel="0" collapsed="false">
      <c r="A90" s="71" t="str">
        <f aca="false">IF(Cadastro!$B34="","",Cadastro!$B34)</f>
        <v/>
      </c>
      <c r="B90" s="71" t="str">
        <f aca="false">IF($A90="","",Cadastro!$F34)</f>
        <v/>
      </c>
      <c r="C90" s="72" t="n">
        <f aca="false">IF($A90="",0,COUNTIFS('Carga (PSE)'!$C$8:$C$1007,$A90))</f>
        <v>0</v>
      </c>
      <c r="D90" s="92" t="n">
        <f aca="false">IF($A90="",0,SUMIFS('Carga (PSE)'!$G$8:$G$1007,'Carga (PSE)'!$C$8:$C$1007,$A90))</f>
        <v>0</v>
      </c>
      <c r="E90" s="91" t="n">
        <f aca="false">IF($C90=0,0,$D90/$C90)</f>
        <v>0</v>
      </c>
      <c r="F90" s="93" t="n">
        <f aca="false">IF($A90="",0,IFERROR(AVERAGEIFS('Carga (PSE)'!$J$8:$J$1007,'Carga (PSE)'!$C$8:$C$1007,$A90,'Carga (PSE)'!$A$8:$A$1007,SUMPRODUCT(MAX(('Carga (PSE)'!$C$8:$C$1007=$A90)*'Carga (PSE)'!$A$8:$A$1007))),0))</f>
        <v>0</v>
      </c>
      <c r="G90" s="105" t="n">
        <f aca="false">IF($A90="",0,IFERROR(INDEX(Presença!$L$8:$L$67,MATCH($A90,Presença!$I$8:$I$67,0)),0))</f>
        <v>0</v>
      </c>
      <c r="H90" s="107" t="n">
        <f aca="false">IF($A90="",0,IFERROR(AVERAGEIFS(Wellness!$H$8:$H$1007,Wellness!$C$8:$C$1007,$A90),0))</f>
        <v>0</v>
      </c>
      <c r="I90" s="71" t="str">
        <f aca="false">IF($A90="","",IF(Cadastro!$T34="Lesionado","LESIONADO",IF($F90&gt;1.5,"ALERTA — carga aguda alta",IF($H90&gt;16,"ALERTA — wellness baixo",IF(AND($G90&gt;0,$G90&lt;0.75),"Assiduidade baixa",IF($C90=0,"Sem registros","OK"))))))</f>
        <v/>
      </c>
    </row>
    <row r="91" customFormat="false" ht="15" hidden="false" customHeight="false" outlineLevel="0" collapsed="false">
      <c r="A91" s="68" t="str">
        <f aca="false">IF(Cadastro!$B35="","",Cadastro!$B35)</f>
        <v/>
      </c>
      <c r="B91" s="68" t="str">
        <f aca="false">IF($A91="","",Cadastro!$F35)</f>
        <v/>
      </c>
      <c r="C91" s="69" t="n">
        <f aca="false">IF($A91="",0,COUNTIFS('Carga (PSE)'!$C$8:$C$1007,$A91))</f>
        <v>0</v>
      </c>
      <c r="D91" s="48" t="n">
        <f aca="false">IF($A91="",0,SUMIFS('Carga (PSE)'!$G$8:$G$1007,'Carga (PSE)'!$C$8:$C$1007,$A91))</f>
        <v>0</v>
      </c>
      <c r="E91" s="88" t="n">
        <f aca="false">IF($C91=0,0,$D91/$C91)</f>
        <v>0</v>
      </c>
      <c r="F91" s="89" t="n">
        <f aca="false">IF($A91="",0,IFERROR(AVERAGEIFS('Carga (PSE)'!$J$8:$J$1007,'Carga (PSE)'!$C$8:$C$1007,$A91,'Carga (PSE)'!$A$8:$A$1007,SUMPRODUCT(MAX(('Carga (PSE)'!$C$8:$C$1007=$A91)*'Carga (PSE)'!$A$8:$A$1007))),0))</f>
        <v>0</v>
      </c>
      <c r="G91" s="104" t="n">
        <f aca="false">IF($A91="",0,IFERROR(INDEX(Presença!$L$8:$L$67,MATCH($A91,Presença!$I$8:$I$67,0)),0))</f>
        <v>0</v>
      </c>
      <c r="H91" s="106" t="n">
        <f aca="false">IF($A91="",0,IFERROR(AVERAGEIFS(Wellness!$H$8:$H$1007,Wellness!$C$8:$C$1007,$A91),0))</f>
        <v>0</v>
      </c>
      <c r="I91" s="68" t="str">
        <f aca="false">IF($A91="","",IF(Cadastro!$T35="Lesionado","LESIONADO",IF($F91&gt;1.5,"ALERTA — carga aguda alta",IF($H91&gt;16,"ALERTA — wellness baixo",IF(AND($G91&gt;0,$G91&lt;0.75),"Assiduidade baixa",IF($C91=0,"Sem registros","OK"))))))</f>
        <v/>
      </c>
    </row>
    <row r="92" customFormat="false" ht="15" hidden="false" customHeight="false" outlineLevel="0" collapsed="false">
      <c r="A92" s="71" t="str">
        <f aca="false">IF(Cadastro!$B36="","",Cadastro!$B36)</f>
        <v/>
      </c>
      <c r="B92" s="71" t="str">
        <f aca="false">IF($A92="","",Cadastro!$F36)</f>
        <v/>
      </c>
      <c r="C92" s="72" t="n">
        <f aca="false">IF($A92="",0,COUNTIFS('Carga (PSE)'!$C$8:$C$1007,$A92))</f>
        <v>0</v>
      </c>
      <c r="D92" s="92" t="n">
        <f aca="false">IF($A92="",0,SUMIFS('Carga (PSE)'!$G$8:$G$1007,'Carga (PSE)'!$C$8:$C$1007,$A92))</f>
        <v>0</v>
      </c>
      <c r="E92" s="91" t="n">
        <f aca="false">IF($C92=0,0,$D92/$C92)</f>
        <v>0</v>
      </c>
      <c r="F92" s="93" t="n">
        <f aca="false">IF($A92="",0,IFERROR(AVERAGEIFS('Carga (PSE)'!$J$8:$J$1007,'Carga (PSE)'!$C$8:$C$1007,$A92,'Carga (PSE)'!$A$8:$A$1007,SUMPRODUCT(MAX(('Carga (PSE)'!$C$8:$C$1007=$A92)*'Carga (PSE)'!$A$8:$A$1007))),0))</f>
        <v>0</v>
      </c>
      <c r="G92" s="105" t="n">
        <f aca="false">IF($A92="",0,IFERROR(INDEX(Presença!$L$8:$L$67,MATCH($A92,Presença!$I$8:$I$67,0)),0))</f>
        <v>0</v>
      </c>
      <c r="H92" s="107" t="n">
        <f aca="false">IF($A92="",0,IFERROR(AVERAGEIFS(Wellness!$H$8:$H$1007,Wellness!$C$8:$C$1007,$A92),0))</f>
        <v>0</v>
      </c>
      <c r="I92" s="71" t="str">
        <f aca="false">IF($A92="","",IF(Cadastro!$T36="Lesionado","LESIONADO",IF($F92&gt;1.5,"ALERTA — carga aguda alta",IF($H92&gt;16,"ALERTA — wellness baixo",IF(AND($G92&gt;0,$G92&lt;0.75),"Assiduidade baixa",IF($C92=0,"Sem registros","OK"))))))</f>
        <v/>
      </c>
    </row>
    <row r="93" customFormat="false" ht="15" hidden="false" customHeight="false" outlineLevel="0" collapsed="false">
      <c r="A93" s="68" t="str">
        <f aca="false">IF(Cadastro!$B37="","",Cadastro!$B37)</f>
        <v/>
      </c>
      <c r="B93" s="68" t="str">
        <f aca="false">IF($A93="","",Cadastro!$F37)</f>
        <v/>
      </c>
      <c r="C93" s="69" t="n">
        <f aca="false">IF($A93="",0,COUNTIFS('Carga (PSE)'!$C$8:$C$1007,$A93))</f>
        <v>0</v>
      </c>
      <c r="D93" s="48" t="n">
        <f aca="false">IF($A93="",0,SUMIFS('Carga (PSE)'!$G$8:$G$1007,'Carga (PSE)'!$C$8:$C$1007,$A93))</f>
        <v>0</v>
      </c>
      <c r="E93" s="88" t="n">
        <f aca="false">IF($C93=0,0,$D93/$C93)</f>
        <v>0</v>
      </c>
      <c r="F93" s="89" t="n">
        <f aca="false">IF($A93="",0,IFERROR(AVERAGEIFS('Carga (PSE)'!$J$8:$J$1007,'Carga (PSE)'!$C$8:$C$1007,$A93,'Carga (PSE)'!$A$8:$A$1007,SUMPRODUCT(MAX(('Carga (PSE)'!$C$8:$C$1007=$A93)*'Carga (PSE)'!$A$8:$A$1007))),0))</f>
        <v>0</v>
      </c>
      <c r="G93" s="104" t="n">
        <f aca="false">IF($A93="",0,IFERROR(INDEX(Presença!$L$8:$L$67,MATCH($A93,Presença!$I$8:$I$67,0)),0))</f>
        <v>0</v>
      </c>
      <c r="H93" s="106" t="n">
        <f aca="false">IF($A93="",0,IFERROR(AVERAGEIFS(Wellness!$H$8:$H$1007,Wellness!$C$8:$C$1007,$A93),0))</f>
        <v>0</v>
      </c>
      <c r="I93" s="68" t="str">
        <f aca="false">IF($A93="","",IF(Cadastro!$T37="Lesionado","LESIONADO",IF($F93&gt;1.5,"ALERTA — carga aguda alta",IF($H93&gt;16,"ALERTA — wellness baixo",IF(AND($G93&gt;0,$G93&lt;0.75),"Assiduidade baixa",IF($C93=0,"Sem registros","OK"))))))</f>
        <v/>
      </c>
    </row>
    <row r="94" customFormat="false" ht="15" hidden="false" customHeight="false" outlineLevel="0" collapsed="false">
      <c r="A94" s="71" t="str">
        <f aca="false">IF(Cadastro!$B38="","",Cadastro!$B38)</f>
        <v/>
      </c>
      <c r="B94" s="71" t="str">
        <f aca="false">IF($A94="","",Cadastro!$F38)</f>
        <v/>
      </c>
      <c r="C94" s="72" t="n">
        <f aca="false">IF($A94="",0,COUNTIFS('Carga (PSE)'!$C$8:$C$1007,$A94))</f>
        <v>0</v>
      </c>
      <c r="D94" s="92" t="n">
        <f aca="false">IF($A94="",0,SUMIFS('Carga (PSE)'!$G$8:$G$1007,'Carga (PSE)'!$C$8:$C$1007,$A94))</f>
        <v>0</v>
      </c>
      <c r="E94" s="91" t="n">
        <f aca="false">IF($C94=0,0,$D94/$C94)</f>
        <v>0</v>
      </c>
      <c r="F94" s="93" t="n">
        <f aca="false">IF($A94="",0,IFERROR(AVERAGEIFS('Carga (PSE)'!$J$8:$J$1007,'Carga (PSE)'!$C$8:$C$1007,$A94,'Carga (PSE)'!$A$8:$A$1007,SUMPRODUCT(MAX(('Carga (PSE)'!$C$8:$C$1007=$A94)*'Carga (PSE)'!$A$8:$A$1007))),0))</f>
        <v>0</v>
      </c>
      <c r="G94" s="105" t="n">
        <f aca="false">IF($A94="",0,IFERROR(INDEX(Presença!$L$8:$L$67,MATCH($A94,Presença!$I$8:$I$67,0)),0))</f>
        <v>0</v>
      </c>
      <c r="H94" s="107" t="n">
        <f aca="false">IF($A94="",0,IFERROR(AVERAGEIFS(Wellness!$H$8:$H$1007,Wellness!$C$8:$C$1007,$A94),0))</f>
        <v>0</v>
      </c>
      <c r="I94" s="71" t="str">
        <f aca="false">IF($A94="","",IF(Cadastro!$T38="Lesionado","LESIONADO",IF($F94&gt;1.5,"ALERTA — carga aguda alta",IF($H94&gt;16,"ALERTA — wellness baixo",IF(AND($G94&gt;0,$G94&lt;0.75),"Assiduidade baixa",IF($C94=0,"Sem registros","OK"))))))</f>
        <v/>
      </c>
    </row>
    <row r="95" customFormat="false" ht="15" hidden="false" customHeight="false" outlineLevel="0" collapsed="false">
      <c r="A95" s="68" t="str">
        <f aca="false">IF(Cadastro!$B39="","",Cadastro!$B39)</f>
        <v/>
      </c>
      <c r="B95" s="68" t="str">
        <f aca="false">IF($A95="","",Cadastro!$F39)</f>
        <v/>
      </c>
      <c r="C95" s="69" t="n">
        <f aca="false">IF($A95="",0,COUNTIFS('Carga (PSE)'!$C$8:$C$1007,$A95))</f>
        <v>0</v>
      </c>
      <c r="D95" s="48" t="n">
        <f aca="false">IF($A95="",0,SUMIFS('Carga (PSE)'!$G$8:$G$1007,'Carga (PSE)'!$C$8:$C$1007,$A95))</f>
        <v>0</v>
      </c>
      <c r="E95" s="88" t="n">
        <f aca="false">IF($C95=0,0,$D95/$C95)</f>
        <v>0</v>
      </c>
      <c r="F95" s="89" t="n">
        <f aca="false">IF($A95="",0,IFERROR(AVERAGEIFS('Carga (PSE)'!$J$8:$J$1007,'Carga (PSE)'!$C$8:$C$1007,$A95,'Carga (PSE)'!$A$8:$A$1007,SUMPRODUCT(MAX(('Carga (PSE)'!$C$8:$C$1007=$A95)*'Carga (PSE)'!$A$8:$A$1007))),0))</f>
        <v>0</v>
      </c>
      <c r="G95" s="104" t="n">
        <f aca="false">IF($A95="",0,IFERROR(INDEX(Presença!$L$8:$L$67,MATCH($A95,Presença!$I$8:$I$67,0)),0))</f>
        <v>0</v>
      </c>
      <c r="H95" s="106" t="n">
        <f aca="false">IF($A95="",0,IFERROR(AVERAGEIFS(Wellness!$H$8:$H$1007,Wellness!$C$8:$C$1007,$A95),0))</f>
        <v>0</v>
      </c>
      <c r="I95" s="68" t="str">
        <f aca="false">IF($A95="","",IF(Cadastro!$T39="Lesionado","LESIONADO",IF($F95&gt;1.5,"ALERTA — carga aguda alta",IF($H95&gt;16,"ALERTA — wellness baixo",IF(AND($G95&gt;0,$G95&lt;0.75),"Assiduidade baixa",IF($C95=0,"Sem registros","OK"))))))</f>
        <v/>
      </c>
    </row>
    <row r="96" customFormat="false" ht="15" hidden="false" customHeight="false" outlineLevel="0" collapsed="false">
      <c r="A96" s="71" t="str">
        <f aca="false">IF(Cadastro!$B40="","",Cadastro!$B40)</f>
        <v/>
      </c>
      <c r="B96" s="71" t="str">
        <f aca="false">IF($A96="","",Cadastro!$F40)</f>
        <v/>
      </c>
      <c r="C96" s="72" t="n">
        <f aca="false">IF($A96="",0,COUNTIFS('Carga (PSE)'!$C$8:$C$1007,$A96))</f>
        <v>0</v>
      </c>
      <c r="D96" s="92" t="n">
        <f aca="false">IF($A96="",0,SUMIFS('Carga (PSE)'!$G$8:$G$1007,'Carga (PSE)'!$C$8:$C$1007,$A96))</f>
        <v>0</v>
      </c>
      <c r="E96" s="91" t="n">
        <f aca="false">IF($C96=0,0,$D96/$C96)</f>
        <v>0</v>
      </c>
      <c r="F96" s="93" t="n">
        <f aca="false">IF($A96="",0,IFERROR(AVERAGEIFS('Carga (PSE)'!$J$8:$J$1007,'Carga (PSE)'!$C$8:$C$1007,$A96,'Carga (PSE)'!$A$8:$A$1007,SUMPRODUCT(MAX(('Carga (PSE)'!$C$8:$C$1007=$A96)*'Carga (PSE)'!$A$8:$A$1007))),0))</f>
        <v>0</v>
      </c>
      <c r="G96" s="105" t="n">
        <f aca="false">IF($A96="",0,IFERROR(INDEX(Presença!$L$8:$L$67,MATCH($A96,Presença!$I$8:$I$67,0)),0))</f>
        <v>0</v>
      </c>
      <c r="H96" s="107" t="n">
        <f aca="false">IF($A96="",0,IFERROR(AVERAGEIFS(Wellness!$H$8:$H$1007,Wellness!$C$8:$C$1007,$A96),0))</f>
        <v>0</v>
      </c>
      <c r="I96" s="71" t="str">
        <f aca="false">IF($A96="","",IF(Cadastro!$T40="Lesionado","LESIONADO",IF($F96&gt;1.5,"ALERTA — carga aguda alta",IF($H96&gt;16,"ALERTA — wellness baixo",IF(AND($G96&gt;0,$G96&lt;0.75),"Assiduidade baixa",IF($C96=0,"Sem registros","OK"))))))</f>
        <v/>
      </c>
    </row>
    <row r="97" customFormat="false" ht="15" hidden="false" customHeight="false" outlineLevel="0" collapsed="false">
      <c r="A97" s="68" t="str">
        <f aca="false">IF(Cadastro!$B41="","",Cadastro!$B41)</f>
        <v/>
      </c>
      <c r="B97" s="68" t="str">
        <f aca="false">IF($A97="","",Cadastro!$F41)</f>
        <v/>
      </c>
      <c r="C97" s="69" t="n">
        <f aca="false">IF($A97="",0,COUNTIFS('Carga (PSE)'!$C$8:$C$1007,$A97))</f>
        <v>0</v>
      </c>
      <c r="D97" s="48" t="n">
        <f aca="false">IF($A97="",0,SUMIFS('Carga (PSE)'!$G$8:$G$1007,'Carga (PSE)'!$C$8:$C$1007,$A97))</f>
        <v>0</v>
      </c>
      <c r="E97" s="88" t="n">
        <f aca="false">IF($C97=0,0,$D97/$C97)</f>
        <v>0</v>
      </c>
      <c r="F97" s="89" t="n">
        <f aca="false">IF($A97="",0,IFERROR(AVERAGEIFS('Carga (PSE)'!$J$8:$J$1007,'Carga (PSE)'!$C$8:$C$1007,$A97,'Carga (PSE)'!$A$8:$A$1007,SUMPRODUCT(MAX(('Carga (PSE)'!$C$8:$C$1007=$A97)*'Carga (PSE)'!$A$8:$A$1007))),0))</f>
        <v>0</v>
      </c>
      <c r="G97" s="104" t="n">
        <f aca="false">IF($A97="",0,IFERROR(INDEX(Presença!$L$8:$L$67,MATCH($A97,Presença!$I$8:$I$67,0)),0))</f>
        <v>0</v>
      </c>
      <c r="H97" s="106" t="n">
        <f aca="false">IF($A97="",0,IFERROR(AVERAGEIFS(Wellness!$H$8:$H$1007,Wellness!$C$8:$C$1007,$A97),0))</f>
        <v>0</v>
      </c>
      <c r="I97" s="68" t="str">
        <f aca="false">IF($A97="","",IF(Cadastro!$T41="Lesionado","LESIONADO",IF($F97&gt;1.5,"ALERTA — carga aguda alta",IF($H97&gt;16,"ALERTA — wellness baixo",IF(AND($G97&gt;0,$G97&lt;0.75),"Assiduidade baixa",IF($C97=0,"Sem registros","OK"))))))</f>
        <v/>
      </c>
    </row>
    <row r="98" customFormat="false" ht="15" hidden="false" customHeight="false" outlineLevel="0" collapsed="false">
      <c r="A98" s="71" t="str">
        <f aca="false">IF(Cadastro!$B42="","",Cadastro!$B42)</f>
        <v/>
      </c>
      <c r="B98" s="71" t="str">
        <f aca="false">IF($A98="","",Cadastro!$F42)</f>
        <v/>
      </c>
      <c r="C98" s="72" t="n">
        <f aca="false">IF($A98="",0,COUNTIFS('Carga (PSE)'!$C$8:$C$1007,$A98))</f>
        <v>0</v>
      </c>
      <c r="D98" s="92" t="n">
        <f aca="false">IF($A98="",0,SUMIFS('Carga (PSE)'!$G$8:$G$1007,'Carga (PSE)'!$C$8:$C$1007,$A98))</f>
        <v>0</v>
      </c>
      <c r="E98" s="91" t="n">
        <f aca="false">IF($C98=0,0,$D98/$C98)</f>
        <v>0</v>
      </c>
      <c r="F98" s="93" t="n">
        <f aca="false">IF($A98="",0,IFERROR(AVERAGEIFS('Carga (PSE)'!$J$8:$J$1007,'Carga (PSE)'!$C$8:$C$1007,$A98,'Carga (PSE)'!$A$8:$A$1007,SUMPRODUCT(MAX(('Carga (PSE)'!$C$8:$C$1007=$A98)*'Carga (PSE)'!$A$8:$A$1007))),0))</f>
        <v>0</v>
      </c>
      <c r="G98" s="105" t="n">
        <f aca="false">IF($A98="",0,IFERROR(INDEX(Presença!$L$8:$L$67,MATCH($A98,Presença!$I$8:$I$67,0)),0))</f>
        <v>0</v>
      </c>
      <c r="H98" s="107" t="n">
        <f aca="false">IF($A98="",0,IFERROR(AVERAGEIFS(Wellness!$H$8:$H$1007,Wellness!$C$8:$C$1007,$A98),0))</f>
        <v>0</v>
      </c>
      <c r="I98" s="71" t="str">
        <f aca="false">IF($A98="","",IF(Cadastro!$T42="Lesionado","LESIONADO",IF($F98&gt;1.5,"ALERTA — carga aguda alta",IF($H98&gt;16,"ALERTA — wellness baixo",IF(AND($G98&gt;0,$G98&lt;0.75),"Assiduidade baixa",IF($C98=0,"Sem registros","OK"))))))</f>
        <v/>
      </c>
    </row>
    <row r="99" customFormat="false" ht="15" hidden="false" customHeight="false" outlineLevel="0" collapsed="false">
      <c r="A99" s="68" t="str">
        <f aca="false">IF(Cadastro!$B43="","",Cadastro!$B43)</f>
        <v/>
      </c>
      <c r="B99" s="68" t="str">
        <f aca="false">IF($A99="","",Cadastro!$F43)</f>
        <v/>
      </c>
      <c r="C99" s="69" t="n">
        <f aca="false">IF($A99="",0,COUNTIFS('Carga (PSE)'!$C$8:$C$1007,$A99))</f>
        <v>0</v>
      </c>
      <c r="D99" s="48" t="n">
        <f aca="false">IF($A99="",0,SUMIFS('Carga (PSE)'!$G$8:$G$1007,'Carga (PSE)'!$C$8:$C$1007,$A99))</f>
        <v>0</v>
      </c>
      <c r="E99" s="88" t="n">
        <f aca="false">IF($C99=0,0,$D99/$C99)</f>
        <v>0</v>
      </c>
      <c r="F99" s="89" t="n">
        <f aca="false">IF($A99="",0,IFERROR(AVERAGEIFS('Carga (PSE)'!$J$8:$J$1007,'Carga (PSE)'!$C$8:$C$1007,$A99,'Carga (PSE)'!$A$8:$A$1007,SUMPRODUCT(MAX(('Carga (PSE)'!$C$8:$C$1007=$A99)*'Carga (PSE)'!$A$8:$A$1007))),0))</f>
        <v>0</v>
      </c>
      <c r="G99" s="104" t="n">
        <f aca="false">IF($A99="",0,IFERROR(INDEX(Presença!$L$8:$L$67,MATCH($A99,Presença!$I$8:$I$67,0)),0))</f>
        <v>0</v>
      </c>
      <c r="H99" s="106" t="n">
        <f aca="false">IF($A99="",0,IFERROR(AVERAGEIFS(Wellness!$H$8:$H$1007,Wellness!$C$8:$C$1007,$A99),0))</f>
        <v>0</v>
      </c>
      <c r="I99" s="68" t="str">
        <f aca="false">IF($A99="","",IF(Cadastro!$T43="Lesionado","LESIONADO",IF($F99&gt;1.5,"ALERTA — carga aguda alta",IF($H99&gt;16,"ALERTA — wellness baixo",IF(AND($G99&gt;0,$G99&lt;0.75),"Assiduidade baixa",IF($C99=0,"Sem registros","OK"))))))</f>
        <v/>
      </c>
    </row>
    <row r="100" customFormat="false" ht="15" hidden="false" customHeight="false" outlineLevel="0" collapsed="false">
      <c r="A100" s="71" t="str">
        <f aca="false">IF(Cadastro!$B44="","",Cadastro!$B44)</f>
        <v/>
      </c>
      <c r="B100" s="71" t="str">
        <f aca="false">IF($A100="","",Cadastro!$F44)</f>
        <v/>
      </c>
      <c r="C100" s="72" t="n">
        <f aca="false">IF($A100="",0,COUNTIFS('Carga (PSE)'!$C$8:$C$1007,$A100))</f>
        <v>0</v>
      </c>
      <c r="D100" s="92" t="n">
        <f aca="false">IF($A100="",0,SUMIFS('Carga (PSE)'!$G$8:$G$1007,'Carga (PSE)'!$C$8:$C$1007,$A100))</f>
        <v>0</v>
      </c>
      <c r="E100" s="91" t="n">
        <f aca="false">IF($C100=0,0,$D100/$C100)</f>
        <v>0</v>
      </c>
      <c r="F100" s="93" t="n">
        <f aca="false">IF($A100="",0,IFERROR(AVERAGEIFS('Carga (PSE)'!$J$8:$J$1007,'Carga (PSE)'!$C$8:$C$1007,$A100,'Carga (PSE)'!$A$8:$A$1007,SUMPRODUCT(MAX(('Carga (PSE)'!$C$8:$C$1007=$A100)*'Carga (PSE)'!$A$8:$A$1007))),0))</f>
        <v>0</v>
      </c>
      <c r="G100" s="105" t="n">
        <f aca="false">IF($A100="",0,IFERROR(INDEX(Presença!$L$8:$L$67,MATCH($A100,Presença!$I$8:$I$67,0)),0))</f>
        <v>0</v>
      </c>
      <c r="H100" s="107" t="n">
        <f aca="false">IF($A100="",0,IFERROR(AVERAGEIFS(Wellness!$H$8:$H$1007,Wellness!$C$8:$C$1007,$A100),0))</f>
        <v>0</v>
      </c>
      <c r="I100" s="71" t="str">
        <f aca="false">IF($A100="","",IF(Cadastro!$T44="Lesionado","LESIONADO",IF($F100&gt;1.5,"ALERTA — carga aguda alta",IF($H100&gt;16,"ALERTA — wellness baixo",IF(AND($G100&gt;0,$G100&lt;0.75),"Assiduidade baixa",IF($C100=0,"Sem registros","OK"))))))</f>
        <v/>
      </c>
    </row>
    <row r="101" customFormat="false" ht="15" hidden="false" customHeight="false" outlineLevel="0" collapsed="false">
      <c r="A101" s="68" t="str">
        <f aca="false">IF(Cadastro!$B45="","",Cadastro!$B45)</f>
        <v/>
      </c>
      <c r="B101" s="68" t="str">
        <f aca="false">IF($A101="","",Cadastro!$F45)</f>
        <v/>
      </c>
      <c r="C101" s="69" t="n">
        <f aca="false">IF($A101="",0,COUNTIFS('Carga (PSE)'!$C$8:$C$1007,$A101))</f>
        <v>0</v>
      </c>
      <c r="D101" s="48" t="n">
        <f aca="false">IF($A101="",0,SUMIFS('Carga (PSE)'!$G$8:$G$1007,'Carga (PSE)'!$C$8:$C$1007,$A101))</f>
        <v>0</v>
      </c>
      <c r="E101" s="88" t="n">
        <f aca="false">IF($C101=0,0,$D101/$C101)</f>
        <v>0</v>
      </c>
      <c r="F101" s="89" t="n">
        <f aca="false">IF($A101="",0,IFERROR(AVERAGEIFS('Carga (PSE)'!$J$8:$J$1007,'Carga (PSE)'!$C$8:$C$1007,$A101,'Carga (PSE)'!$A$8:$A$1007,SUMPRODUCT(MAX(('Carga (PSE)'!$C$8:$C$1007=$A101)*'Carga (PSE)'!$A$8:$A$1007))),0))</f>
        <v>0</v>
      </c>
      <c r="G101" s="104" t="n">
        <f aca="false">IF($A101="",0,IFERROR(INDEX(Presença!$L$8:$L$67,MATCH($A101,Presença!$I$8:$I$67,0)),0))</f>
        <v>0</v>
      </c>
      <c r="H101" s="106" t="n">
        <f aca="false">IF($A101="",0,IFERROR(AVERAGEIFS(Wellness!$H$8:$H$1007,Wellness!$C$8:$C$1007,$A101),0))</f>
        <v>0</v>
      </c>
      <c r="I101" s="68" t="str">
        <f aca="false">IF($A101="","",IF(Cadastro!$T45="Lesionado","LESIONADO",IF($F101&gt;1.5,"ALERTA — carga aguda alta",IF($H101&gt;16,"ALERTA — wellness baixo",IF(AND($G101&gt;0,$G101&lt;0.75),"Assiduidade baixa",IF($C101=0,"Sem registros","OK"))))))</f>
        <v/>
      </c>
    </row>
    <row r="102" customFormat="false" ht="15" hidden="false" customHeight="false" outlineLevel="0" collapsed="false">
      <c r="A102" s="71" t="str">
        <f aca="false">IF(Cadastro!$B46="","",Cadastro!$B46)</f>
        <v/>
      </c>
      <c r="B102" s="71" t="str">
        <f aca="false">IF($A102="","",Cadastro!$F46)</f>
        <v/>
      </c>
      <c r="C102" s="72" t="n">
        <f aca="false">IF($A102="",0,COUNTIFS('Carga (PSE)'!$C$8:$C$1007,$A102))</f>
        <v>0</v>
      </c>
      <c r="D102" s="92" t="n">
        <f aca="false">IF($A102="",0,SUMIFS('Carga (PSE)'!$G$8:$G$1007,'Carga (PSE)'!$C$8:$C$1007,$A102))</f>
        <v>0</v>
      </c>
      <c r="E102" s="91" t="n">
        <f aca="false">IF($C102=0,0,$D102/$C102)</f>
        <v>0</v>
      </c>
      <c r="F102" s="93" t="n">
        <f aca="false">IF($A102="",0,IFERROR(AVERAGEIFS('Carga (PSE)'!$J$8:$J$1007,'Carga (PSE)'!$C$8:$C$1007,$A102,'Carga (PSE)'!$A$8:$A$1007,SUMPRODUCT(MAX(('Carga (PSE)'!$C$8:$C$1007=$A102)*'Carga (PSE)'!$A$8:$A$1007))),0))</f>
        <v>0</v>
      </c>
      <c r="G102" s="105" t="n">
        <f aca="false">IF($A102="",0,IFERROR(INDEX(Presença!$L$8:$L$67,MATCH($A102,Presença!$I$8:$I$67,0)),0))</f>
        <v>0</v>
      </c>
      <c r="H102" s="107" t="n">
        <f aca="false">IF($A102="",0,IFERROR(AVERAGEIFS(Wellness!$H$8:$H$1007,Wellness!$C$8:$C$1007,$A102),0))</f>
        <v>0</v>
      </c>
      <c r="I102" s="71" t="str">
        <f aca="false">IF($A102="","",IF(Cadastro!$T46="Lesionado","LESIONADO",IF($F102&gt;1.5,"ALERTA — carga aguda alta",IF($H102&gt;16,"ALERTA — wellness baixo",IF(AND($G102&gt;0,$G102&lt;0.75),"Assiduidade baixa",IF($C102=0,"Sem registros","OK"))))))</f>
        <v/>
      </c>
    </row>
    <row r="103" customFormat="false" ht="15" hidden="false" customHeight="false" outlineLevel="0" collapsed="false">
      <c r="A103" s="68" t="str">
        <f aca="false">IF(Cadastro!$B47="","",Cadastro!$B47)</f>
        <v/>
      </c>
      <c r="B103" s="68" t="str">
        <f aca="false">IF($A103="","",Cadastro!$F47)</f>
        <v/>
      </c>
      <c r="C103" s="69" t="n">
        <f aca="false">IF($A103="",0,COUNTIFS('Carga (PSE)'!$C$8:$C$1007,$A103))</f>
        <v>0</v>
      </c>
      <c r="D103" s="48" t="n">
        <f aca="false">IF($A103="",0,SUMIFS('Carga (PSE)'!$G$8:$G$1007,'Carga (PSE)'!$C$8:$C$1007,$A103))</f>
        <v>0</v>
      </c>
      <c r="E103" s="88" t="n">
        <f aca="false">IF($C103=0,0,$D103/$C103)</f>
        <v>0</v>
      </c>
      <c r="F103" s="89" t="n">
        <f aca="false">IF($A103="",0,IFERROR(AVERAGEIFS('Carga (PSE)'!$J$8:$J$1007,'Carga (PSE)'!$C$8:$C$1007,$A103,'Carga (PSE)'!$A$8:$A$1007,SUMPRODUCT(MAX(('Carga (PSE)'!$C$8:$C$1007=$A103)*'Carga (PSE)'!$A$8:$A$1007))),0))</f>
        <v>0</v>
      </c>
      <c r="G103" s="104" t="n">
        <f aca="false">IF($A103="",0,IFERROR(INDEX(Presença!$L$8:$L$67,MATCH($A103,Presença!$I$8:$I$67,0)),0))</f>
        <v>0</v>
      </c>
      <c r="H103" s="106" t="n">
        <f aca="false">IF($A103="",0,IFERROR(AVERAGEIFS(Wellness!$H$8:$H$1007,Wellness!$C$8:$C$1007,$A103),0))</f>
        <v>0</v>
      </c>
      <c r="I103" s="68" t="str">
        <f aca="false">IF($A103="","",IF(Cadastro!$T47="Lesionado","LESIONADO",IF($F103&gt;1.5,"ALERTA — carga aguda alta",IF($H103&gt;16,"ALERTA — wellness baixo",IF(AND($G103&gt;0,$G103&lt;0.75),"Assiduidade baixa",IF($C103=0,"Sem registros","OK"))))))</f>
        <v/>
      </c>
    </row>
    <row r="104" customFormat="false" ht="15" hidden="false" customHeight="false" outlineLevel="0" collapsed="false">
      <c r="A104" s="71" t="str">
        <f aca="false">IF(Cadastro!$B48="","",Cadastro!$B48)</f>
        <v/>
      </c>
      <c r="B104" s="71" t="str">
        <f aca="false">IF($A104="","",Cadastro!$F48)</f>
        <v/>
      </c>
      <c r="C104" s="72" t="n">
        <f aca="false">IF($A104="",0,COUNTIFS('Carga (PSE)'!$C$8:$C$1007,$A104))</f>
        <v>0</v>
      </c>
      <c r="D104" s="92" t="n">
        <f aca="false">IF($A104="",0,SUMIFS('Carga (PSE)'!$G$8:$G$1007,'Carga (PSE)'!$C$8:$C$1007,$A104))</f>
        <v>0</v>
      </c>
      <c r="E104" s="91" t="n">
        <f aca="false">IF($C104=0,0,$D104/$C104)</f>
        <v>0</v>
      </c>
      <c r="F104" s="93" t="n">
        <f aca="false">IF($A104="",0,IFERROR(AVERAGEIFS('Carga (PSE)'!$J$8:$J$1007,'Carga (PSE)'!$C$8:$C$1007,$A104,'Carga (PSE)'!$A$8:$A$1007,SUMPRODUCT(MAX(('Carga (PSE)'!$C$8:$C$1007=$A104)*'Carga (PSE)'!$A$8:$A$1007))),0))</f>
        <v>0</v>
      </c>
      <c r="G104" s="105" t="n">
        <f aca="false">IF($A104="",0,IFERROR(INDEX(Presença!$L$8:$L$67,MATCH($A104,Presença!$I$8:$I$67,0)),0))</f>
        <v>0</v>
      </c>
      <c r="H104" s="107" t="n">
        <f aca="false">IF($A104="",0,IFERROR(AVERAGEIFS(Wellness!$H$8:$H$1007,Wellness!$C$8:$C$1007,$A104),0))</f>
        <v>0</v>
      </c>
      <c r="I104" s="71" t="str">
        <f aca="false">IF($A104="","",IF(Cadastro!$T48="Lesionado","LESIONADO",IF($F104&gt;1.5,"ALERTA — carga aguda alta",IF($H104&gt;16,"ALERTA — wellness baixo",IF(AND($G104&gt;0,$G104&lt;0.75),"Assiduidade baixa",IF($C104=0,"Sem registros","OK"))))))</f>
        <v/>
      </c>
    </row>
    <row r="105" customFormat="false" ht="15" hidden="false" customHeight="false" outlineLevel="0" collapsed="false">
      <c r="A105" s="68" t="str">
        <f aca="false">IF(Cadastro!$B49="","",Cadastro!$B49)</f>
        <v/>
      </c>
      <c r="B105" s="68" t="str">
        <f aca="false">IF($A105="","",Cadastro!$F49)</f>
        <v/>
      </c>
      <c r="C105" s="69" t="n">
        <f aca="false">IF($A105="",0,COUNTIFS('Carga (PSE)'!$C$8:$C$1007,$A105))</f>
        <v>0</v>
      </c>
      <c r="D105" s="48" t="n">
        <f aca="false">IF($A105="",0,SUMIFS('Carga (PSE)'!$G$8:$G$1007,'Carga (PSE)'!$C$8:$C$1007,$A105))</f>
        <v>0</v>
      </c>
      <c r="E105" s="88" t="n">
        <f aca="false">IF($C105=0,0,$D105/$C105)</f>
        <v>0</v>
      </c>
      <c r="F105" s="89" t="n">
        <f aca="false">IF($A105="",0,IFERROR(AVERAGEIFS('Carga (PSE)'!$J$8:$J$1007,'Carga (PSE)'!$C$8:$C$1007,$A105,'Carga (PSE)'!$A$8:$A$1007,SUMPRODUCT(MAX(('Carga (PSE)'!$C$8:$C$1007=$A105)*'Carga (PSE)'!$A$8:$A$1007))),0))</f>
        <v>0</v>
      </c>
      <c r="G105" s="104" t="n">
        <f aca="false">IF($A105="",0,IFERROR(INDEX(Presença!$L$8:$L$67,MATCH($A105,Presença!$I$8:$I$67,0)),0))</f>
        <v>0</v>
      </c>
      <c r="H105" s="106" t="n">
        <f aca="false">IF($A105="",0,IFERROR(AVERAGEIFS(Wellness!$H$8:$H$1007,Wellness!$C$8:$C$1007,$A105),0))</f>
        <v>0</v>
      </c>
      <c r="I105" s="68" t="str">
        <f aca="false">IF($A105="","",IF(Cadastro!$T49="Lesionado","LESIONADO",IF($F105&gt;1.5,"ALERTA — carga aguda alta",IF($H105&gt;16,"ALERTA — wellness baixo",IF(AND($G105&gt;0,$G105&lt;0.75),"Assiduidade baixa",IF($C105=0,"Sem registros","OK"))))))</f>
        <v/>
      </c>
    </row>
    <row r="106" customFormat="false" ht="15" hidden="false" customHeight="false" outlineLevel="0" collapsed="false">
      <c r="A106" s="71" t="str">
        <f aca="false">IF(Cadastro!$B50="","",Cadastro!$B50)</f>
        <v/>
      </c>
      <c r="B106" s="71" t="str">
        <f aca="false">IF($A106="","",Cadastro!$F50)</f>
        <v/>
      </c>
      <c r="C106" s="72" t="n">
        <f aca="false">IF($A106="",0,COUNTIFS('Carga (PSE)'!$C$8:$C$1007,$A106))</f>
        <v>0</v>
      </c>
      <c r="D106" s="92" t="n">
        <f aca="false">IF($A106="",0,SUMIFS('Carga (PSE)'!$G$8:$G$1007,'Carga (PSE)'!$C$8:$C$1007,$A106))</f>
        <v>0</v>
      </c>
      <c r="E106" s="91" t="n">
        <f aca="false">IF($C106=0,0,$D106/$C106)</f>
        <v>0</v>
      </c>
      <c r="F106" s="93" t="n">
        <f aca="false">IF($A106="",0,IFERROR(AVERAGEIFS('Carga (PSE)'!$J$8:$J$1007,'Carga (PSE)'!$C$8:$C$1007,$A106,'Carga (PSE)'!$A$8:$A$1007,SUMPRODUCT(MAX(('Carga (PSE)'!$C$8:$C$1007=$A106)*'Carga (PSE)'!$A$8:$A$1007))),0))</f>
        <v>0</v>
      </c>
      <c r="G106" s="105" t="n">
        <f aca="false">IF($A106="",0,IFERROR(INDEX(Presença!$L$8:$L$67,MATCH($A106,Presença!$I$8:$I$67,0)),0))</f>
        <v>0</v>
      </c>
      <c r="H106" s="107" t="n">
        <f aca="false">IF($A106="",0,IFERROR(AVERAGEIFS(Wellness!$H$8:$H$1007,Wellness!$C$8:$C$1007,$A106),0))</f>
        <v>0</v>
      </c>
      <c r="I106" s="71" t="str">
        <f aca="false">IF($A106="","",IF(Cadastro!$T50="Lesionado","LESIONADO",IF($F106&gt;1.5,"ALERTA — carga aguda alta",IF($H106&gt;16,"ALERTA — wellness baixo",IF(AND($G106&gt;0,$G106&lt;0.75),"Assiduidade baixa",IF($C106=0,"Sem registros","OK"))))))</f>
        <v/>
      </c>
    </row>
    <row r="107" customFormat="false" ht="15" hidden="false" customHeight="false" outlineLevel="0" collapsed="false">
      <c r="A107" s="68" t="str">
        <f aca="false">IF(Cadastro!$B51="","",Cadastro!$B51)</f>
        <v/>
      </c>
      <c r="B107" s="68" t="str">
        <f aca="false">IF($A107="","",Cadastro!$F51)</f>
        <v/>
      </c>
      <c r="C107" s="69" t="n">
        <f aca="false">IF($A107="",0,COUNTIFS('Carga (PSE)'!$C$8:$C$1007,$A107))</f>
        <v>0</v>
      </c>
      <c r="D107" s="48" t="n">
        <f aca="false">IF($A107="",0,SUMIFS('Carga (PSE)'!$G$8:$G$1007,'Carga (PSE)'!$C$8:$C$1007,$A107))</f>
        <v>0</v>
      </c>
      <c r="E107" s="88" t="n">
        <f aca="false">IF($C107=0,0,$D107/$C107)</f>
        <v>0</v>
      </c>
      <c r="F107" s="89" t="n">
        <f aca="false">IF($A107="",0,IFERROR(AVERAGEIFS('Carga (PSE)'!$J$8:$J$1007,'Carga (PSE)'!$C$8:$C$1007,$A107,'Carga (PSE)'!$A$8:$A$1007,SUMPRODUCT(MAX(('Carga (PSE)'!$C$8:$C$1007=$A107)*'Carga (PSE)'!$A$8:$A$1007))),0))</f>
        <v>0</v>
      </c>
      <c r="G107" s="104" t="n">
        <f aca="false">IF($A107="",0,IFERROR(INDEX(Presença!$L$8:$L$67,MATCH($A107,Presença!$I$8:$I$67,0)),0))</f>
        <v>0</v>
      </c>
      <c r="H107" s="106" t="n">
        <f aca="false">IF($A107="",0,IFERROR(AVERAGEIFS(Wellness!$H$8:$H$1007,Wellness!$C$8:$C$1007,$A107),0))</f>
        <v>0</v>
      </c>
      <c r="I107" s="68" t="str">
        <f aca="false">IF($A107="","",IF(Cadastro!$T51="Lesionado","LESIONADO",IF($F107&gt;1.5,"ALERTA — carga aguda alta",IF($H107&gt;16,"ALERTA — wellness baixo",IF(AND($G107&gt;0,$G107&lt;0.75),"Assiduidade baixa",IF($C107=0,"Sem registros","OK"))))))</f>
        <v/>
      </c>
    </row>
    <row r="108" customFormat="false" ht="15" hidden="false" customHeight="false" outlineLevel="0" collapsed="false">
      <c r="A108" s="71" t="str">
        <f aca="false">IF(Cadastro!$B52="","",Cadastro!$B52)</f>
        <v/>
      </c>
      <c r="B108" s="71" t="str">
        <f aca="false">IF($A108="","",Cadastro!$F52)</f>
        <v/>
      </c>
      <c r="C108" s="72" t="n">
        <f aca="false">IF($A108="",0,COUNTIFS('Carga (PSE)'!$C$8:$C$1007,$A108))</f>
        <v>0</v>
      </c>
      <c r="D108" s="92" t="n">
        <f aca="false">IF($A108="",0,SUMIFS('Carga (PSE)'!$G$8:$G$1007,'Carga (PSE)'!$C$8:$C$1007,$A108))</f>
        <v>0</v>
      </c>
      <c r="E108" s="91" t="n">
        <f aca="false">IF($C108=0,0,$D108/$C108)</f>
        <v>0</v>
      </c>
      <c r="F108" s="93" t="n">
        <f aca="false">IF($A108="",0,IFERROR(AVERAGEIFS('Carga (PSE)'!$J$8:$J$1007,'Carga (PSE)'!$C$8:$C$1007,$A108,'Carga (PSE)'!$A$8:$A$1007,SUMPRODUCT(MAX(('Carga (PSE)'!$C$8:$C$1007=$A108)*'Carga (PSE)'!$A$8:$A$1007))),0))</f>
        <v>0</v>
      </c>
      <c r="G108" s="105" t="n">
        <f aca="false">IF($A108="",0,IFERROR(INDEX(Presença!$L$8:$L$67,MATCH($A108,Presença!$I$8:$I$67,0)),0))</f>
        <v>0</v>
      </c>
      <c r="H108" s="107" t="n">
        <f aca="false">IF($A108="",0,IFERROR(AVERAGEIFS(Wellness!$H$8:$H$1007,Wellness!$C$8:$C$1007,$A108),0))</f>
        <v>0</v>
      </c>
      <c r="I108" s="71" t="str">
        <f aca="false">IF($A108="","",IF(Cadastro!$T52="Lesionado","LESIONADO",IF($F108&gt;1.5,"ALERTA — carga aguda alta",IF($H108&gt;16,"ALERTA — wellness baixo",IF(AND($G108&gt;0,$G108&lt;0.75),"Assiduidade baixa",IF($C108=0,"Sem registros","OK"))))))</f>
        <v/>
      </c>
    </row>
    <row r="109" customFormat="false" ht="15" hidden="false" customHeight="false" outlineLevel="0" collapsed="false">
      <c r="A109" s="68" t="str">
        <f aca="false">IF(Cadastro!$B53="","",Cadastro!$B53)</f>
        <v/>
      </c>
      <c r="B109" s="68" t="str">
        <f aca="false">IF($A109="","",Cadastro!$F53)</f>
        <v/>
      </c>
      <c r="C109" s="69" t="n">
        <f aca="false">IF($A109="",0,COUNTIFS('Carga (PSE)'!$C$8:$C$1007,$A109))</f>
        <v>0</v>
      </c>
      <c r="D109" s="48" t="n">
        <f aca="false">IF($A109="",0,SUMIFS('Carga (PSE)'!$G$8:$G$1007,'Carga (PSE)'!$C$8:$C$1007,$A109))</f>
        <v>0</v>
      </c>
      <c r="E109" s="88" t="n">
        <f aca="false">IF($C109=0,0,$D109/$C109)</f>
        <v>0</v>
      </c>
      <c r="F109" s="89" t="n">
        <f aca="false">IF($A109="",0,IFERROR(AVERAGEIFS('Carga (PSE)'!$J$8:$J$1007,'Carga (PSE)'!$C$8:$C$1007,$A109,'Carga (PSE)'!$A$8:$A$1007,SUMPRODUCT(MAX(('Carga (PSE)'!$C$8:$C$1007=$A109)*'Carga (PSE)'!$A$8:$A$1007))),0))</f>
        <v>0</v>
      </c>
      <c r="G109" s="104" t="n">
        <f aca="false">IF($A109="",0,IFERROR(INDEX(Presença!$L$8:$L$67,MATCH($A109,Presença!$I$8:$I$67,0)),0))</f>
        <v>0</v>
      </c>
      <c r="H109" s="106" t="n">
        <f aca="false">IF($A109="",0,IFERROR(AVERAGEIFS(Wellness!$H$8:$H$1007,Wellness!$C$8:$C$1007,$A109),0))</f>
        <v>0</v>
      </c>
      <c r="I109" s="68" t="str">
        <f aca="false">IF($A109="","",IF(Cadastro!$T53="Lesionado","LESIONADO",IF($F109&gt;1.5,"ALERTA — carga aguda alta",IF($H109&gt;16,"ALERTA — wellness baixo",IF(AND($G109&gt;0,$G109&lt;0.75),"Assiduidade baixa",IF($C109=0,"Sem registros","OK"))))))</f>
        <v/>
      </c>
    </row>
    <row r="110" customFormat="false" ht="15" hidden="false" customHeight="false" outlineLevel="0" collapsed="false">
      <c r="A110" s="71" t="str">
        <f aca="false">IF(Cadastro!$B54="","",Cadastro!$B54)</f>
        <v/>
      </c>
      <c r="B110" s="71" t="str">
        <f aca="false">IF($A110="","",Cadastro!$F54)</f>
        <v/>
      </c>
      <c r="C110" s="72" t="n">
        <f aca="false">IF($A110="",0,COUNTIFS('Carga (PSE)'!$C$8:$C$1007,$A110))</f>
        <v>0</v>
      </c>
      <c r="D110" s="92" t="n">
        <f aca="false">IF($A110="",0,SUMIFS('Carga (PSE)'!$G$8:$G$1007,'Carga (PSE)'!$C$8:$C$1007,$A110))</f>
        <v>0</v>
      </c>
      <c r="E110" s="91" t="n">
        <f aca="false">IF($C110=0,0,$D110/$C110)</f>
        <v>0</v>
      </c>
      <c r="F110" s="93" t="n">
        <f aca="false">IF($A110="",0,IFERROR(AVERAGEIFS('Carga (PSE)'!$J$8:$J$1007,'Carga (PSE)'!$C$8:$C$1007,$A110,'Carga (PSE)'!$A$8:$A$1007,SUMPRODUCT(MAX(('Carga (PSE)'!$C$8:$C$1007=$A110)*'Carga (PSE)'!$A$8:$A$1007))),0))</f>
        <v>0</v>
      </c>
      <c r="G110" s="105" t="n">
        <f aca="false">IF($A110="",0,IFERROR(INDEX(Presença!$L$8:$L$67,MATCH($A110,Presença!$I$8:$I$67,0)),0))</f>
        <v>0</v>
      </c>
      <c r="H110" s="107" t="n">
        <f aca="false">IF($A110="",0,IFERROR(AVERAGEIFS(Wellness!$H$8:$H$1007,Wellness!$C$8:$C$1007,$A110),0))</f>
        <v>0</v>
      </c>
      <c r="I110" s="71" t="str">
        <f aca="false">IF($A110="","",IF(Cadastro!$T54="Lesionado","LESIONADO",IF($F110&gt;1.5,"ALERTA — carga aguda alta",IF($H110&gt;16,"ALERTA — wellness baixo",IF(AND($G110&gt;0,$G110&lt;0.75),"Assiduidade baixa",IF($C110=0,"Sem registros","OK"))))))</f>
        <v/>
      </c>
    </row>
    <row r="111" customFormat="false" ht="15" hidden="false" customHeight="false" outlineLevel="0" collapsed="false">
      <c r="A111" s="68" t="str">
        <f aca="false">IF(Cadastro!$B55="","",Cadastro!$B55)</f>
        <v/>
      </c>
      <c r="B111" s="68" t="str">
        <f aca="false">IF($A111="","",Cadastro!$F55)</f>
        <v/>
      </c>
      <c r="C111" s="69" t="n">
        <f aca="false">IF($A111="",0,COUNTIFS('Carga (PSE)'!$C$8:$C$1007,$A111))</f>
        <v>0</v>
      </c>
      <c r="D111" s="48" t="n">
        <f aca="false">IF($A111="",0,SUMIFS('Carga (PSE)'!$G$8:$G$1007,'Carga (PSE)'!$C$8:$C$1007,$A111))</f>
        <v>0</v>
      </c>
      <c r="E111" s="88" t="n">
        <f aca="false">IF($C111=0,0,$D111/$C111)</f>
        <v>0</v>
      </c>
      <c r="F111" s="89" t="n">
        <f aca="false">IF($A111="",0,IFERROR(AVERAGEIFS('Carga (PSE)'!$J$8:$J$1007,'Carga (PSE)'!$C$8:$C$1007,$A111,'Carga (PSE)'!$A$8:$A$1007,SUMPRODUCT(MAX(('Carga (PSE)'!$C$8:$C$1007=$A111)*'Carga (PSE)'!$A$8:$A$1007))),0))</f>
        <v>0</v>
      </c>
      <c r="G111" s="104" t="n">
        <f aca="false">IF($A111="",0,IFERROR(INDEX(Presença!$L$8:$L$67,MATCH($A111,Presença!$I$8:$I$67,0)),0))</f>
        <v>0</v>
      </c>
      <c r="H111" s="106" t="n">
        <f aca="false">IF($A111="",0,IFERROR(AVERAGEIFS(Wellness!$H$8:$H$1007,Wellness!$C$8:$C$1007,$A111),0))</f>
        <v>0</v>
      </c>
      <c r="I111" s="68" t="str">
        <f aca="false">IF($A111="","",IF(Cadastro!$T55="Lesionado","LESIONADO",IF($F111&gt;1.5,"ALERTA — carga aguda alta",IF($H111&gt;16,"ALERTA — wellness baixo",IF(AND($G111&gt;0,$G111&lt;0.75),"Assiduidade baixa",IF($C111=0,"Sem registros","OK"))))))</f>
        <v/>
      </c>
    </row>
    <row r="112" customFormat="false" ht="15" hidden="false" customHeight="false" outlineLevel="0" collapsed="false">
      <c r="A112" s="71" t="str">
        <f aca="false">IF(Cadastro!$B56="","",Cadastro!$B56)</f>
        <v/>
      </c>
      <c r="B112" s="71" t="str">
        <f aca="false">IF($A112="","",Cadastro!$F56)</f>
        <v/>
      </c>
      <c r="C112" s="72" t="n">
        <f aca="false">IF($A112="",0,COUNTIFS('Carga (PSE)'!$C$8:$C$1007,$A112))</f>
        <v>0</v>
      </c>
      <c r="D112" s="92" t="n">
        <f aca="false">IF($A112="",0,SUMIFS('Carga (PSE)'!$G$8:$G$1007,'Carga (PSE)'!$C$8:$C$1007,$A112))</f>
        <v>0</v>
      </c>
      <c r="E112" s="91" t="n">
        <f aca="false">IF($C112=0,0,$D112/$C112)</f>
        <v>0</v>
      </c>
      <c r="F112" s="93" t="n">
        <f aca="false">IF($A112="",0,IFERROR(AVERAGEIFS('Carga (PSE)'!$J$8:$J$1007,'Carga (PSE)'!$C$8:$C$1007,$A112,'Carga (PSE)'!$A$8:$A$1007,SUMPRODUCT(MAX(('Carga (PSE)'!$C$8:$C$1007=$A112)*'Carga (PSE)'!$A$8:$A$1007))),0))</f>
        <v>0</v>
      </c>
      <c r="G112" s="105" t="n">
        <f aca="false">IF($A112="",0,IFERROR(INDEX(Presença!$L$8:$L$67,MATCH($A112,Presença!$I$8:$I$67,0)),0))</f>
        <v>0</v>
      </c>
      <c r="H112" s="107" t="n">
        <f aca="false">IF($A112="",0,IFERROR(AVERAGEIFS(Wellness!$H$8:$H$1007,Wellness!$C$8:$C$1007,$A112),0))</f>
        <v>0</v>
      </c>
      <c r="I112" s="71" t="str">
        <f aca="false">IF($A112="","",IF(Cadastro!$T56="Lesionado","LESIONADO",IF($F112&gt;1.5,"ALERTA — carga aguda alta",IF($H112&gt;16,"ALERTA — wellness baixo",IF(AND($G112&gt;0,$G112&lt;0.75),"Assiduidade baixa",IF($C112=0,"Sem registros","OK"))))))</f>
        <v/>
      </c>
    </row>
    <row r="113" customFormat="false" ht="15" hidden="false" customHeight="false" outlineLevel="0" collapsed="false">
      <c r="A113" s="68" t="str">
        <f aca="false">IF(Cadastro!$B57="","",Cadastro!$B57)</f>
        <v/>
      </c>
      <c r="B113" s="68" t="str">
        <f aca="false">IF($A113="","",Cadastro!$F57)</f>
        <v/>
      </c>
      <c r="C113" s="69" t="n">
        <f aca="false">IF($A113="",0,COUNTIFS('Carga (PSE)'!$C$8:$C$1007,$A113))</f>
        <v>0</v>
      </c>
      <c r="D113" s="48" t="n">
        <f aca="false">IF($A113="",0,SUMIFS('Carga (PSE)'!$G$8:$G$1007,'Carga (PSE)'!$C$8:$C$1007,$A113))</f>
        <v>0</v>
      </c>
      <c r="E113" s="88" t="n">
        <f aca="false">IF($C113=0,0,$D113/$C113)</f>
        <v>0</v>
      </c>
      <c r="F113" s="89" t="n">
        <f aca="false">IF($A113="",0,IFERROR(AVERAGEIFS('Carga (PSE)'!$J$8:$J$1007,'Carga (PSE)'!$C$8:$C$1007,$A113,'Carga (PSE)'!$A$8:$A$1007,SUMPRODUCT(MAX(('Carga (PSE)'!$C$8:$C$1007=$A113)*'Carga (PSE)'!$A$8:$A$1007))),0))</f>
        <v>0</v>
      </c>
      <c r="G113" s="104" t="n">
        <f aca="false">IF($A113="",0,IFERROR(INDEX(Presença!$L$8:$L$67,MATCH($A113,Presença!$I$8:$I$67,0)),0))</f>
        <v>0</v>
      </c>
      <c r="H113" s="106" t="n">
        <f aca="false">IF($A113="",0,IFERROR(AVERAGEIFS(Wellness!$H$8:$H$1007,Wellness!$C$8:$C$1007,$A113),0))</f>
        <v>0</v>
      </c>
      <c r="I113" s="68" t="str">
        <f aca="false">IF($A113="","",IF(Cadastro!$T57="Lesionado","LESIONADO",IF($F113&gt;1.5,"ALERTA — carga aguda alta",IF($H113&gt;16,"ALERTA — wellness baixo",IF(AND($G113&gt;0,$G113&lt;0.75),"Assiduidade baixa",IF($C113=0,"Sem registros","OK"))))))</f>
        <v/>
      </c>
    </row>
    <row r="114" customFormat="false" ht="15" hidden="false" customHeight="false" outlineLevel="0" collapsed="false">
      <c r="A114" s="71" t="str">
        <f aca="false">IF(Cadastro!$B58="","",Cadastro!$B58)</f>
        <v/>
      </c>
      <c r="B114" s="71" t="str">
        <f aca="false">IF($A114="","",Cadastro!$F58)</f>
        <v/>
      </c>
      <c r="C114" s="72" t="n">
        <f aca="false">IF($A114="",0,COUNTIFS('Carga (PSE)'!$C$8:$C$1007,$A114))</f>
        <v>0</v>
      </c>
      <c r="D114" s="92" t="n">
        <f aca="false">IF($A114="",0,SUMIFS('Carga (PSE)'!$G$8:$G$1007,'Carga (PSE)'!$C$8:$C$1007,$A114))</f>
        <v>0</v>
      </c>
      <c r="E114" s="91" t="n">
        <f aca="false">IF($C114=0,0,$D114/$C114)</f>
        <v>0</v>
      </c>
      <c r="F114" s="93" t="n">
        <f aca="false">IF($A114="",0,IFERROR(AVERAGEIFS('Carga (PSE)'!$J$8:$J$1007,'Carga (PSE)'!$C$8:$C$1007,$A114,'Carga (PSE)'!$A$8:$A$1007,SUMPRODUCT(MAX(('Carga (PSE)'!$C$8:$C$1007=$A114)*'Carga (PSE)'!$A$8:$A$1007))),0))</f>
        <v>0</v>
      </c>
      <c r="G114" s="105" t="n">
        <f aca="false">IF($A114="",0,IFERROR(INDEX(Presença!$L$8:$L$67,MATCH($A114,Presença!$I$8:$I$67,0)),0))</f>
        <v>0</v>
      </c>
      <c r="H114" s="107" t="n">
        <f aca="false">IF($A114="",0,IFERROR(AVERAGEIFS(Wellness!$H$8:$H$1007,Wellness!$C$8:$C$1007,$A114),0))</f>
        <v>0</v>
      </c>
      <c r="I114" s="71" t="str">
        <f aca="false">IF($A114="","",IF(Cadastro!$T58="Lesionado","LESIONADO",IF($F114&gt;1.5,"ALERTA — carga aguda alta",IF($H114&gt;16,"ALERTA — wellness baixo",IF(AND($G114&gt;0,$G114&lt;0.75),"Assiduidade baixa",IF($C114=0,"Sem registros","OK"))))))</f>
        <v/>
      </c>
    </row>
    <row r="115" customFormat="false" ht="15" hidden="false" customHeight="false" outlineLevel="0" collapsed="false">
      <c r="A115" s="68" t="str">
        <f aca="false">IF(Cadastro!$B59="","",Cadastro!$B59)</f>
        <v/>
      </c>
      <c r="B115" s="68" t="str">
        <f aca="false">IF($A115="","",Cadastro!$F59)</f>
        <v/>
      </c>
      <c r="C115" s="69" t="n">
        <f aca="false">IF($A115="",0,COUNTIFS('Carga (PSE)'!$C$8:$C$1007,$A115))</f>
        <v>0</v>
      </c>
      <c r="D115" s="48" t="n">
        <f aca="false">IF($A115="",0,SUMIFS('Carga (PSE)'!$G$8:$G$1007,'Carga (PSE)'!$C$8:$C$1007,$A115))</f>
        <v>0</v>
      </c>
      <c r="E115" s="88" t="n">
        <f aca="false">IF($C115=0,0,$D115/$C115)</f>
        <v>0</v>
      </c>
      <c r="F115" s="89" t="n">
        <f aca="false">IF($A115="",0,IFERROR(AVERAGEIFS('Carga (PSE)'!$J$8:$J$1007,'Carga (PSE)'!$C$8:$C$1007,$A115,'Carga (PSE)'!$A$8:$A$1007,SUMPRODUCT(MAX(('Carga (PSE)'!$C$8:$C$1007=$A115)*'Carga (PSE)'!$A$8:$A$1007))),0))</f>
        <v>0</v>
      </c>
      <c r="G115" s="104" t="n">
        <f aca="false">IF($A115="",0,IFERROR(INDEX(Presença!$L$8:$L$67,MATCH($A115,Presença!$I$8:$I$67,0)),0))</f>
        <v>0</v>
      </c>
      <c r="H115" s="106" t="n">
        <f aca="false">IF($A115="",0,IFERROR(AVERAGEIFS(Wellness!$H$8:$H$1007,Wellness!$C$8:$C$1007,$A115),0))</f>
        <v>0</v>
      </c>
      <c r="I115" s="68" t="str">
        <f aca="false">IF($A115="","",IF(Cadastro!$T59="Lesionado","LESIONADO",IF($F115&gt;1.5,"ALERTA — carga aguda alta",IF($H115&gt;16,"ALERTA — wellness baixo",IF(AND($G115&gt;0,$G115&lt;0.75),"Assiduidade baixa",IF($C115=0,"Sem registros","OK"))))))</f>
        <v/>
      </c>
    </row>
    <row r="116" customFormat="false" ht="15" hidden="false" customHeight="false" outlineLevel="0" collapsed="false">
      <c r="A116" s="71" t="str">
        <f aca="false">IF(Cadastro!$B60="","",Cadastro!$B60)</f>
        <v/>
      </c>
      <c r="B116" s="71" t="str">
        <f aca="false">IF($A116="","",Cadastro!$F60)</f>
        <v/>
      </c>
      <c r="C116" s="72" t="n">
        <f aca="false">IF($A116="",0,COUNTIFS('Carga (PSE)'!$C$8:$C$1007,$A116))</f>
        <v>0</v>
      </c>
      <c r="D116" s="92" t="n">
        <f aca="false">IF($A116="",0,SUMIFS('Carga (PSE)'!$G$8:$G$1007,'Carga (PSE)'!$C$8:$C$1007,$A116))</f>
        <v>0</v>
      </c>
      <c r="E116" s="91" t="n">
        <f aca="false">IF($C116=0,0,$D116/$C116)</f>
        <v>0</v>
      </c>
      <c r="F116" s="93" t="n">
        <f aca="false">IF($A116="",0,IFERROR(AVERAGEIFS('Carga (PSE)'!$J$8:$J$1007,'Carga (PSE)'!$C$8:$C$1007,$A116,'Carga (PSE)'!$A$8:$A$1007,SUMPRODUCT(MAX(('Carga (PSE)'!$C$8:$C$1007=$A116)*'Carga (PSE)'!$A$8:$A$1007))),0))</f>
        <v>0</v>
      </c>
      <c r="G116" s="105" t="n">
        <f aca="false">IF($A116="",0,IFERROR(INDEX(Presença!$L$8:$L$67,MATCH($A116,Presença!$I$8:$I$67,0)),0))</f>
        <v>0</v>
      </c>
      <c r="H116" s="107" t="n">
        <f aca="false">IF($A116="",0,IFERROR(AVERAGEIFS(Wellness!$H$8:$H$1007,Wellness!$C$8:$C$1007,$A116),0))</f>
        <v>0</v>
      </c>
      <c r="I116" s="71" t="str">
        <f aca="false">IF($A116="","",IF(Cadastro!$T60="Lesionado","LESIONADO",IF($F116&gt;1.5,"ALERTA — carga aguda alta",IF($H116&gt;16,"ALERTA — wellness baixo",IF(AND($G116&gt;0,$G116&lt;0.75),"Assiduidade baixa",IF($C116=0,"Sem registros","OK"))))))</f>
        <v/>
      </c>
    </row>
    <row r="117" customFormat="false" ht="15" hidden="false" customHeight="false" outlineLevel="0" collapsed="false">
      <c r="A117" s="68" t="str">
        <f aca="false">IF(Cadastro!$B61="","",Cadastro!$B61)</f>
        <v/>
      </c>
      <c r="B117" s="68" t="str">
        <f aca="false">IF($A117="","",Cadastro!$F61)</f>
        <v/>
      </c>
      <c r="C117" s="69" t="n">
        <f aca="false">IF($A117="",0,COUNTIFS('Carga (PSE)'!$C$8:$C$1007,$A117))</f>
        <v>0</v>
      </c>
      <c r="D117" s="48" t="n">
        <f aca="false">IF($A117="",0,SUMIFS('Carga (PSE)'!$G$8:$G$1007,'Carga (PSE)'!$C$8:$C$1007,$A117))</f>
        <v>0</v>
      </c>
      <c r="E117" s="88" t="n">
        <f aca="false">IF($C117=0,0,$D117/$C117)</f>
        <v>0</v>
      </c>
      <c r="F117" s="89" t="n">
        <f aca="false">IF($A117="",0,IFERROR(AVERAGEIFS('Carga (PSE)'!$J$8:$J$1007,'Carga (PSE)'!$C$8:$C$1007,$A117,'Carga (PSE)'!$A$8:$A$1007,SUMPRODUCT(MAX(('Carga (PSE)'!$C$8:$C$1007=$A117)*'Carga (PSE)'!$A$8:$A$1007))),0))</f>
        <v>0</v>
      </c>
      <c r="G117" s="104" t="n">
        <f aca="false">IF($A117="",0,IFERROR(INDEX(Presença!$L$8:$L$67,MATCH($A117,Presença!$I$8:$I$67,0)),0))</f>
        <v>0</v>
      </c>
      <c r="H117" s="106" t="n">
        <f aca="false">IF($A117="",0,IFERROR(AVERAGEIFS(Wellness!$H$8:$H$1007,Wellness!$C$8:$C$1007,$A117),0))</f>
        <v>0</v>
      </c>
      <c r="I117" s="68" t="str">
        <f aca="false">IF($A117="","",IF(Cadastro!$T61="Lesionado","LESIONADO",IF($F117&gt;1.5,"ALERTA — carga aguda alta",IF($H117&gt;16,"ALERTA — wellness baixo",IF(AND($G117&gt;0,$G117&lt;0.75),"Assiduidade baixa",IF($C117=0,"Sem registros","OK"))))))</f>
        <v/>
      </c>
    </row>
    <row r="118" customFormat="false" ht="15" hidden="false" customHeight="false" outlineLevel="0" collapsed="false">
      <c r="A118" s="71" t="str">
        <f aca="false">IF(Cadastro!$B62="","",Cadastro!$B62)</f>
        <v/>
      </c>
      <c r="B118" s="71" t="str">
        <f aca="false">IF($A118="","",Cadastro!$F62)</f>
        <v/>
      </c>
      <c r="C118" s="72" t="n">
        <f aca="false">IF($A118="",0,COUNTIFS('Carga (PSE)'!$C$8:$C$1007,$A118))</f>
        <v>0</v>
      </c>
      <c r="D118" s="92" t="n">
        <f aca="false">IF($A118="",0,SUMIFS('Carga (PSE)'!$G$8:$G$1007,'Carga (PSE)'!$C$8:$C$1007,$A118))</f>
        <v>0</v>
      </c>
      <c r="E118" s="91" t="n">
        <f aca="false">IF($C118=0,0,$D118/$C118)</f>
        <v>0</v>
      </c>
      <c r="F118" s="93" t="n">
        <f aca="false">IF($A118="",0,IFERROR(AVERAGEIFS('Carga (PSE)'!$J$8:$J$1007,'Carga (PSE)'!$C$8:$C$1007,$A118,'Carga (PSE)'!$A$8:$A$1007,SUMPRODUCT(MAX(('Carga (PSE)'!$C$8:$C$1007=$A118)*'Carga (PSE)'!$A$8:$A$1007))),0))</f>
        <v>0</v>
      </c>
      <c r="G118" s="105" t="n">
        <f aca="false">IF($A118="",0,IFERROR(INDEX(Presença!$L$8:$L$67,MATCH($A118,Presença!$I$8:$I$67,0)),0))</f>
        <v>0</v>
      </c>
      <c r="H118" s="107" t="n">
        <f aca="false">IF($A118="",0,IFERROR(AVERAGEIFS(Wellness!$H$8:$H$1007,Wellness!$C$8:$C$1007,$A118),0))</f>
        <v>0</v>
      </c>
      <c r="I118" s="71" t="str">
        <f aca="false">IF($A118="","",IF(Cadastro!$T62="Lesionado","LESIONADO",IF($F118&gt;1.5,"ALERTA — carga aguda alta",IF($H118&gt;16,"ALERTA — wellness baixo",IF(AND($G118&gt;0,$G118&lt;0.75),"Assiduidade baixa",IF($C118=0,"Sem registros","OK"))))))</f>
        <v/>
      </c>
    </row>
    <row r="119" customFormat="false" ht="15" hidden="false" customHeight="false" outlineLevel="0" collapsed="false">
      <c r="A119" s="68" t="str">
        <f aca="false">IF(Cadastro!$B63="","",Cadastro!$B63)</f>
        <v/>
      </c>
      <c r="B119" s="68" t="str">
        <f aca="false">IF($A119="","",Cadastro!$F63)</f>
        <v/>
      </c>
      <c r="C119" s="69" t="n">
        <f aca="false">IF($A119="",0,COUNTIFS('Carga (PSE)'!$C$8:$C$1007,$A119))</f>
        <v>0</v>
      </c>
      <c r="D119" s="48" t="n">
        <f aca="false">IF($A119="",0,SUMIFS('Carga (PSE)'!$G$8:$G$1007,'Carga (PSE)'!$C$8:$C$1007,$A119))</f>
        <v>0</v>
      </c>
      <c r="E119" s="88" t="n">
        <f aca="false">IF($C119=0,0,$D119/$C119)</f>
        <v>0</v>
      </c>
      <c r="F119" s="89" t="n">
        <f aca="false">IF($A119="",0,IFERROR(AVERAGEIFS('Carga (PSE)'!$J$8:$J$1007,'Carga (PSE)'!$C$8:$C$1007,$A119,'Carga (PSE)'!$A$8:$A$1007,SUMPRODUCT(MAX(('Carga (PSE)'!$C$8:$C$1007=$A119)*'Carga (PSE)'!$A$8:$A$1007))),0))</f>
        <v>0</v>
      </c>
      <c r="G119" s="104" t="n">
        <f aca="false">IF($A119="",0,IFERROR(INDEX(Presença!$L$8:$L$67,MATCH($A119,Presença!$I$8:$I$67,0)),0))</f>
        <v>0</v>
      </c>
      <c r="H119" s="106" t="n">
        <f aca="false">IF($A119="",0,IFERROR(AVERAGEIFS(Wellness!$H$8:$H$1007,Wellness!$C$8:$C$1007,$A119),0))</f>
        <v>0</v>
      </c>
      <c r="I119" s="68" t="str">
        <f aca="false">IF($A119="","",IF(Cadastro!$T63="Lesionado","LESIONADO",IF($F119&gt;1.5,"ALERTA — carga aguda alta",IF($H119&gt;16,"ALERTA — wellness baixo",IF(AND($G119&gt;0,$G119&lt;0.75),"Assiduidade baixa",IF($C119=0,"Sem registros","OK"))))))</f>
        <v/>
      </c>
    </row>
    <row r="120" customFormat="false" ht="15" hidden="false" customHeight="false" outlineLevel="0" collapsed="false">
      <c r="A120" s="71" t="str">
        <f aca="false">IF(Cadastro!$B64="","",Cadastro!$B64)</f>
        <v/>
      </c>
      <c r="B120" s="71" t="str">
        <f aca="false">IF($A120="","",Cadastro!$F64)</f>
        <v/>
      </c>
      <c r="C120" s="72" t="n">
        <f aca="false">IF($A120="",0,COUNTIFS('Carga (PSE)'!$C$8:$C$1007,$A120))</f>
        <v>0</v>
      </c>
      <c r="D120" s="92" t="n">
        <f aca="false">IF($A120="",0,SUMIFS('Carga (PSE)'!$G$8:$G$1007,'Carga (PSE)'!$C$8:$C$1007,$A120))</f>
        <v>0</v>
      </c>
      <c r="E120" s="91" t="n">
        <f aca="false">IF($C120=0,0,$D120/$C120)</f>
        <v>0</v>
      </c>
      <c r="F120" s="93" t="n">
        <f aca="false">IF($A120="",0,IFERROR(AVERAGEIFS('Carga (PSE)'!$J$8:$J$1007,'Carga (PSE)'!$C$8:$C$1007,$A120,'Carga (PSE)'!$A$8:$A$1007,SUMPRODUCT(MAX(('Carga (PSE)'!$C$8:$C$1007=$A120)*'Carga (PSE)'!$A$8:$A$1007))),0))</f>
        <v>0</v>
      </c>
      <c r="G120" s="105" t="n">
        <f aca="false">IF($A120="",0,IFERROR(INDEX(Presença!$L$8:$L$67,MATCH($A120,Presença!$I$8:$I$67,0)),0))</f>
        <v>0</v>
      </c>
      <c r="H120" s="107" t="n">
        <f aca="false">IF($A120="",0,IFERROR(AVERAGEIFS(Wellness!$H$8:$H$1007,Wellness!$C$8:$C$1007,$A120),0))</f>
        <v>0</v>
      </c>
      <c r="I120" s="71" t="str">
        <f aca="false">IF($A120="","",IF(Cadastro!$T64="Lesionado","LESIONADO",IF($F120&gt;1.5,"ALERTA — carga aguda alta",IF($H120&gt;16,"ALERTA — wellness baixo",IF(AND($G120&gt;0,$G120&lt;0.75),"Assiduidade baixa",IF($C120=0,"Sem registros","OK"))))))</f>
        <v/>
      </c>
    </row>
    <row r="121" customFormat="false" ht="15" hidden="false" customHeight="false" outlineLevel="0" collapsed="false">
      <c r="A121" s="68" t="str">
        <f aca="false">IF(Cadastro!$B65="","",Cadastro!$B65)</f>
        <v/>
      </c>
      <c r="B121" s="68" t="str">
        <f aca="false">IF($A121="","",Cadastro!$F65)</f>
        <v/>
      </c>
      <c r="C121" s="69" t="n">
        <f aca="false">IF($A121="",0,COUNTIFS('Carga (PSE)'!$C$8:$C$1007,$A121))</f>
        <v>0</v>
      </c>
      <c r="D121" s="48" t="n">
        <f aca="false">IF($A121="",0,SUMIFS('Carga (PSE)'!$G$8:$G$1007,'Carga (PSE)'!$C$8:$C$1007,$A121))</f>
        <v>0</v>
      </c>
      <c r="E121" s="88" t="n">
        <f aca="false">IF($C121=0,0,$D121/$C121)</f>
        <v>0</v>
      </c>
      <c r="F121" s="89" t="n">
        <f aca="false">IF($A121="",0,IFERROR(AVERAGEIFS('Carga (PSE)'!$J$8:$J$1007,'Carga (PSE)'!$C$8:$C$1007,$A121,'Carga (PSE)'!$A$8:$A$1007,SUMPRODUCT(MAX(('Carga (PSE)'!$C$8:$C$1007=$A121)*'Carga (PSE)'!$A$8:$A$1007))),0))</f>
        <v>0</v>
      </c>
      <c r="G121" s="104" t="n">
        <f aca="false">IF($A121="",0,IFERROR(INDEX(Presença!$L$8:$L$67,MATCH($A121,Presença!$I$8:$I$67,0)),0))</f>
        <v>0</v>
      </c>
      <c r="H121" s="106" t="n">
        <f aca="false">IF($A121="",0,IFERROR(AVERAGEIFS(Wellness!$H$8:$H$1007,Wellness!$C$8:$C$1007,$A121),0))</f>
        <v>0</v>
      </c>
      <c r="I121" s="68" t="str">
        <f aca="false">IF($A121="","",IF(Cadastro!$T65="Lesionado","LESIONADO",IF($F121&gt;1.5,"ALERTA — carga aguda alta",IF($H121&gt;16,"ALERTA — wellness baixo",IF(AND($G121&gt;0,$G121&lt;0.75),"Assiduidade baixa",IF($C121=0,"Sem registros","OK"))))))</f>
        <v/>
      </c>
    </row>
    <row r="122" customFormat="false" ht="15" hidden="false" customHeight="false" outlineLevel="0" collapsed="false">
      <c r="A122" s="71" t="str">
        <f aca="false">IF(Cadastro!$B66="","",Cadastro!$B66)</f>
        <v/>
      </c>
      <c r="B122" s="71" t="str">
        <f aca="false">IF($A122="","",Cadastro!$F66)</f>
        <v/>
      </c>
      <c r="C122" s="72" t="n">
        <f aca="false">IF($A122="",0,COUNTIFS('Carga (PSE)'!$C$8:$C$1007,$A122))</f>
        <v>0</v>
      </c>
      <c r="D122" s="92" t="n">
        <f aca="false">IF($A122="",0,SUMIFS('Carga (PSE)'!$G$8:$G$1007,'Carga (PSE)'!$C$8:$C$1007,$A122))</f>
        <v>0</v>
      </c>
      <c r="E122" s="91" t="n">
        <f aca="false">IF($C122=0,0,$D122/$C122)</f>
        <v>0</v>
      </c>
      <c r="F122" s="93" t="n">
        <f aca="false">IF($A122="",0,IFERROR(AVERAGEIFS('Carga (PSE)'!$J$8:$J$1007,'Carga (PSE)'!$C$8:$C$1007,$A122,'Carga (PSE)'!$A$8:$A$1007,SUMPRODUCT(MAX(('Carga (PSE)'!$C$8:$C$1007=$A122)*'Carga (PSE)'!$A$8:$A$1007))),0))</f>
        <v>0</v>
      </c>
      <c r="G122" s="105" t="n">
        <f aca="false">IF($A122="",0,IFERROR(INDEX(Presença!$L$8:$L$67,MATCH($A122,Presença!$I$8:$I$67,0)),0))</f>
        <v>0</v>
      </c>
      <c r="H122" s="107" t="n">
        <f aca="false">IF($A122="",0,IFERROR(AVERAGEIFS(Wellness!$H$8:$H$1007,Wellness!$C$8:$C$1007,$A122),0))</f>
        <v>0</v>
      </c>
      <c r="I122" s="71" t="str">
        <f aca="false">IF($A122="","",IF(Cadastro!$T66="Lesionado","LESIONADO",IF($F122&gt;1.5,"ALERTA — carga aguda alta",IF($H122&gt;16,"ALERTA — wellness baixo",IF(AND($G122&gt;0,$G122&lt;0.75),"Assiduidade baixa",IF($C122=0,"Sem registros","OK"))))))</f>
        <v/>
      </c>
    </row>
  </sheetData>
  <mergeCells count="22">
    <mergeCell ref="A1:T1"/>
    <mergeCell ref="A2:T2"/>
    <mergeCell ref="C4:D4"/>
    <mergeCell ref="A6:B6"/>
    <mergeCell ref="C6:D6"/>
    <mergeCell ref="E6:F6"/>
    <mergeCell ref="G6:I6"/>
    <mergeCell ref="J6:L6"/>
    <mergeCell ref="M6:O6"/>
    <mergeCell ref="P6:Q6"/>
    <mergeCell ref="R6:T6"/>
    <mergeCell ref="A7:B7"/>
    <mergeCell ref="C7:D7"/>
    <mergeCell ref="E7:F7"/>
    <mergeCell ref="G7:I7"/>
    <mergeCell ref="J7:L7"/>
    <mergeCell ref="M7:O7"/>
    <mergeCell ref="P7:Q7"/>
    <mergeCell ref="R7:T7"/>
    <mergeCell ref="A9:I9"/>
    <mergeCell ref="K45:M45"/>
    <mergeCell ref="A61:I61"/>
  </mergeCells>
  <conditionalFormatting sqref="H11:H58">
    <cfRule type="cellIs" priority="2" operator="greaterThan" aboveAverage="0" equalAverage="0" bottom="0" percent="0" rank="0" text="" dxfId="7">
      <formula>1.5</formula>
    </cfRule>
  </conditionalFormatting>
  <conditionalFormatting sqref="C11:C58">
    <cfRule type="colorScale" priority="3">
      <colorScale>
        <cfvo type="min" val="0"/>
        <cfvo type="max" val="0"/>
        <color rgb="FFFFFFFF"/>
        <color rgb="FF8FAADC"/>
      </colorScale>
    </cfRule>
  </conditionalFormatting>
  <conditionalFormatting sqref="F63:F122">
    <cfRule type="cellIs" priority="4" operator="greaterThan" aboveAverage="0" equalAverage="0" bottom="0" percent="0" rank="0" text="" dxfId="7">
      <formula>1.5</formula>
    </cfRule>
  </conditionalFormatting>
  <conditionalFormatting sqref="I63:I122">
    <cfRule type="cellIs" priority="5" operator="equal" aboveAverage="0" equalAverage="0" bottom="0" percent="0" rank="0" text="" dxfId="6">
      <formula>"OK"</formula>
    </cfRule>
    <cfRule type="expression" priority="6" aboveAverage="0" equalAverage="0" bottom="0" percent="0" rank="0" text="" dxfId="7">
      <formula>LEFT($I63,6)="ALERTA"</formula>
    </cfRule>
  </conditionalFormatting>
  <conditionalFormatting sqref="G63:G122">
    <cfRule type="colorScale" priority="7">
      <colorScale>
        <cfvo type="num" val="0.5"/>
        <cfvo type="num" val="0.8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9A"/>
    <pageSetUpPr fitToPage="true"/>
  </sheetPr>
  <dimension ref="A1:V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0" min="1" style="0" width="22"/>
    <col collapsed="false" customWidth="true" hidden="false" outlineLevel="0" max="22" min="22" style="0" width="26"/>
  </cols>
  <sheetData>
    <row r="1" customFormat="false" ht="30" hidden="false" customHeight="true" outlineLevel="0" collapsed="false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true" outlineLevel="0" collapsed="false">
      <c r="A2" s="2" t="s">
        <v>496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1.5" hidden="false" customHeight="true" outlineLevel="0" collapsed="false">
      <c r="A4" s="18" t="s">
        <v>62</v>
      </c>
      <c r="B4" s="18" t="s">
        <v>63</v>
      </c>
      <c r="C4" s="18" t="s">
        <v>61</v>
      </c>
      <c r="D4" s="18" t="s">
        <v>65</v>
      </c>
      <c r="E4" s="18" t="s">
        <v>497</v>
      </c>
      <c r="F4" s="18" t="s">
        <v>498</v>
      </c>
      <c r="G4" s="18" t="s">
        <v>322</v>
      </c>
      <c r="H4" s="18" t="s">
        <v>499</v>
      </c>
      <c r="I4" s="18" t="s">
        <v>500</v>
      </c>
      <c r="J4" s="18" t="s">
        <v>83</v>
      </c>
      <c r="K4" s="18" t="s">
        <v>84</v>
      </c>
      <c r="L4" s="18" t="s">
        <v>406</v>
      </c>
      <c r="M4" s="18" t="s">
        <v>501</v>
      </c>
      <c r="N4" s="18" t="s">
        <v>387</v>
      </c>
      <c r="O4" s="18" t="s">
        <v>502</v>
      </c>
      <c r="P4" s="18" t="s">
        <v>340</v>
      </c>
      <c r="Q4" s="18" t="s">
        <v>341</v>
      </c>
      <c r="R4" s="18" t="s">
        <v>92</v>
      </c>
      <c r="S4" s="18" t="s">
        <v>309</v>
      </c>
      <c r="T4" s="18" t="s">
        <v>503</v>
      </c>
      <c r="V4" s="108" t="s">
        <v>504</v>
      </c>
    </row>
    <row r="5" customFormat="false" ht="15" hidden="false" customHeight="false" outlineLevel="0" collapsed="false">
      <c r="A5" s="109" t="s">
        <v>505</v>
      </c>
      <c r="B5" s="109" t="s">
        <v>506</v>
      </c>
      <c r="C5" s="109" t="s">
        <v>507</v>
      </c>
      <c r="D5" s="109" t="s">
        <v>508</v>
      </c>
      <c r="E5" s="109" t="s">
        <v>509</v>
      </c>
      <c r="F5" s="109" t="s">
        <v>510</v>
      </c>
      <c r="G5" s="109" t="s">
        <v>511</v>
      </c>
      <c r="H5" s="109" t="s">
        <v>512</v>
      </c>
      <c r="I5" s="109" t="s">
        <v>95</v>
      </c>
      <c r="J5" s="109" t="s">
        <v>96</v>
      </c>
      <c r="K5" s="109" t="s">
        <v>203</v>
      </c>
      <c r="L5" s="109" t="s">
        <v>513</v>
      </c>
      <c r="M5" s="109" t="s">
        <v>271</v>
      </c>
      <c r="N5" s="109" t="n">
        <v>0</v>
      </c>
      <c r="O5" s="109" t="n">
        <v>1</v>
      </c>
      <c r="P5" s="109" t="s">
        <v>514</v>
      </c>
      <c r="Q5" s="109" t="s">
        <v>482</v>
      </c>
      <c r="R5" s="109" t="s">
        <v>102</v>
      </c>
      <c r="S5" s="109" t="s">
        <v>515</v>
      </c>
      <c r="T5" s="109" t="s">
        <v>516</v>
      </c>
      <c r="V5" s="110" t="s">
        <v>517</v>
      </c>
    </row>
    <row r="6" customFormat="false" ht="15" hidden="false" customHeight="false" outlineLevel="0" collapsed="false">
      <c r="A6" s="109" t="s">
        <v>518</v>
      </c>
      <c r="B6" s="109" t="s">
        <v>519</v>
      </c>
      <c r="C6" s="109" t="s">
        <v>520</v>
      </c>
      <c r="D6" s="109" t="s">
        <v>521</v>
      </c>
      <c r="E6" s="109" t="s">
        <v>522</v>
      </c>
      <c r="F6" s="109" t="s">
        <v>523</v>
      </c>
      <c r="G6" s="109" t="s">
        <v>524</v>
      </c>
      <c r="H6" s="109" t="s">
        <v>525</v>
      </c>
      <c r="I6" s="109" t="s">
        <v>179</v>
      </c>
      <c r="J6" s="109" t="s">
        <v>116</v>
      </c>
      <c r="K6" s="109" t="s">
        <v>110</v>
      </c>
      <c r="L6" s="109" t="s">
        <v>526</v>
      </c>
      <c r="M6" s="109" t="s">
        <v>133</v>
      </c>
      <c r="N6" s="109" t="n">
        <v>1</v>
      </c>
      <c r="O6" s="109" t="n">
        <v>2</v>
      </c>
      <c r="P6" s="109" t="s">
        <v>527</v>
      </c>
      <c r="Q6" s="109" t="s">
        <v>483</v>
      </c>
      <c r="R6" s="109" t="s">
        <v>108</v>
      </c>
      <c r="S6" s="109" t="s">
        <v>528</v>
      </c>
      <c r="T6" s="109" t="s">
        <v>529</v>
      </c>
      <c r="V6" s="110" t="str">
        <f aca="false">IF(Cadastro!$B$7="","",Cadastro!$B$7)</f>
        <v/>
      </c>
    </row>
    <row r="7" customFormat="false" ht="15" hidden="false" customHeight="false" outlineLevel="0" collapsed="false">
      <c r="A7" s="109" t="s">
        <v>530</v>
      </c>
      <c r="B7" s="109" t="s">
        <v>531</v>
      </c>
      <c r="D7" s="109" t="s">
        <v>532</v>
      </c>
      <c r="E7" s="109" t="s">
        <v>533</v>
      </c>
      <c r="F7" s="109" t="s">
        <v>534</v>
      </c>
      <c r="G7" s="109" t="s">
        <v>535</v>
      </c>
      <c r="H7" s="109" t="s">
        <v>536</v>
      </c>
      <c r="I7" s="109" t="s">
        <v>202</v>
      </c>
      <c r="J7" s="109" t="s">
        <v>129</v>
      </c>
      <c r="K7" s="109" t="s">
        <v>224</v>
      </c>
      <c r="L7" s="109" t="s">
        <v>537</v>
      </c>
      <c r="M7" s="109" t="s">
        <v>101</v>
      </c>
      <c r="N7" s="109" t="n">
        <v>2</v>
      </c>
      <c r="O7" s="109" t="n">
        <v>3</v>
      </c>
      <c r="P7" s="109" t="s">
        <v>538</v>
      </c>
      <c r="Q7" s="109" t="s">
        <v>484</v>
      </c>
      <c r="R7" s="109" t="s">
        <v>114</v>
      </c>
      <c r="S7" s="109" t="s">
        <v>539</v>
      </c>
      <c r="T7" s="109" t="s">
        <v>540</v>
      </c>
      <c r="V7" s="110" t="str">
        <f aca="false">IF(Cadastro!$B$8="","",Cadastro!$B$8)</f>
        <v/>
      </c>
    </row>
    <row r="8" customFormat="false" ht="15" hidden="false" customHeight="false" outlineLevel="0" collapsed="false">
      <c r="A8" s="109" t="s">
        <v>541</v>
      </c>
      <c r="B8" s="109" t="s">
        <v>542</v>
      </c>
      <c r="E8" s="109" t="s">
        <v>543</v>
      </c>
      <c r="F8" s="109" t="s">
        <v>544</v>
      </c>
      <c r="G8" s="109" t="s">
        <v>545</v>
      </c>
      <c r="H8" s="109" t="s">
        <v>546</v>
      </c>
      <c r="I8" s="109" t="s">
        <v>254</v>
      </c>
      <c r="J8" s="109" t="s">
        <v>142</v>
      </c>
      <c r="K8" s="109" t="s">
        <v>146</v>
      </c>
      <c r="L8" s="109" t="s">
        <v>522</v>
      </c>
      <c r="M8" s="109" t="s">
        <v>107</v>
      </c>
      <c r="N8" s="109" t="n">
        <v>3</v>
      </c>
      <c r="O8" s="109" t="n">
        <v>4</v>
      </c>
      <c r="Q8" s="109" t="s">
        <v>485</v>
      </c>
      <c r="S8" s="109" t="s">
        <v>547</v>
      </c>
      <c r="T8" s="109" t="s">
        <v>548</v>
      </c>
      <c r="V8" s="110" t="str">
        <f aca="false">IF(Cadastro!$B$9="","",Cadastro!$B$9)</f>
        <v/>
      </c>
    </row>
    <row r="9" customFormat="false" ht="15" hidden="false" customHeight="false" outlineLevel="0" collapsed="false">
      <c r="A9" s="109" t="s">
        <v>549</v>
      </c>
      <c r="B9" s="109" t="s">
        <v>550</v>
      </c>
      <c r="E9" s="109" t="s">
        <v>551</v>
      </c>
      <c r="F9" s="109" t="s">
        <v>552</v>
      </c>
      <c r="G9" s="109" t="s">
        <v>534</v>
      </c>
      <c r="H9" s="109" t="s">
        <v>553</v>
      </c>
      <c r="I9" s="109" t="s">
        <v>273</v>
      </c>
      <c r="J9" s="109" t="s">
        <v>156</v>
      </c>
      <c r="K9" s="109" t="s">
        <v>125</v>
      </c>
      <c r="L9" s="109" t="s">
        <v>533</v>
      </c>
      <c r="M9" s="109" t="s">
        <v>113</v>
      </c>
      <c r="N9" s="109" t="n">
        <v>4</v>
      </c>
      <c r="O9" s="109" t="n">
        <v>5</v>
      </c>
      <c r="Q9" s="109" t="s">
        <v>486</v>
      </c>
      <c r="T9" s="109" t="s">
        <v>554</v>
      </c>
      <c r="V9" s="110" t="str">
        <f aca="false">IF(Cadastro!$B$10="","",Cadastro!$B$10)</f>
        <v/>
      </c>
    </row>
    <row r="10" customFormat="false" ht="15" hidden="false" customHeight="false" outlineLevel="0" collapsed="false">
      <c r="A10" s="109" t="s">
        <v>555</v>
      </c>
      <c r="B10" s="109" t="s">
        <v>556</v>
      </c>
      <c r="E10" s="109" t="s">
        <v>557</v>
      </c>
      <c r="F10" s="109" t="s">
        <v>558</v>
      </c>
      <c r="G10" s="109" t="s">
        <v>559</v>
      </c>
      <c r="I10" s="109" t="s">
        <v>278</v>
      </c>
      <c r="J10" s="109" t="s">
        <v>165</v>
      </c>
      <c r="K10" s="109" t="s">
        <v>245</v>
      </c>
      <c r="L10" s="109" t="s">
        <v>560</v>
      </c>
      <c r="M10" s="109" t="s">
        <v>561</v>
      </c>
      <c r="N10" s="109" t="n">
        <v>5</v>
      </c>
      <c r="O10" s="109" t="n">
        <v>6</v>
      </c>
      <c r="Q10" s="109" t="s">
        <v>487</v>
      </c>
      <c r="T10" s="109" t="s">
        <v>562</v>
      </c>
      <c r="V10" s="110" t="str">
        <f aca="false">IF(Cadastro!$B$11="","",Cadastro!$B$11)</f>
        <v/>
      </c>
    </row>
    <row r="11" customFormat="false" ht="15" hidden="false" customHeight="false" outlineLevel="0" collapsed="false">
      <c r="B11" s="109" t="s">
        <v>563</v>
      </c>
      <c r="G11" s="109" t="s">
        <v>564</v>
      </c>
      <c r="J11" s="109" t="s">
        <v>174</v>
      </c>
      <c r="K11" s="109" t="s">
        <v>240</v>
      </c>
      <c r="L11" s="109" t="s">
        <v>565</v>
      </c>
      <c r="N11" s="109" t="n">
        <v>6</v>
      </c>
      <c r="O11" s="109" t="n">
        <v>7</v>
      </c>
      <c r="Q11" s="109" t="s">
        <v>488</v>
      </c>
      <c r="T11" s="109" t="s">
        <v>566</v>
      </c>
      <c r="V11" s="110" t="str">
        <f aca="false">IF(Cadastro!$B$12="","",Cadastro!$B$12)</f>
        <v/>
      </c>
    </row>
    <row r="12" customFormat="false" ht="15" hidden="false" customHeight="false" outlineLevel="0" collapsed="false">
      <c r="J12" s="109" t="s">
        <v>180</v>
      </c>
      <c r="K12" s="109" t="s">
        <v>267</v>
      </c>
      <c r="N12" s="109" t="n">
        <v>7</v>
      </c>
      <c r="Q12" s="109" t="s">
        <v>489</v>
      </c>
      <c r="V12" s="110" t="str">
        <f aca="false">IF(Cadastro!$B$13="","",Cadastro!$B$13)</f>
        <v/>
      </c>
    </row>
    <row r="13" customFormat="false" ht="15" hidden="false" customHeight="false" outlineLevel="0" collapsed="false">
      <c r="J13" s="109" t="s">
        <v>181</v>
      </c>
      <c r="K13" s="109" t="s">
        <v>249</v>
      </c>
      <c r="N13" s="109" t="n">
        <v>8</v>
      </c>
      <c r="Q13" s="109" t="s">
        <v>490</v>
      </c>
      <c r="V13" s="110" t="str">
        <f aca="false">IF(Cadastro!$B$14="","",Cadastro!$B$14)</f>
        <v/>
      </c>
    </row>
    <row r="14" customFormat="false" ht="15" hidden="false" customHeight="false" outlineLevel="0" collapsed="false">
      <c r="K14" s="109" t="s">
        <v>97</v>
      </c>
      <c r="N14" s="109" t="n">
        <v>9</v>
      </c>
      <c r="Q14" s="109" t="s">
        <v>491</v>
      </c>
      <c r="V14" s="110" t="str">
        <f aca="false">IF(Cadastro!$B$15="","",Cadastro!$B$15)</f>
        <v/>
      </c>
    </row>
    <row r="15" customFormat="false" ht="15" hidden="false" customHeight="false" outlineLevel="0" collapsed="false">
      <c r="K15" s="109" t="s">
        <v>181</v>
      </c>
      <c r="N15" s="109" t="n">
        <v>10</v>
      </c>
      <c r="V15" s="110" t="str">
        <f aca="false">IF(Cadastro!$B$16="","",Cadastro!$B$16)</f>
        <v/>
      </c>
    </row>
    <row r="16" customFormat="false" ht="15" hidden="false" customHeight="false" outlineLevel="0" collapsed="false">
      <c r="V16" s="110" t="str">
        <f aca="false">IF(Cadastro!$B$17="","",Cadastro!$B$17)</f>
        <v/>
      </c>
    </row>
    <row r="17" customFormat="false" ht="15" hidden="false" customHeight="false" outlineLevel="0" collapsed="false">
      <c r="V17" s="110" t="str">
        <f aca="false">IF(Cadastro!$B$18="","",Cadastro!$B$18)</f>
        <v/>
      </c>
    </row>
    <row r="18" customFormat="false" ht="15" hidden="false" customHeight="false" outlineLevel="0" collapsed="false">
      <c r="V18" s="110" t="str">
        <f aca="false">IF(Cadastro!$B$19="","",Cadastro!$B$19)</f>
        <v/>
      </c>
    </row>
    <row r="19" customFormat="false" ht="15" hidden="false" customHeight="false" outlineLevel="0" collapsed="false">
      <c r="V19" s="110" t="str">
        <f aca="false">IF(Cadastro!$B$20="","",Cadastro!$B$20)</f>
        <v/>
      </c>
    </row>
    <row r="20" customFormat="false" ht="15" hidden="false" customHeight="false" outlineLevel="0" collapsed="false">
      <c r="V20" s="110" t="str">
        <f aca="false">IF(Cadastro!$B$21="","",Cadastro!$B$21)</f>
        <v/>
      </c>
    </row>
    <row r="21" customFormat="false" ht="15" hidden="false" customHeight="false" outlineLevel="0" collapsed="false">
      <c r="V21" s="110" t="str">
        <f aca="false">IF(Cadastro!$B$22="","",Cadastro!$B$22)</f>
        <v/>
      </c>
    </row>
    <row r="22" customFormat="false" ht="15" hidden="false" customHeight="false" outlineLevel="0" collapsed="false">
      <c r="V22" s="110" t="str">
        <f aca="false">IF(Cadastro!$B$23="","",Cadastro!$B$23)</f>
        <v/>
      </c>
    </row>
    <row r="23" customFormat="false" ht="15" hidden="false" customHeight="false" outlineLevel="0" collapsed="false">
      <c r="V23" s="110" t="str">
        <f aca="false">IF(Cadastro!$B$24="","",Cadastro!$B$24)</f>
        <v/>
      </c>
    </row>
    <row r="24" customFormat="false" ht="15" hidden="false" customHeight="false" outlineLevel="0" collapsed="false">
      <c r="V24" s="110" t="str">
        <f aca="false">IF(Cadastro!$B$25="","",Cadastro!$B$25)</f>
        <v/>
      </c>
    </row>
    <row r="25" customFormat="false" ht="15" hidden="false" customHeight="false" outlineLevel="0" collapsed="false">
      <c r="V25" s="110" t="str">
        <f aca="false">IF(Cadastro!$B$26="","",Cadastro!$B$26)</f>
        <v/>
      </c>
    </row>
    <row r="26" customFormat="false" ht="15" hidden="false" customHeight="false" outlineLevel="0" collapsed="false">
      <c r="V26" s="110" t="str">
        <f aca="false">IF(Cadastro!$B$27="","",Cadastro!$B$27)</f>
        <v/>
      </c>
    </row>
    <row r="27" customFormat="false" ht="15" hidden="false" customHeight="false" outlineLevel="0" collapsed="false">
      <c r="V27" s="110" t="str">
        <f aca="false">IF(Cadastro!$B$28="","",Cadastro!$B$28)</f>
        <v/>
      </c>
    </row>
    <row r="28" customFormat="false" ht="15" hidden="false" customHeight="false" outlineLevel="0" collapsed="false">
      <c r="V28" s="110" t="str">
        <f aca="false">IF(Cadastro!$B$29="","",Cadastro!$B$29)</f>
        <v/>
      </c>
    </row>
    <row r="29" customFormat="false" ht="15" hidden="false" customHeight="false" outlineLevel="0" collapsed="false">
      <c r="V29" s="110" t="str">
        <f aca="false">IF(Cadastro!$B$30="","",Cadastro!$B$30)</f>
        <v/>
      </c>
    </row>
    <row r="30" customFormat="false" ht="15" hidden="false" customHeight="false" outlineLevel="0" collapsed="false">
      <c r="V30" s="110" t="str">
        <f aca="false">IF(Cadastro!$B$31="","",Cadastro!$B$31)</f>
        <v/>
      </c>
    </row>
    <row r="31" customFormat="false" ht="15" hidden="false" customHeight="false" outlineLevel="0" collapsed="false">
      <c r="V31" s="110" t="str">
        <f aca="false">IF(Cadastro!$B$32="","",Cadastro!$B$32)</f>
        <v/>
      </c>
    </row>
    <row r="32" customFormat="false" ht="15" hidden="false" customHeight="false" outlineLevel="0" collapsed="false">
      <c r="V32" s="110" t="str">
        <f aca="false">IF(Cadastro!$B$33="","",Cadastro!$B$33)</f>
        <v/>
      </c>
    </row>
    <row r="33" customFormat="false" ht="15" hidden="false" customHeight="false" outlineLevel="0" collapsed="false">
      <c r="V33" s="110" t="str">
        <f aca="false">IF(Cadastro!$B$34="","",Cadastro!$B$34)</f>
        <v/>
      </c>
    </row>
    <row r="34" customFormat="false" ht="15" hidden="false" customHeight="false" outlineLevel="0" collapsed="false">
      <c r="V34" s="110" t="str">
        <f aca="false">IF(Cadastro!$B$35="","",Cadastro!$B$35)</f>
        <v/>
      </c>
    </row>
    <row r="35" customFormat="false" ht="15" hidden="false" customHeight="false" outlineLevel="0" collapsed="false">
      <c r="V35" s="110" t="str">
        <f aca="false">IF(Cadastro!$B$36="","",Cadastro!$B$36)</f>
        <v/>
      </c>
    </row>
    <row r="36" customFormat="false" ht="15" hidden="false" customHeight="false" outlineLevel="0" collapsed="false">
      <c r="V36" s="110" t="str">
        <f aca="false">IF(Cadastro!$B$37="","",Cadastro!$B$37)</f>
        <v/>
      </c>
    </row>
    <row r="37" customFormat="false" ht="15" hidden="false" customHeight="false" outlineLevel="0" collapsed="false">
      <c r="V37" s="110" t="str">
        <f aca="false">IF(Cadastro!$B$38="","",Cadastro!$B$38)</f>
        <v/>
      </c>
    </row>
    <row r="38" customFormat="false" ht="15" hidden="false" customHeight="false" outlineLevel="0" collapsed="false">
      <c r="V38" s="110" t="str">
        <f aca="false">IF(Cadastro!$B$39="","",Cadastro!$B$39)</f>
        <v/>
      </c>
    </row>
    <row r="39" customFormat="false" ht="15" hidden="false" customHeight="false" outlineLevel="0" collapsed="false">
      <c r="V39" s="110" t="str">
        <f aca="false">IF(Cadastro!$B$40="","",Cadastro!$B$40)</f>
        <v/>
      </c>
    </row>
    <row r="40" customFormat="false" ht="15" hidden="false" customHeight="false" outlineLevel="0" collapsed="false">
      <c r="V40" s="110" t="str">
        <f aca="false">IF(Cadastro!$B$41="","",Cadastro!$B$41)</f>
        <v/>
      </c>
    </row>
    <row r="41" customFormat="false" ht="15" hidden="false" customHeight="false" outlineLevel="0" collapsed="false">
      <c r="V41" s="110" t="str">
        <f aca="false">IF(Cadastro!$B$42="","",Cadastro!$B$42)</f>
        <v/>
      </c>
    </row>
    <row r="42" customFormat="false" ht="15" hidden="false" customHeight="false" outlineLevel="0" collapsed="false">
      <c r="V42" s="110" t="str">
        <f aca="false">IF(Cadastro!$B$43="","",Cadastro!$B$43)</f>
        <v/>
      </c>
    </row>
    <row r="43" customFormat="false" ht="15" hidden="false" customHeight="false" outlineLevel="0" collapsed="false">
      <c r="V43" s="110" t="str">
        <f aca="false">IF(Cadastro!$B$44="","",Cadastro!$B$44)</f>
        <v/>
      </c>
    </row>
    <row r="44" customFormat="false" ht="15" hidden="false" customHeight="false" outlineLevel="0" collapsed="false">
      <c r="V44" s="110" t="str">
        <f aca="false">IF(Cadastro!$B$45="","",Cadastro!$B$45)</f>
        <v/>
      </c>
    </row>
    <row r="45" customFormat="false" ht="15" hidden="false" customHeight="false" outlineLevel="0" collapsed="false">
      <c r="V45" s="110" t="str">
        <f aca="false">IF(Cadastro!$B$46="","",Cadastro!$B$46)</f>
        <v/>
      </c>
    </row>
    <row r="46" customFormat="false" ht="15" hidden="false" customHeight="false" outlineLevel="0" collapsed="false">
      <c r="V46" s="110" t="str">
        <f aca="false">IF(Cadastro!$B$47="","",Cadastro!$B$47)</f>
        <v/>
      </c>
    </row>
    <row r="47" customFormat="false" ht="15" hidden="false" customHeight="false" outlineLevel="0" collapsed="false">
      <c r="V47" s="110" t="str">
        <f aca="false">IF(Cadastro!$B$48="","",Cadastro!$B$48)</f>
        <v/>
      </c>
    </row>
    <row r="48" customFormat="false" ht="15" hidden="false" customHeight="false" outlineLevel="0" collapsed="false">
      <c r="V48" s="110" t="str">
        <f aca="false">IF(Cadastro!$B$49="","",Cadastro!$B$49)</f>
        <v/>
      </c>
    </row>
    <row r="49" customFormat="false" ht="15" hidden="false" customHeight="false" outlineLevel="0" collapsed="false">
      <c r="V49" s="110" t="str">
        <f aca="false">IF(Cadastro!$B$50="","",Cadastro!$B$50)</f>
        <v/>
      </c>
    </row>
    <row r="50" customFormat="false" ht="15" hidden="false" customHeight="false" outlineLevel="0" collapsed="false">
      <c r="V50" s="110" t="str">
        <f aca="false">IF(Cadastro!$B$51="","",Cadastro!$B$51)</f>
        <v/>
      </c>
    </row>
    <row r="51" customFormat="false" ht="15" hidden="false" customHeight="false" outlineLevel="0" collapsed="false">
      <c r="V51" s="110" t="str">
        <f aca="false">IF(Cadastro!$B$52="","",Cadastro!$B$52)</f>
        <v/>
      </c>
    </row>
    <row r="52" customFormat="false" ht="15" hidden="false" customHeight="false" outlineLevel="0" collapsed="false">
      <c r="V52" s="110" t="str">
        <f aca="false">IF(Cadastro!$B$53="","",Cadastro!$B$53)</f>
        <v/>
      </c>
    </row>
    <row r="53" customFormat="false" ht="15" hidden="false" customHeight="false" outlineLevel="0" collapsed="false">
      <c r="V53" s="110" t="str">
        <f aca="false">IF(Cadastro!$B$54="","",Cadastro!$B$54)</f>
        <v/>
      </c>
    </row>
    <row r="54" customFormat="false" ht="15" hidden="false" customHeight="false" outlineLevel="0" collapsed="false">
      <c r="V54" s="110" t="str">
        <f aca="false">IF(Cadastro!$B$55="","",Cadastro!$B$55)</f>
        <v/>
      </c>
    </row>
    <row r="55" customFormat="false" ht="15" hidden="false" customHeight="false" outlineLevel="0" collapsed="false">
      <c r="V55" s="110" t="str">
        <f aca="false">IF(Cadastro!$B$56="","",Cadastro!$B$56)</f>
        <v/>
      </c>
    </row>
    <row r="56" customFormat="false" ht="15" hidden="false" customHeight="false" outlineLevel="0" collapsed="false">
      <c r="V56" s="110" t="str">
        <f aca="false">IF(Cadastro!$B$57="","",Cadastro!$B$57)</f>
        <v/>
      </c>
    </row>
    <row r="57" customFormat="false" ht="15" hidden="false" customHeight="false" outlineLevel="0" collapsed="false">
      <c r="V57" s="110" t="str">
        <f aca="false">IF(Cadastro!$B$58="","",Cadastro!$B$58)</f>
        <v/>
      </c>
    </row>
    <row r="58" customFormat="false" ht="15" hidden="false" customHeight="false" outlineLevel="0" collapsed="false">
      <c r="V58" s="110" t="str">
        <f aca="false">IF(Cadastro!$B$59="","",Cadastro!$B$59)</f>
        <v/>
      </c>
    </row>
    <row r="59" customFormat="false" ht="15" hidden="false" customHeight="false" outlineLevel="0" collapsed="false">
      <c r="V59" s="110" t="str">
        <f aca="false">IF(Cadastro!$B$60="","",Cadastro!$B$60)</f>
        <v/>
      </c>
    </row>
    <row r="60" customFormat="false" ht="15" hidden="false" customHeight="false" outlineLevel="0" collapsed="false">
      <c r="V60" s="110" t="str">
        <f aca="false">IF(Cadastro!$B$61="","",Cadastro!$B$61)</f>
        <v/>
      </c>
    </row>
    <row r="61" customFormat="false" ht="15" hidden="false" customHeight="false" outlineLevel="0" collapsed="false">
      <c r="V61" s="110" t="str">
        <f aca="false">IF(Cadastro!$B$62="","",Cadastro!$B$62)</f>
        <v/>
      </c>
    </row>
    <row r="62" customFormat="false" ht="15" hidden="false" customHeight="false" outlineLevel="0" collapsed="false">
      <c r="V62" s="110" t="str">
        <f aca="false">IF(Cadastro!$B$63="","",Cadastro!$B$63)</f>
        <v/>
      </c>
    </row>
    <row r="63" customFormat="false" ht="15" hidden="false" customHeight="false" outlineLevel="0" collapsed="false">
      <c r="V63" s="110" t="str">
        <f aca="false">IF(Cadastro!$B$64="","",Cadastro!$B$64)</f>
        <v/>
      </c>
    </row>
    <row r="64" customFormat="false" ht="15" hidden="false" customHeight="false" outlineLevel="0" collapsed="false">
      <c r="V64" s="110" t="str">
        <f aca="false">IF(Cadastro!$B$65="","",Cadastro!$B$65)</f>
        <v/>
      </c>
    </row>
    <row r="65" customFormat="false" ht="15" hidden="false" customHeight="false" outlineLevel="0" collapsed="false">
      <c r="V65" s="110" t="str">
        <f aca="false">IF(Cadastro!$B$66="","",Cadastro!$B$66)</f>
        <v/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2026-09-03T12:23:53Z</dcterms:created>
  <dc:creator>openpyxl</dc:creator>
  <dc:description/>
  <dc:language>en-US</dc:language>
  <cp:lastModifiedBy/>
  <dcterms:modified xsi:type="dcterms:W3CDTF">2026-09-03T12:24:09Z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