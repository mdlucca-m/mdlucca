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o" sheetId="1" state="visible" r:id="rId1"/>
    <sheet name="1RM" sheetId="2" state="visible" r:id="rId2"/>
    <sheet name="Segunda" sheetId="3" state="visible" r:id="rId3"/>
    <sheet name="Terça" sheetId="4" state="visible" r:id="rId4"/>
    <sheet name="Quarta" sheetId="5" state="visible" r:id="rId5"/>
    <sheet name="Quin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&quot; min&quot;"/>
  </numFmts>
  <fonts count="19">
    <font>
      <name val="Calibri"/>
      <family val="2"/>
      <color theme="1"/>
      <sz val="11"/>
      <scheme val="minor"/>
    </font>
    <font>
      <name val="Arial"/>
      <b val="1"/>
      <color rgb="002E6DB4"/>
      <sz val="15"/>
    </font>
    <font>
      <name val="Arial"/>
      <color rgb="005A6672"/>
      <sz val="9.5"/>
    </font>
    <font>
      <name val="Arial"/>
      <b val="1"/>
      <color rgb="00FFFFFF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A1A1A"/>
      <sz val="9.5"/>
    </font>
    <font>
      <name val="Arial"/>
      <color rgb="005A6672"/>
      <sz val="9"/>
    </font>
    <font>
      <name val="Arial"/>
      <color rgb="005A6672"/>
      <sz val="10"/>
    </font>
    <font>
      <name val="Arial"/>
      <b val="1"/>
      <color rgb="005A6672"/>
      <sz val="8.5"/>
    </font>
    <font>
      <name val="Arial"/>
      <b val="1"/>
      <color rgb="002E6DB4"/>
      <sz val="13"/>
    </font>
    <font>
      <name val="Arial"/>
      <color rgb="001A1A1A"/>
      <sz val="10"/>
    </font>
    <font>
      <name val="Arial"/>
      <b val="1"/>
      <color rgb="001A1A1A"/>
      <sz val="10"/>
    </font>
    <font>
      <name val="Arial"/>
      <color rgb="005A6672"/>
      <sz val="8.5"/>
    </font>
    <font>
      <name val="Arial"/>
      <b val="1"/>
      <sz val="11"/>
    </font>
    <font>
      <name val="Arial"/>
      <b val="1"/>
      <color rgb="002E6DB4"/>
      <sz val="16"/>
    </font>
    <font>
      <name val="Arial"/>
      <sz val="10"/>
    </font>
    <font>
      <name val="Arial"/>
      <b val="1"/>
      <color rgb="002E6DB4"/>
      <sz val="10"/>
    </font>
    <font>
      <name val="Arial"/>
      <color rgb="009B3B3B"/>
      <sz val="9.5"/>
    </font>
  </fonts>
  <fills count="6">
    <fill>
      <patternFill/>
    </fill>
    <fill>
      <patternFill patternType="gray125"/>
    </fill>
    <fill>
      <patternFill patternType="solid">
        <fgColor rgb="002E6DB4"/>
      </patternFill>
    </fill>
    <fill>
      <patternFill patternType="solid">
        <fgColor rgb="00FFF2A8"/>
      </patternFill>
    </fill>
    <fill>
      <patternFill patternType="solid">
        <fgColor rgb="00F2F2F2"/>
      </patternFill>
    </fill>
    <fill>
      <patternFill patternType="solid">
        <fgColor rgb="00E8F0F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5" fillId="0" borderId="0" pivotButton="0" quotePrefix="0" xfId="0"/>
    <xf numFmtId="0" fontId="8" fillId="0" borderId="0" pivotButton="0" quotePrefix="0" xfId="0"/>
    <xf numFmtId="0" fontId="11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0" fontId="16" fillId="0" borderId="2" applyAlignment="1" pivotButton="0" quotePrefix="0" xfId="0">
      <alignment vertical="center"/>
    </xf>
    <xf numFmtId="1" fontId="16" fillId="0" borderId="2" applyAlignment="1" pivotButton="0" quotePrefix="0" xfId="0">
      <alignment horizontal="center" vertical="center"/>
    </xf>
    <xf numFmtId="165" fontId="16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left" vertical="center"/>
    </xf>
    <xf numFmtId="0" fontId="17" fillId="5" borderId="2" applyAlignment="1" pivotButton="0" quotePrefix="0" xfId="0">
      <alignment horizontal="center" vertical="center"/>
    </xf>
    <xf numFmtId="0" fontId="17" fillId="5" borderId="2" applyAlignment="1" pivotButton="0" quotePrefix="0" xfId="0">
      <alignment horizontal="left" vertical="center" wrapText="1"/>
    </xf>
    <xf numFmtId="0" fontId="4" fillId="0" borderId="2" pivotButton="0" quotePrefix="0" xfId="0"/>
    <xf numFmtId="1" fontId="4" fillId="0" borderId="2" applyAlignment="1" pivotButton="0" quotePrefix="0" xfId="0">
      <alignment horizontal="center"/>
    </xf>
    <xf numFmtId="165" fontId="4" fillId="0" borderId="2" applyAlignment="1" pivotButton="0" quotePrefix="0" xfId="0">
      <alignment horizontal="center"/>
    </xf>
    <xf numFmtId="0" fontId="13" fillId="0" borderId="2" pivotButton="0" quotePrefix="0" xfId="0"/>
    <xf numFmtId="0" fontId="1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8" fillId="0" borderId="0" applyAlignment="1" pivotButton="0" quotePrefix="0" xfId="0">
      <alignment vertical="top" wrapText="1"/>
    </xf>
    <xf numFmtId="0" fontId="1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5" fillId="3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1" fontId="10" fillId="0" borderId="0" pivotButton="0" quotePrefix="0" xfId="0"/>
    <xf numFmtId="165" fontId="10" fillId="0" borderId="0" pivotButton="0" quotePrefix="0" xfId="0"/>
    <xf numFmtId="0" fontId="11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 wrapText="1"/>
    </xf>
    <xf numFmtId="9" fontId="11" fillId="0" borderId="2" applyAlignment="1" pivotButton="0" quotePrefix="0" xfId="0">
      <alignment horizontal="center" vertical="center"/>
    </xf>
    <xf numFmtId="0" fontId="13" fillId="0" borderId="2" applyAlignment="1" pivotButton="0" quotePrefix="0" xfId="0">
      <alignment vertical="top" wrapText="1"/>
    </xf>
    <xf numFmtId="164" fontId="14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12" fillId="4" borderId="2" applyAlignment="1" pivotButton="0" quotePrefix="0" xfId="0">
      <alignment vertical="center" wrapText="1"/>
    </xf>
    <xf numFmtId="0" fontId="13" fillId="4" borderId="2" applyAlignment="1" pivotButton="0" quotePrefix="0" xfId="0">
      <alignment vertical="top" wrapText="1"/>
    </xf>
    <xf numFmtId="164" fontId="14" fillId="4" borderId="2" applyAlignment="1" pivotButton="0" quotePrefix="0" xfId="0">
      <alignment horizontal="center" vertical="center"/>
    </xf>
    <xf numFmtId="9" fontId="11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30" customWidth="1" min="3" max="3"/>
    <col width="8" customWidth="1" min="4" max="4"/>
    <col width="10" customWidth="1" min="5" max="5"/>
    <col width="10" customWidth="1" min="6" max="6"/>
    <col width="62" customWidth="1" min="7" max="7"/>
  </cols>
  <sheetData>
    <row r="1">
      <c r="A1" s="1" t="inlineStr">
        <is>
          <t>BLOCO DE FORÇA E POTÊNCIA · SEMANA DO JOGO</t>
        </is>
      </c>
    </row>
    <row r="2">
      <c r="A2" s="2" t="inlineStr">
        <is>
          <t>ELASE Voleibol · masculino adulto · 12 a 16 de outubro de 2026</t>
        </is>
      </c>
    </row>
    <row r="4" ht="22" customHeight="1">
      <c r="A4" s="3" t="inlineStr">
        <is>
          <t>Dois dias de muita força e dois de muita potência, nesta ordem, porque é a ordem que o jogo de sexta permite: a força pesada fica longe do jogo, onde há tempo para a fadiga sair, e a potência fica perto, onde ela ajuda em vez de atrapalhar.</t>
        </is>
      </c>
    </row>
    <row r="5" ht="22" customHeight="1"/>
    <row r="7">
      <c r="A7" s="4" t="inlineStr">
        <is>
          <t>Dia</t>
        </is>
      </c>
      <c r="B7" s="4" t="inlineStr">
        <is>
          <t>Data</t>
        </is>
      </c>
      <c r="C7" s="4" t="inlineStr">
        <is>
          <t>Foco</t>
        </is>
      </c>
      <c r="D7" s="4" t="inlineStr">
        <is>
          <t>Séries</t>
        </is>
      </c>
      <c r="E7" s="4" t="inlineStr">
        <is>
          <t>Duração</t>
        </is>
      </c>
      <c r="F7" s="4" t="inlineStr">
        <is>
          <t>Contatos</t>
        </is>
      </c>
      <c r="G7" s="4" t="inlineStr">
        <is>
          <t>Por quê</t>
        </is>
      </c>
    </row>
    <row r="8" ht="30" customHeight="1">
      <c r="A8" s="5" t="inlineStr">
        <is>
          <t>Segunda</t>
        </is>
      </c>
      <c r="B8" s="6" t="inlineStr">
        <is>
          <t>12/10</t>
        </is>
      </c>
      <c r="C8" s="5" t="inlineStr">
        <is>
          <t>FORÇA 1 · perna</t>
        </is>
      </c>
      <c r="D8" s="7">
        <f>'Segunda'!A6</f>
        <v/>
      </c>
      <c r="E8" s="8">
        <f>'Segunda'!C6</f>
        <v/>
      </c>
      <c r="F8" s="7">
        <f>'Segunda'!E6</f>
        <v/>
      </c>
      <c r="G8" s="9" t="inlineStr">
        <is>
          <t>A mais pesada e a mais longe do jogo: 96 h para a fadiga sair da perna.</t>
        </is>
      </c>
    </row>
    <row r="9" ht="30" customHeight="1">
      <c r="A9" s="5" t="inlineStr">
        <is>
          <t>Terça</t>
        </is>
      </c>
      <c r="B9" s="6" t="inlineStr">
        <is>
          <t>13/10</t>
        </is>
      </c>
      <c r="C9" s="5" t="inlineStr">
        <is>
          <t>FORÇA 2 · tronco</t>
        </is>
      </c>
      <c r="D9" s="7">
        <f>'Terça'!A6</f>
        <v/>
      </c>
      <c r="E9" s="8">
        <f>'Terça'!C6</f>
        <v/>
      </c>
      <c r="F9" s="7">
        <f>'Terça'!E6</f>
        <v/>
      </c>
      <c r="G9" s="9" t="inlineStr">
        <is>
          <t>Carga alta de novo, em outro tecido. A perna de ontem descansa enquanto o tronco trabalha.</t>
        </is>
      </c>
    </row>
    <row r="10" ht="30" customHeight="1">
      <c r="A10" s="5" t="inlineStr">
        <is>
          <t>Quarta</t>
        </is>
      </c>
      <c r="B10" s="6" t="inlineStr">
        <is>
          <t>14/10</t>
        </is>
      </c>
      <c r="C10" s="5" t="inlineStr">
        <is>
          <t>POTÊNCIA 1 · completa</t>
        </is>
      </c>
      <c r="D10" s="7">
        <f>'Quarta'!A6</f>
        <v/>
      </c>
      <c r="E10" s="8">
        <f>'Quarta'!C6</f>
        <v/>
      </c>
      <c r="F10" s="7">
        <f>'Quarta'!E6</f>
        <v/>
      </c>
      <c r="G10" s="9" t="inlineStr">
        <is>
          <t>Percentual cai, velocidade manda. É aqui que entram os contatos pliométricos da semana.</t>
        </is>
      </c>
    </row>
    <row r="11" ht="30" customHeight="1">
      <c r="A11" s="5" t="inlineStr">
        <is>
          <t>Quinta</t>
        </is>
      </c>
      <c r="B11" s="6" t="inlineStr">
        <is>
          <t>15/10</t>
        </is>
      </c>
      <c r="C11" s="5" t="inlineStr">
        <is>
          <t>POTÊNCIA 2 · véspera</t>
        </is>
      </c>
      <c r="D11" s="7">
        <f>'Quinta'!A6</f>
        <v/>
      </c>
      <c r="E11" s="8">
        <f>'Quinta'!C6</f>
        <v/>
      </c>
      <c r="F11" s="7">
        <f>'Quinta'!E6</f>
        <v/>
      </c>
      <c r="G11" s="9" t="inlineStr">
        <is>
          <t>Intensidade alta, volume baixo, 24 min. Acordar o sistema nervoso — não treinar.</t>
        </is>
      </c>
    </row>
    <row r="12" ht="24" customHeight="1">
      <c r="A12" s="10" t="inlineStr">
        <is>
          <t>SEXTA</t>
        </is>
      </c>
      <c r="B12" s="10" t="inlineStr">
        <is>
          <t>16/10</t>
        </is>
      </c>
      <c r="C12" s="10" t="inlineStr">
        <is>
          <t>JOGO</t>
        </is>
      </c>
      <c r="D12" s="11" t="inlineStr">
        <is>
          <t>—</t>
        </is>
      </c>
      <c r="E12" s="11" t="inlineStr">
        <is>
          <t>—</t>
        </is>
      </c>
      <c r="F12" s="11" t="inlineStr">
        <is>
          <t>—</t>
        </is>
      </c>
      <c r="G12" s="12" t="inlineStr">
        <is>
          <t>Nada de sala. O bloco inteiro existe para chegar aqui.</t>
        </is>
      </c>
    </row>
    <row r="13">
      <c r="A13" s="13" t="inlineStr">
        <is>
          <t>TOTAL</t>
        </is>
      </c>
      <c r="B13" s="13" t="inlineStr"/>
      <c r="C13" s="13" t="inlineStr">
        <is>
          <t>4 sessões</t>
        </is>
      </c>
      <c r="D13" s="14">
        <f>SUM(D8:D11)</f>
        <v/>
      </c>
      <c r="E13" s="15">
        <f>SUM(E8:E11)</f>
        <v/>
      </c>
      <c r="F13" s="14">
        <f>SUM(F8:F11)</f>
        <v/>
      </c>
      <c r="G13" s="16" t="inlineStr">
        <is>
          <t>Mais o que a quadra cobrar nos mesmos quatro dias.</t>
        </is>
      </c>
    </row>
    <row r="15">
      <c r="A15" s="17" t="inlineStr">
        <is>
          <t>O que decide este bloco</t>
        </is>
      </c>
    </row>
    <row r="16" ht="34" customHeight="1">
      <c r="A16" s="18" t="inlineStr">
        <is>
          <t>A ordem não é preferência, é prazo. Força a 85% deixa fadiga residual por 48 a 72 horas; potência em volume baixo quase não deixa, e ainda potencia. Por isso a força vai para segunda e terça, e a potência para quarta e quinta.</t>
        </is>
      </c>
    </row>
    <row r="17" ht="34" customHeight="1">
      <c r="A17" s="18" t="inlineStr">
        <is>
          <t>As duas sessões de força não repetem o tecido: segunda é perna, terça é tronco. Duas sessões pesadas seguidas no mesmo grupo não seriam duas sessões — seria uma boa e uma arrastada.</t>
        </is>
      </c>
    </row>
    <row r="18">
      <c r="A18" s="18" t="inlineStr"/>
    </row>
    <row r="19">
      <c r="A19" s="17" t="inlineStr">
        <is>
          <t>A quinta é a exceção que você precisa conhecer</t>
        </is>
      </c>
    </row>
    <row r="20" ht="34" customHeight="1">
      <c r="A20" s="18" t="inlineStr">
        <is>
          <t>É dia de potência DE VERDADE em intensidade — velocidade máxima, barra leve, salto alto — e volume deliberadamente baixo: 14 séries, 24 minutos, 9 contatos. Véspera de jogo com volume de potência alto chega na sexta com a perna pesada, e aí o bloco inteiro trabalhou contra o jogo.</t>
        </is>
      </c>
    </row>
    <row r="21" ht="34" customHeight="1">
      <c r="A21" s="19" t="inlineStr">
        <is>
          <t>Nenhuma série até a falha, nenhuma excêntrica lenta, nenhuma carga nova na quinta. Se sobrar dúvida entre fazer e não fazer um exercício, não faça.</t>
        </is>
      </c>
    </row>
    <row r="22">
      <c r="A22" s="18" t="inlineStr"/>
    </row>
    <row r="23">
      <c r="A23" s="17" t="inlineStr">
        <is>
          <t>O que eu não sei daqui</t>
        </is>
      </c>
    </row>
    <row r="24" ht="34" customHeight="1">
      <c r="A24" s="18" t="inlineStr">
        <is>
          <t>Se há treino de quadra nos mesmos quatro dias — e quase certamente há. Se houver, segunda e terça a sala vem DEPOIS da quadra, ou com algumas horas de intervalo; e se a quarta tiver treino tático pesado, corte os sprints.</t>
        </is>
      </c>
    </row>
    <row r="25" ht="34" customHeight="1">
      <c r="A25" s="18" t="inlineStr">
        <is>
          <t>Os contatos pliométricos contados aqui são só os de pliometria pura (drop jump e salto no caixote), que é como o app da comissão conta. As aterrissagens do jump squat e tudo o que a quadra cobra ficam de fora da conta — some-os por cima antes de decidir que 39 é pouco.</t>
        </is>
      </c>
    </row>
    <row r="27">
      <c r="A27" s="20" t="inlineStr">
        <is>
          <t>Como a planilha funciona</t>
        </is>
      </c>
    </row>
    <row r="28">
      <c r="A28" s="21" t="inlineStr">
        <is>
          <t>Abra a aba 1RM, ponha os nomes do elenco e o 1RM de cada um. As quatro abas de sessão calculam o quilo sozinhas, arredondado de 2,5 em 2,5 kg.</t>
        </is>
      </c>
    </row>
    <row r="29">
      <c r="A29" s="21" t="inlineStr">
        <is>
          <t>Célula amarela é para preencher. Todo o resto é fórmula — mexer nela quebra a conta.</t>
        </is>
      </c>
    </row>
    <row r="30">
      <c r="A30" s="21" t="inlineStr">
        <is>
          <t>1RM em branco deixa a carga em branco, de propósito: é melhor ver o vazio e perguntar do que receber um número que ninguém mediu.</t>
        </is>
      </c>
    </row>
  </sheetData>
  <mergeCells count="10">
    <mergeCell ref="A17:G17"/>
    <mergeCell ref="A21:G21"/>
    <mergeCell ref="A20:G20"/>
    <mergeCell ref="A4:G5"/>
    <mergeCell ref="A16:G16"/>
    <mergeCell ref="A24:G24"/>
    <mergeCell ref="A29:G29"/>
    <mergeCell ref="A30:G30"/>
    <mergeCell ref="A25:G25"/>
    <mergeCell ref="A28:G28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>
      <c r="A1" s="22" t="inlineStr">
        <is>
          <t>1RM DO ELENCO</t>
        </is>
      </c>
    </row>
    <row r="2">
      <c r="A2" s="21" t="inlineStr">
        <is>
          <t>A única coisa que você digita nesta planilha. Cada percentual das quatro sessões vira quilo a partir daqui, arredondado de 2,5 em 2,5 kg.</t>
        </is>
      </c>
    </row>
    <row r="3">
      <c r="A3" s="4" t="inlineStr">
        <is>
          <t>Exercício de referência</t>
        </is>
      </c>
      <c r="B3" s="4" t="inlineStr">
        <is>
          <t>EXEMPLO (apague)</t>
        </is>
      </c>
      <c r="C3" s="4" t="inlineStr">
        <is>
          <t>Atleta 1</t>
        </is>
      </c>
      <c r="D3" s="4" t="inlineStr">
        <is>
          <t>Atleta 2</t>
        </is>
      </c>
      <c r="E3" s="4" t="inlineStr">
        <is>
          <t>Atleta 3</t>
        </is>
      </c>
      <c r="F3" s="4" t="inlineStr">
        <is>
          <t>Atleta 4</t>
        </is>
      </c>
      <c r="G3" s="4" t="inlineStr">
        <is>
          <t>Atleta 5</t>
        </is>
      </c>
      <c r="H3" s="4" t="inlineStr">
        <is>
          <t>Atleta 6</t>
        </is>
      </c>
      <c r="I3" s="4" t="inlineStr">
        <is>
          <t>Atleta 7</t>
        </is>
      </c>
      <c r="J3" s="4" t="inlineStr">
        <is>
          <t>Atleta 8</t>
        </is>
      </c>
      <c r="K3" s="4" t="inlineStr">
        <is>
          <t>Atleta 9</t>
        </is>
      </c>
      <c r="L3" s="4" t="inlineStr">
        <is>
          <t>Atleta 10</t>
        </is>
      </c>
      <c r="M3" s="4" t="inlineStr">
        <is>
          <t>Atleta 11</t>
        </is>
      </c>
      <c r="N3" s="4" t="inlineStr">
        <is>
          <t>Atleta 12</t>
        </is>
      </c>
      <c r="O3" s="4" t="inlineStr">
        <is>
          <t>Atleta 13</t>
        </is>
      </c>
      <c r="P3" s="4" t="inlineStr">
        <is>
          <t>Atleta 14</t>
        </is>
      </c>
    </row>
    <row r="4">
      <c r="A4" s="5" t="inlineStr">
        <is>
          <t>Agachamento</t>
        </is>
      </c>
      <c r="B4" s="23" t="n">
        <v>150</v>
      </c>
      <c r="C4" s="23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</row>
    <row r="5">
      <c r="A5" s="5" t="inlineStr">
        <is>
          <t>Agachamento frontal</t>
        </is>
      </c>
      <c r="B5" s="23" t="n">
        <v>125</v>
      </c>
      <c r="C5" s="23" t="n"/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</row>
    <row r="6">
      <c r="A6" s="5" t="inlineStr">
        <is>
          <t>Supino</t>
        </is>
      </c>
      <c r="B6" s="23" t="n">
        <v>110</v>
      </c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</row>
    <row r="7">
      <c r="A7" s="5" t="inlineStr">
        <is>
          <t>Stiff com barra</t>
        </is>
      </c>
      <c r="B7" s="23" t="n">
        <v>120</v>
      </c>
      <c r="C7" s="23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</row>
    <row r="8">
      <c r="A8" s="5" t="inlineStr">
        <is>
          <t>Remada serrote</t>
        </is>
      </c>
      <c r="B8" s="23" t="n">
        <v>80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</row>
    <row r="9">
      <c r="A9" s="5" t="inlineStr">
        <is>
          <t>Arranco</t>
        </is>
      </c>
      <c r="B9" s="23" t="n">
        <v>70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</row>
    <row r="10">
      <c r="A10" s="5" t="inlineStr">
        <is>
          <t>Clean</t>
        </is>
      </c>
      <c r="B10" s="23" t="n">
        <v>95</v>
      </c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</row>
    <row r="11">
      <c r="A11" s="5" t="inlineStr">
        <is>
          <t>Clean pull</t>
        </is>
      </c>
      <c r="B11" s="23" t="n">
        <v>110</v>
      </c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</row>
    <row r="12">
      <c r="A12" s="5" t="inlineStr">
        <is>
          <t>Push press</t>
        </is>
      </c>
      <c r="B12" s="23" t="n">
        <v>75</v>
      </c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</row>
    <row r="14">
      <c r="A14" s="24" t="inlineStr">
        <is>
          <t>Como usar</t>
        </is>
      </c>
    </row>
    <row r="15">
      <c r="A15" s="21" t="inlineStr">
        <is>
          <t>1.  Troque "Atleta 1", "Atleta 2"… pelos nomes do elenco, na linha 3.</t>
        </is>
      </c>
    </row>
    <row r="16">
      <c r="A16" s="21" t="inlineStr">
        <is>
          <t>2.  Digite o 1RM de cada um nas células amarelas. Só o que foi testado.</t>
        </is>
      </c>
    </row>
    <row r="17">
      <c r="A17" s="21" t="inlineStr">
        <is>
          <t>3.  Deixe EM BRANCO o que não foi medido — a sessão mostra em branco também,</t>
        </is>
      </c>
    </row>
    <row r="18">
      <c r="A18" s="21" t="inlineStr">
        <is>
          <t xml:space="preserve">     e campo vazio é melhor que número chutado: é dele que sai a carga do bloco inteiro.</t>
        </is>
      </c>
    </row>
    <row r="19">
      <c r="A19" s="21" t="inlineStr">
        <is>
          <t>4.  A coluna EXEMPLO existe só para você ver o formato funcionando. Apague-a.</t>
        </is>
      </c>
    </row>
    <row r="20">
      <c r="A20" s="21" t="inlineStr"/>
    </row>
    <row r="21">
      <c r="A21" s="21" t="inlineStr">
        <is>
          <t>Estes nove exercícios são os mesmos do app da comissão, com a mesma grafia. Mudar um nome aqui faz a carga sumir das sessões.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19"/>
  <sheetViews>
    <sheetView showGridLines="0" workbookViewId="0">
      <pane xSplit="10" ySplit="7" topLeftCell="K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1" customWidth="1" min="3" max="3"/>
    <col width="7" customWidth="1" min="4" max="4"/>
    <col width="6" customWidth="1" min="5" max="5"/>
    <col width="9" customWidth="1" min="6" max="6"/>
    <col width="11" customWidth="1" min="7" max="7"/>
    <col width="17" customWidth="1" min="8" max="8"/>
    <col width="7" customWidth="1" min="9" max="9"/>
    <col width="4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25" t="inlineStr">
        <is>
          <t>ELASE VOLEIBOL · MASCULINO ADULTO · SEMANA DO JOGO</t>
        </is>
      </c>
    </row>
    <row r="2">
      <c r="A2" s="22" t="inlineStr">
        <is>
          <t>SEGUNDA 12/10  ·  FORÇA 1 · dominante de perna</t>
        </is>
      </c>
    </row>
    <row r="3">
      <c r="A3" s="2" t="inlineStr">
        <is>
          <t>A sessão mais pesada da semana, e a mais longe do jogo: 96 horas para a fadiga sair das pernas.</t>
        </is>
      </c>
    </row>
    <row r="5">
      <c r="A5" s="26" t="inlineStr">
        <is>
          <t>Séries</t>
        </is>
      </c>
      <c r="C5" s="26" t="inlineStr">
        <is>
          <t>Duração estimada</t>
        </is>
      </c>
      <c r="E5" s="26" t="inlineStr">
        <is>
          <t>Contatos pliométricos</t>
        </is>
      </c>
    </row>
    <row r="6">
      <c r="A6" s="27">
        <f>SUM(D8:D15)</f>
        <v/>
      </c>
      <c r="C6" s="28">
        <f>ROUND(SUMPRODUCT($D$8:$D$15,($F$8:$F$15+$E$8:$E$15*4))/60,0)</f>
        <v/>
      </c>
      <c r="E6" s="27">
        <f>SUMPRODUCT(--($C$8:$C$15="Pliometria"),$D$8:$D$15,$E$8:$E$15)</f>
        <v/>
      </c>
    </row>
    <row r="7">
      <c r="A7" s="4" t="inlineStr">
        <is>
          <t>#</t>
        </is>
      </c>
      <c r="B7" s="4" t="inlineStr">
        <is>
          <t>Exercício</t>
        </is>
      </c>
      <c r="C7" s="4" t="inlineStr">
        <is>
          <t>Padrão</t>
        </is>
      </c>
      <c r="D7" s="4" t="inlineStr">
        <is>
          <t>Séries</t>
        </is>
      </c>
      <c r="E7" s="4" t="inlineStr">
        <is>
          <t>Reps</t>
        </is>
      </c>
      <c r="F7" s="4" t="inlineStr">
        <is>
          <t>Pausa (s)</t>
        </is>
      </c>
      <c r="G7" s="4" t="inlineStr">
        <is>
          <t>Carga</t>
        </is>
      </c>
      <c r="H7" s="4" t="inlineStr">
        <is>
          <t>Ref. de 1RM</t>
        </is>
      </c>
      <c r="I7" s="4" t="inlineStr">
        <is>
          <t>%</t>
        </is>
      </c>
      <c r="J7" s="4" t="inlineStr">
        <is>
          <t>Observação</t>
        </is>
      </c>
      <c r="K7" s="4">
        <f>IF('1RM'!B$3="","",'1RM'!B$3)</f>
        <v/>
      </c>
      <c r="L7" s="4">
        <f>IF('1RM'!C$3="","",'1RM'!C$3)</f>
        <v/>
      </c>
      <c r="M7" s="4">
        <f>IF('1RM'!D$3="","",'1RM'!D$3)</f>
        <v/>
      </c>
      <c r="N7" s="4">
        <f>IF('1RM'!E$3="","",'1RM'!E$3)</f>
        <v/>
      </c>
      <c r="O7" s="4">
        <f>IF('1RM'!F$3="","",'1RM'!F$3)</f>
        <v/>
      </c>
      <c r="P7" s="4">
        <f>IF('1RM'!G$3="","",'1RM'!G$3)</f>
        <v/>
      </c>
      <c r="Q7" s="4">
        <f>IF('1RM'!H$3="","",'1RM'!H$3)</f>
        <v/>
      </c>
      <c r="R7" s="4">
        <f>IF('1RM'!I$3="","",'1RM'!I$3)</f>
        <v/>
      </c>
      <c r="S7" s="4">
        <f>IF('1RM'!J$3="","",'1RM'!J$3)</f>
        <v/>
      </c>
      <c r="T7" s="4">
        <f>IF('1RM'!K$3="","",'1RM'!K$3)</f>
        <v/>
      </c>
      <c r="U7" s="4">
        <f>IF('1RM'!L$3="","",'1RM'!L$3)</f>
        <v/>
      </c>
      <c r="V7" s="4">
        <f>IF('1RM'!M$3="","",'1RM'!M$3)</f>
        <v/>
      </c>
      <c r="W7" s="4">
        <f>IF('1RM'!N$3="","",'1RM'!N$3)</f>
        <v/>
      </c>
      <c r="X7" s="4">
        <f>IF('1RM'!O$3="","",'1RM'!O$3)</f>
        <v/>
      </c>
      <c r="Y7" s="4">
        <f>IF('1RM'!P$3="","",'1RM'!P$3)</f>
        <v/>
      </c>
    </row>
    <row r="8" ht="34" customHeight="1">
      <c r="A8" s="29" t="n">
        <v>1</v>
      </c>
      <c r="B8" s="30" t="inlineStr">
        <is>
          <t>Agachamento</t>
        </is>
      </c>
      <c r="C8" s="29" t="inlineStr">
        <is>
          <t>Perna</t>
        </is>
      </c>
      <c r="D8" s="29" t="n">
        <v>5</v>
      </c>
      <c r="E8" s="29" t="n">
        <v>3</v>
      </c>
      <c r="F8" s="29" t="n">
        <v>180</v>
      </c>
      <c r="G8" s="29" t="inlineStr">
        <is>
          <t>85%</t>
        </is>
      </c>
      <c r="H8" s="29" t="inlineStr">
        <is>
          <t>Agachamento</t>
        </is>
      </c>
      <c r="I8" s="31" t="n">
        <v>0.85</v>
      </c>
      <c r="J8" s="32" t="inlineStr">
        <is>
          <t>Âncora do bloco. Se a terceira repetição sair lenta, a série acabou.</t>
        </is>
      </c>
      <c r="K8" s="33">
        <f>IF($I8="","",IFERROR(IF(INDEX('1RM'!B$4:B$12,MATCH($H8,'1RM'!$A$4:$A$12,0))="","",ROUND(INDEX('1RM'!B$4:B$12,MATCH($H8,'1RM'!$A$4:$A$12,0))*$I8/2.5,0)*2.5),""))</f>
        <v/>
      </c>
      <c r="L8" s="33">
        <f>IF($I8="","",IFERROR(IF(INDEX('1RM'!C$4:C$12,MATCH($H8,'1RM'!$A$4:$A$12,0))="","",ROUND(INDEX('1RM'!C$4:C$12,MATCH($H8,'1RM'!$A$4:$A$12,0))*$I8/2.5,0)*2.5),""))</f>
        <v/>
      </c>
      <c r="M8" s="33">
        <f>IF($I8="","",IFERROR(IF(INDEX('1RM'!D$4:D$12,MATCH($H8,'1RM'!$A$4:$A$12,0))="","",ROUND(INDEX('1RM'!D$4:D$12,MATCH($H8,'1RM'!$A$4:$A$12,0))*$I8/2.5,0)*2.5),""))</f>
        <v/>
      </c>
      <c r="N8" s="33">
        <f>IF($I8="","",IFERROR(IF(INDEX('1RM'!E$4:E$12,MATCH($H8,'1RM'!$A$4:$A$12,0))="","",ROUND(INDEX('1RM'!E$4:E$12,MATCH($H8,'1RM'!$A$4:$A$12,0))*$I8/2.5,0)*2.5),""))</f>
        <v/>
      </c>
      <c r="O8" s="33">
        <f>IF($I8="","",IFERROR(IF(INDEX('1RM'!F$4:F$12,MATCH($H8,'1RM'!$A$4:$A$12,0))="","",ROUND(INDEX('1RM'!F$4:F$12,MATCH($H8,'1RM'!$A$4:$A$12,0))*$I8/2.5,0)*2.5),""))</f>
        <v/>
      </c>
      <c r="P8" s="33">
        <f>IF($I8="","",IFERROR(IF(INDEX('1RM'!G$4:G$12,MATCH($H8,'1RM'!$A$4:$A$12,0))="","",ROUND(INDEX('1RM'!G$4:G$12,MATCH($H8,'1RM'!$A$4:$A$12,0))*$I8/2.5,0)*2.5),""))</f>
        <v/>
      </c>
      <c r="Q8" s="33">
        <f>IF($I8="","",IFERROR(IF(INDEX('1RM'!H$4:H$12,MATCH($H8,'1RM'!$A$4:$A$12,0))="","",ROUND(INDEX('1RM'!H$4:H$12,MATCH($H8,'1RM'!$A$4:$A$12,0))*$I8/2.5,0)*2.5),""))</f>
        <v/>
      </c>
      <c r="R8" s="33">
        <f>IF($I8="","",IFERROR(IF(INDEX('1RM'!I$4:I$12,MATCH($H8,'1RM'!$A$4:$A$12,0))="","",ROUND(INDEX('1RM'!I$4:I$12,MATCH($H8,'1RM'!$A$4:$A$12,0))*$I8/2.5,0)*2.5),""))</f>
        <v/>
      </c>
      <c r="S8" s="33">
        <f>IF($I8="","",IFERROR(IF(INDEX('1RM'!J$4:J$12,MATCH($H8,'1RM'!$A$4:$A$12,0))="","",ROUND(INDEX('1RM'!J$4:J$12,MATCH($H8,'1RM'!$A$4:$A$12,0))*$I8/2.5,0)*2.5),""))</f>
        <v/>
      </c>
      <c r="T8" s="33">
        <f>IF($I8="","",IFERROR(IF(INDEX('1RM'!K$4:K$12,MATCH($H8,'1RM'!$A$4:$A$12,0))="","",ROUND(INDEX('1RM'!K$4:K$12,MATCH($H8,'1RM'!$A$4:$A$12,0))*$I8/2.5,0)*2.5),""))</f>
        <v/>
      </c>
      <c r="U8" s="33">
        <f>IF($I8="","",IFERROR(IF(INDEX('1RM'!L$4:L$12,MATCH($H8,'1RM'!$A$4:$A$12,0))="","",ROUND(INDEX('1RM'!L$4:L$12,MATCH($H8,'1RM'!$A$4:$A$12,0))*$I8/2.5,0)*2.5),""))</f>
        <v/>
      </c>
      <c r="V8" s="33">
        <f>IF($I8="","",IFERROR(IF(INDEX('1RM'!M$4:M$12,MATCH($H8,'1RM'!$A$4:$A$12,0))="","",ROUND(INDEX('1RM'!M$4:M$12,MATCH($H8,'1RM'!$A$4:$A$12,0))*$I8/2.5,0)*2.5),""))</f>
        <v/>
      </c>
      <c r="W8" s="33">
        <f>IF($I8="","",IFERROR(IF(INDEX('1RM'!N$4:N$12,MATCH($H8,'1RM'!$A$4:$A$12,0))="","",ROUND(INDEX('1RM'!N$4:N$12,MATCH($H8,'1RM'!$A$4:$A$12,0))*$I8/2.5,0)*2.5),""))</f>
        <v/>
      </c>
      <c r="X8" s="33">
        <f>IF($I8="","",IFERROR(IF(INDEX('1RM'!O$4:O$12,MATCH($H8,'1RM'!$A$4:$A$12,0))="","",ROUND(INDEX('1RM'!O$4:O$12,MATCH($H8,'1RM'!$A$4:$A$12,0))*$I8/2.5,0)*2.5),""))</f>
        <v/>
      </c>
      <c r="Y8" s="33">
        <f>IF($I8="","",IFERROR(IF(INDEX('1RM'!P$4:P$12,MATCH($H8,'1RM'!$A$4:$A$12,0))="","",ROUND(INDEX('1RM'!P$4:P$12,MATCH($H8,'1RM'!$A$4:$A$12,0))*$I8/2.5,0)*2.5),""))</f>
        <v/>
      </c>
    </row>
    <row r="9" ht="46" customHeight="1">
      <c r="A9" s="34" t="n">
        <v>2</v>
      </c>
      <c r="B9" s="35" t="inlineStr">
        <is>
          <t>Levantamento terra</t>
        </is>
      </c>
      <c r="C9" s="34" t="inlineStr">
        <is>
          <t>Perna</t>
        </is>
      </c>
      <c r="D9" s="34" t="n">
        <v>4</v>
      </c>
      <c r="E9" s="34" t="n">
        <v>3</v>
      </c>
      <c r="F9" s="34" t="n">
        <v>180</v>
      </c>
      <c r="G9" s="34" t="inlineStr">
        <is>
          <t>RIR 1</t>
        </is>
      </c>
      <c r="H9" s="34" t="inlineStr">
        <is>
          <t>—</t>
        </is>
      </c>
      <c r="I9" s="34" t="inlineStr"/>
      <c r="J9" s="36" t="inlineStr">
        <is>
          <t>Sem referência de 1RM no sistema: vai por repetições na reserva. Uma de sobra, nunca zero.</t>
        </is>
      </c>
      <c r="K9" s="37">
        <f>IF($I9="","",IFERROR(IF(INDEX('1RM'!B$4:B$12,MATCH($H9,'1RM'!$A$4:$A$12,0))="","",ROUND(INDEX('1RM'!B$4:B$12,MATCH($H9,'1RM'!$A$4:$A$12,0))*$I9/2.5,0)*2.5),""))</f>
        <v/>
      </c>
      <c r="L9" s="37">
        <f>IF($I9="","",IFERROR(IF(INDEX('1RM'!C$4:C$12,MATCH($H9,'1RM'!$A$4:$A$12,0))="","",ROUND(INDEX('1RM'!C$4:C$12,MATCH($H9,'1RM'!$A$4:$A$12,0))*$I9/2.5,0)*2.5),""))</f>
        <v/>
      </c>
      <c r="M9" s="37">
        <f>IF($I9="","",IFERROR(IF(INDEX('1RM'!D$4:D$12,MATCH($H9,'1RM'!$A$4:$A$12,0))="","",ROUND(INDEX('1RM'!D$4:D$12,MATCH($H9,'1RM'!$A$4:$A$12,0))*$I9/2.5,0)*2.5),""))</f>
        <v/>
      </c>
      <c r="N9" s="37">
        <f>IF($I9="","",IFERROR(IF(INDEX('1RM'!E$4:E$12,MATCH($H9,'1RM'!$A$4:$A$12,0))="","",ROUND(INDEX('1RM'!E$4:E$12,MATCH($H9,'1RM'!$A$4:$A$12,0))*$I9/2.5,0)*2.5),""))</f>
        <v/>
      </c>
      <c r="O9" s="37">
        <f>IF($I9="","",IFERROR(IF(INDEX('1RM'!F$4:F$12,MATCH($H9,'1RM'!$A$4:$A$12,0))="","",ROUND(INDEX('1RM'!F$4:F$12,MATCH($H9,'1RM'!$A$4:$A$12,0))*$I9/2.5,0)*2.5),""))</f>
        <v/>
      </c>
      <c r="P9" s="37">
        <f>IF($I9="","",IFERROR(IF(INDEX('1RM'!G$4:G$12,MATCH($H9,'1RM'!$A$4:$A$12,0))="","",ROUND(INDEX('1RM'!G$4:G$12,MATCH($H9,'1RM'!$A$4:$A$12,0))*$I9/2.5,0)*2.5),""))</f>
        <v/>
      </c>
      <c r="Q9" s="37">
        <f>IF($I9="","",IFERROR(IF(INDEX('1RM'!H$4:H$12,MATCH($H9,'1RM'!$A$4:$A$12,0))="","",ROUND(INDEX('1RM'!H$4:H$12,MATCH($H9,'1RM'!$A$4:$A$12,0))*$I9/2.5,0)*2.5),""))</f>
        <v/>
      </c>
      <c r="R9" s="37">
        <f>IF($I9="","",IFERROR(IF(INDEX('1RM'!I$4:I$12,MATCH($H9,'1RM'!$A$4:$A$12,0))="","",ROUND(INDEX('1RM'!I$4:I$12,MATCH($H9,'1RM'!$A$4:$A$12,0))*$I9/2.5,0)*2.5),""))</f>
        <v/>
      </c>
      <c r="S9" s="37">
        <f>IF($I9="","",IFERROR(IF(INDEX('1RM'!J$4:J$12,MATCH($H9,'1RM'!$A$4:$A$12,0))="","",ROUND(INDEX('1RM'!J$4:J$12,MATCH($H9,'1RM'!$A$4:$A$12,0))*$I9/2.5,0)*2.5),""))</f>
        <v/>
      </c>
      <c r="T9" s="37">
        <f>IF($I9="","",IFERROR(IF(INDEX('1RM'!K$4:K$12,MATCH($H9,'1RM'!$A$4:$A$12,0))="","",ROUND(INDEX('1RM'!K$4:K$12,MATCH($H9,'1RM'!$A$4:$A$12,0))*$I9/2.5,0)*2.5),""))</f>
        <v/>
      </c>
      <c r="U9" s="37">
        <f>IF($I9="","",IFERROR(IF(INDEX('1RM'!L$4:L$12,MATCH($H9,'1RM'!$A$4:$A$12,0))="","",ROUND(INDEX('1RM'!L$4:L$12,MATCH($H9,'1RM'!$A$4:$A$12,0))*$I9/2.5,0)*2.5),""))</f>
        <v/>
      </c>
      <c r="V9" s="37">
        <f>IF($I9="","",IFERROR(IF(INDEX('1RM'!M$4:M$12,MATCH($H9,'1RM'!$A$4:$A$12,0))="","",ROUND(INDEX('1RM'!M$4:M$12,MATCH($H9,'1RM'!$A$4:$A$12,0))*$I9/2.5,0)*2.5),""))</f>
        <v/>
      </c>
      <c r="W9" s="37">
        <f>IF($I9="","",IFERROR(IF(INDEX('1RM'!N$4:N$12,MATCH($H9,'1RM'!$A$4:$A$12,0))="","",ROUND(INDEX('1RM'!N$4:N$12,MATCH($H9,'1RM'!$A$4:$A$12,0))*$I9/2.5,0)*2.5),""))</f>
        <v/>
      </c>
      <c r="X9" s="37">
        <f>IF($I9="","",IFERROR(IF(INDEX('1RM'!O$4:O$12,MATCH($H9,'1RM'!$A$4:$A$12,0))="","",ROUND(INDEX('1RM'!O$4:O$12,MATCH($H9,'1RM'!$A$4:$A$12,0))*$I9/2.5,0)*2.5),""))</f>
        <v/>
      </c>
      <c r="Y9" s="37">
        <f>IF($I9="","",IFERROR(IF(INDEX('1RM'!P$4:P$12,MATCH($H9,'1RM'!$A$4:$A$12,0))="","",ROUND(INDEX('1RM'!P$4:P$12,MATCH($H9,'1RM'!$A$4:$A$12,0))*$I9/2.5,0)*2.5),""))</f>
        <v/>
      </c>
    </row>
    <row r="10" ht="34" customHeight="1">
      <c r="A10" s="29" t="n">
        <v>3</v>
      </c>
      <c r="B10" s="30" t="inlineStr">
        <is>
          <t>Avanço com barra, à frente e atrás</t>
        </is>
      </c>
      <c r="C10" s="29" t="inlineStr">
        <is>
          <t>Perna</t>
        </is>
      </c>
      <c r="D10" s="29" t="n">
        <v>3</v>
      </c>
      <c r="E10" s="29" t="n">
        <v>5</v>
      </c>
      <c r="F10" s="29" t="n">
        <v>150</v>
      </c>
      <c r="G10" s="29" t="inlineStr">
        <is>
          <t>RIR 2</t>
        </is>
      </c>
      <c r="H10" s="29" t="inlineStr">
        <is>
          <t>—</t>
        </is>
      </c>
      <c r="I10" s="29" t="inlineStr"/>
      <c r="J10" s="32" t="inlineStr">
        <is>
          <t>Cinco ciclos em CADA perna — um passo à frente e um atrás contam como um.</t>
        </is>
      </c>
      <c r="K10" s="33">
        <f>IF($I10="","",IFERROR(IF(INDEX('1RM'!B$4:B$12,MATCH($H10,'1RM'!$A$4:$A$12,0))="","",ROUND(INDEX('1RM'!B$4:B$12,MATCH($H10,'1RM'!$A$4:$A$12,0))*$I10/2.5,0)*2.5),""))</f>
        <v/>
      </c>
      <c r="L10" s="33">
        <f>IF($I10="","",IFERROR(IF(INDEX('1RM'!C$4:C$12,MATCH($H10,'1RM'!$A$4:$A$12,0))="","",ROUND(INDEX('1RM'!C$4:C$12,MATCH($H10,'1RM'!$A$4:$A$12,0))*$I10/2.5,0)*2.5),""))</f>
        <v/>
      </c>
      <c r="M10" s="33">
        <f>IF($I10="","",IFERROR(IF(INDEX('1RM'!D$4:D$12,MATCH($H10,'1RM'!$A$4:$A$12,0))="","",ROUND(INDEX('1RM'!D$4:D$12,MATCH($H10,'1RM'!$A$4:$A$12,0))*$I10/2.5,0)*2.5),""))</f>
        <v/>
      </c>
      <c r="N10" s="33">
        <f>IF($I10="","",IFERROR(IF(INDEX('1RM'!E$4:E$12,MATCH($H10,'1RM'!$A$4:$A$12,0))="","",ROUND(INDEX('1RM'!E$4:E$12,MATCH($H10,'1RM'!$A$4:$A$12,0))*$I10/2.5,0)*2.5),""))</f>
        <v/>
      </c>
      <c r="O10" s="33">
        <f>IF($I10="","",IFERROR(IF(INDEX('1RM'!F$4:F$12,MATCH($H10,'1RM'!$A$4:$A$12,0))="","",ROUND(INDEX('1RM'!F$4:F$12,MATCH($H10,'1RM'!$A$4:$A$12,0))*$I10/2.5,0)*2.5),""))</f>
        <v/>
      </c>
      <c r="P10" s="33">
        <f>IF($I10="","",IFERROR(IF(INDEX('1RM'!G$4:G$12,MATCH($H10,'1RM'!$A$4:$A$12,0))="","",ROUND(INDEX('1RM'!G$4:G$12,MATCH($H10,'1RM'!$A$4:$A$12,0))*$I10/2.5,0)*2.5),""))</f>
        <v/>
      </c>
      <c r="Q10" s="33">
        <f>IF($I10="","",IFERROR(IF(INDEX('1RM'!H$4:H$12,MATCH($H10,'1RM'!$A$4:$A$12,0))="","",ROUND(INDEX('1RM'!H$4:H$12,MATCH($H10,'1RM'!$A$4:$A$12,0))*$I10/2.5,0)*2.5),""))</f>
        <v/>
      </c>
      <c r="R10" s="33">
        <f>IF($I10="","",IFERROR(IF(INDEX('1RM'!I$4:I$12,MATCH($H10,'1RM'!$A$4:$A$12,0))="","",ROUND(INDEX('1RM'!I$4:I$12,MATCH($H10,'1RM'!$A$4:$A$12,0))*$I10/2.5,0)*2.5),""))</f>
        <v/>
      </c>
      <c r="S10" s="33">
        <f>IF($I10="","",IFERROR(IF(INDEX('1RM'!J$4:J$12,MATCH($H10,'1RM'!$A$4:$A$12,0))="","",ROUND(INDEX('1RM'!J$4:J$12,MATCH($H10,'1RM'!$A$4:$A$12,0))*$I10/2.5,0)*2.5),""))</f>
        <v/>
      </c>
      <c r="T10" s="33">
        <f>IF($I10="","",IFERROR(IF(INDEX('1RM'!K$4:K$12,MATCH($H10,'1RM'!$A$4:$A$12,0))="","",ROUND(INDEX('1RM'!K$4:K$12,MATCH($H10,'1RM'!$A$4:$A$12,0))*$I10/2.5,0)*2.5),""))</f>
        <v/>
      </c>
      <c r="U10" s="33">
        <f>IF($I10="","",IFERROR(IF(INDEX('1RM'!L$4:L$12,MATCH($H10,'1RM'!$A$4:$A$12,0))="","",ROUND(INDEX('1RM'!L$4:L$12,MATCH($H10,'1RM'!$A$4:$A$12,0))*$I10/2.5,0)*2.5),""))</f>
        <v/>
      </c>
      <c r="V10" s="33">
        <f>IF($I10="","",IFERROR(IF(INDEX('1RM'!M$4:M$12,MATCH($H10,'1RM'!$A$4:$A$12,0))="","",ROUND(INDEX('1RM'!M$4:M$12,MATCH($H10,'1RM'!$A$4:$A$12,0))*$I10/2.5,0)*2.5),""))</f>
        <v/>
      </c>
      <c r="W10" s="33">
        <f>IF($I10="","",IFERROR(IF(INDEX('1RM'!N$4:N$12,MATCH($H10,'1RM'!$A$4:$A$12,0))="","",ROUND(INDEX('1RM'!N$4:N$12,MATCH($H10,'1RM'!$A$4:$A$12,0))*$I10/2.5,0)*2.5),""))</f>
        <v/>
      </c>
      <c r="X10" s="33">
        <f>IF($I10="","",IFERROR(IF(INDEX('1RM'!O$4:O$12,MATCH($H10,'1RM'!$A$4:$A$12,0))="","",ROUND(INDEX('1RM'!O$4:O$12,MATCH($H10,'1RM'!$A$4:$A$12,0))*$I10/2.5,0)*2.5),""))</f>
        <v/>
      </c>
      <c r="Y10" s="33">
        <f>IF($I10="","",IFERROR(IF(INDEX('1RM'!P$4:P$12,MATCH($H10,'1RM'!$A$4:$A$12,0))="","",ROUND(INDEX('1RM'!P$4:P$12,MATCH($H10,'1RM'!$A$4:$A$12,0))*$I10/2.5,0)*2.5),""))</f>
        <v/>
      </c>
    </row>
    <row r="11" ht="46" customHeight="1">
      <c r="A11" s="34" t="n">
        <v>4</v>
      </c>
      <c r="B11" s="35" t="inlineStr">
        <is>
          <t>Stiff com barra</t>
        </is>
      </c>
      <c r="C11" s="34" t="inlineStr">
        <is>
          <t>Perna</t>
        </is>
      </c>
      <c r="D11" s="34" t="n">
        <v>4</v>
      </c>
      <c r="E11" s="34" t="n">
        <v>5</v>
      </c>
      <c r="F11" s="34" t="n">
        <v>120</v>
      </c>
      <c r="G11" s="34" t="inlineStr">
        <is>
          <t>72%</t>
        </is>
      </c>
      <c r="H11" s="34" t="inlineStr">
        <is>
          <t>Stiff com barra</t>
        </is>
      </c>
      <c r="I11" s="38" t="n">
        <v>0.72</v>
      </c>
      <c r="J11" s="36" t="inlineStr">
        <is>
          <t>Excêntrica de 3 s (3-0-1-0). A carga é menor de propósito: quem manda aqui é o tempo sob tensão.</t>
        </is>
      </c>
      <c r="K11" s="37">
        <f>IF($I11="","",IFERROR(IF(INDEX('1RM'!B$4:B$12,MATCH($H11,'1RM'!$A$4:$A$12,0))="","",ROUND(INDEX('1RM'!B$4:B$12,MATCH($H11,'1RM'!$A$4:$A$12,0))*$I11/2.5,0)*2.5),""))</f>
        <v/>
      </c>
      <c r="L11" s="37">
        <f>IF($I11="","",IFERROR(IF(INDEX('1RM'!C$4:C$12,MATCH($H11,'1RM'!$A$4:$A$12,0))="","",ROUND(INDEX('1RM'!C$4:C$12,MATCH($H11,'1RM'!$A$4:$A$12,0))*$I11/2.5,0)*2.5),""))</f>
        <v/>
      </c>
      <c r="M11" s="37">
        <f>IF($I11="","",IFERROR(IF(INDEX('1RM'!D$4:D$12,MATCH($H11,'1RM'!$A$4:$A$12,0))="","",ROUND(INDEX('1RM'!D$4:D$12,MATCH($H11,'1RM'!$A$4:$A$12,0))*$I11/2.5,0)*2.5),""))</f>
        <v/>
      </c>
      <c r="N11" s="37">
        <f>IF($I11="","",IFERROR(IF(INDEX('1RM'!E$4:E$12,MATCH($H11,'1RM'!$A$4:$A$12,0))="","",ROUND(INDEX('1RM'!E$4:E$12,MATCH($H11,'1RM'!$A$4:$A$12,0))*$I11/2.5,0)*2.5),""))</f>
        <v/>
      </c>
      <c r="O11" s="37">
        <f>IF($I11="","",IFERROR(IF(INDEX('1RM'!F$4:F$12,MATCH($H11,'1RM'!$A$4:$A$12,0))="","",ROUND(INDEX('1RM'!F$4:F$12,MATCH($H11,'1RM'!$A$4:$A$12,0))*$I11/2.5,0)*2.5),""))</f>
        <v/>
      </c>
      <c r="P11" s="37">
        <f>IF($I11="","",IFERROR(IF(INDEX('1RM'!G$4:G$12,MATCH($H11,'1RM'!$A$4:$A$12,0))="","",ROUND(INDEX('1RM'!G$4:G$12,MATCH($H11,'1RM'!$A$4:$A$12,0))*$I11/2.5,0)*2.5),""))</f>
        <v/>
      </c>
      <c r="Q11" s="37">
        <f>IF($I11="","",IFERROR(IF(INDEX('1RM'!H$4:H$12,MATCH($H11,'1RM'!$A$4:$A$12,0))="","",ROUND(INDEX('1RM'!H$4:H$12,MATCH($H11,'1RM'!$A$4:$A$12,0))*$I11/2.5,0)*2.5),""))</f>
        <v/>
      </c>
      <c r="R11" s="37">
        <f>IF($I11="","",IFERROR(IF(INDEX('1RM'!I$4:I$12,MATCH($H11,'1RM'!$A$4:$A$12,0))="","",ROUND(INDEX('1RM'!I$4:I$12,MATCH($H11,'1RM'!$A$4:$A$12,0))*$I11/2.5,0)*2.5),""))</f>
        <v/>
      </c>
      <c r="S11" s="37">
        <f>IF($I11="","",IFERROR(IF(INDEX('1RM'!J$4:J$12,MATCH($H11,'1RM'!$A$4:$A$12,0))="","",ROUND(INDEX('1RM'!J$4:J$12,MATCH($H11,'1RM'!$A$4:$A$12,0))*$I11/2.5,0)*2.5),""))</f>
        <v/>
      </c>
      <c r="T11" s="37">
        <f>IF($I11="","",IFERROR(IF(INDEX('1RM'!K$4:K$12,MATCH($H11,'1RM'!$A$4:$A$12,0))="","",ROUND(INDEX('1RM'!K$4:K$12,MATCH($H11,'1RM'!$A$4:$A$12,0))*$I11/2.5,0)*2.5),""))</f>
        <v/>
      </c>
      <c r="U11" s="37">
        <f>IF($I11="","",IFERROR(IF(INDEX('1RM'!L$4:L$12,MATCH($H11,'1RM'!$A$4:$A$12,0))="","",ROUND(INDEX('1RM'!L$4:L$12,MATCH($H11,'1RM'!$A$4:$A$12,0))*$I11/2.5,0)*2.5),""))</f>
        <v/>
      </c>
      <c r="V11" s="37">
        <f>IF($I11="","",IFERROR(IF(INDEX('1RM'!M$4:M$12,MATCH($H11,'1RM'!$A$4:$A$12,0))="","",ROUND(INDEX('1RM'!M$4:M$12,MATCH($H11,'1RM'!$A$4:$A$12,0))*$I11/2.5,0)*2.5),""))</f>
        <v/>
      </c>
      <c r="W11" s="37">
        <f>IF($I11="","",IFERROR(IF(INDEX('1RM'!N$4:N$12,MATCH($H11,'1RM'!$A$4:$A$12,0))="","",ROUND(INDEX('1RM'!N$4:N$12,MATCH($H11,'1RM'!$A$4:$A$12,0))*$I11/2.5,0)*2.5),""))</f>
        <v/>
      </c>
      <c r="X11" s="37">
        <f>IF($I11="","",IFERROR(IF(INDEX('1RM'!O$4:O$12,MATCH($H11,'1RM'!$A$4:$A$12,0))="","",ROUND(INDEX('1RM'!O$4:O$12,MATCH($H11,'1RM'!$A$4:$A$12,0))*$I11/2.5,0)*2.5),""))</f>
        <v/>
      </c>
      <c r="Y11" s="37">
        <f>IF($I11="","",IFERROR(IF(INDEX('1RM'!P$4:P$12,MATCH($H11,'1RM'!$A$4:$A$12,0))="","",ROUND(INDEX('1RM'!P$4:P$12,MATCH($H11,'1RM'!$A$4:$A$12,0))*$I11/2.5,0)*2.5),""))</f>
        <v/>
      </c>
    </row>
    <row r="12" ht="34" customHeight="1">
      <c r="A12" s="29" t="n">
        <v>5</v>
      </c>
      <c r="B12" s="30" t="inlineStr">
        <is>
          <t>Elevação pélvica unilateral</t>
        </is>
      </c>
      <c r="C12" s="29" t="inlineStr">
        <is>
          <t>Perna</t>
        </is>
      </c>
      <c r="D12" s="29" t="n">
        <v>3</v>
      </c>
      <c r="E12" s="29" t="n">
        <v>10</v>
      </c>
      <c r="F12" s="29" t="n">
        <v>90</v>
      </c>
      <c r="G12" s="29" t="inlineStr">
        <is>
          <t>RIR 2</t>
        </is>
      </c>
      <c r="H12" s="29" t="inlineStr">
        <is>
          <t>—</t>
        </is>
      </c>
      <c r="I12" s="29" t="inlineStr"/>
      <c r="J12" s="32" t="inlineStr">
        <is>
          <t>Dez em cada perna.</t>
        </is>
      </c>
      <c r="K12" s="33">
        <f>IF($I12="","",IFERROR(IF(INDEX('1RM'!B$4:B$12,MATCH($H12,'1RM'!$A$4:$A$12,0))="","",ROUND(INDEX('1RM'!B$4:B$12,MATCH($H12,'1RM'!$A$4:$A$12,0))*$I12/2.5,0)*2.5),""))</f>
        <v/>
      </c>
      <c r="L12" s="33">
        <f>IF($I12="","",IFERROR(IF(INDEX('1RM'!C$4:C$12,MATCH($H12,'1RM'!$A$4:$A$12,0))="","",ROUND(INDEX('1RM'!C$4:C$12,MATCH($H12,'1RM'!$A$4:$A$12,0))*$I12/2.5,0)*2.5),""))</f>
        <v/>
      </c>
      <c r="M12" s="33">
        <f>IF($I12="","",IFERROR(IF(INDEX('1RM'!D$4:D$12,MATCH($H12,'1RM'!$A$4:$A$12,0))="","",ROUND(INDEX('1RM'!D$4:D$12,MATCH($H12,'1RM'!$A$4:$A$12,0))*$I12/2.5,0)*2.5),""))</f>
        <v/>
      </c>
      <c r="N12" s="33">
        <f>IF($I12="","",IFERROR(IF(INDEX('1RM'!E$4:E$12,MATCH($H12,'1RM'!$A$4:$A$12,0))="","",ROUND(INDEX('1RM'!E$4:E$12,MATCH($H12,'1RM'!$A$4:$A$12,0))*$I12/2.5,0)*2.5),""))</f>
        <v/>
      </c>
      <c r="O12" s="33">
        <f>IF($I12="","",IFERROR(IF(INDEX('1RM'!F$4:F$12,MATCH($H12,'1RM'!$A$4:$A$12,0))="","",ROUND(INDEX('1RM'!F$4:F$12,MATCH($H12,'1RM'!$A$4:$A$12,0))*$I12/2.5,0)*2.5),""))</f>
        <v/>
      </c>
      <c r="P12" s="33">
        <f>IF($I12="","",IFERROR(IF(INDEX('1RM'!G$4:G$12,MATCH($H12,'1RM'!$A$4:$A$12,0))="","",ROUND(INDEX('1RM'!G$4:G$12,MATCH($H12,'1RM'!$A$4:$A$12,0))*$I12/2.5,0)*2.5),""))</f>
        <v/>
      </c>
      <c r="Q12" s="33">
        <f>IF($I12="","",IFERROR(IF(INDEX('1RM'!H$4:H$12,MATCH($H12,'1RM'!$A$4:$A$12,0))="","",ROUND(INDEX('1RM'!H$4:H$12,MATCH($H12,'1RM'!$A$4:$A$12,0))*$I12/2.5,0)*2.5),""))</f>
        <v/>
      </c>
      <c r="R12" s="33">
        <f>IF($I12="","",IFERROR(IF(INDEX('1RM'!I$4:I$12,MATCH($H12,'1RM'!$A$4:$A$12,0))="","",ROUND(INDEX('1RM'!I$4:I$12,MATCH($H12,'1RM'!$A$4:$A$12,0))*$I12/2.5,0)*2.5),""))</f>
        <v/>
      </c>
      <c r="S12" s="33">
        <f>IF($I12="","",IFERROR(IF(INDEX('1RM'!J$4:J$12,MATCH($H12,'1RM'!$A$4:$A$12,0))="","",ROUND(INDEX('1RM'!J$4:J$12,MATCH($H12,'1RM'!$A$4:$A$12,0))*$I12/2.5,0)*2.5),""))</f>
        <v/>
      </c>
      <c r="T12" s="33">
        <f>IF($I12="","",IFERROR(IF(INDEX('1RM'!K$4:K$12,MATCH($H12,'1RM'!$A$4:$A$12,0))="","",ROUND(INDEX('1RM'!K$4:K$12,MATCH($H12,'1RM'!$A$4:$A$12,0))*$I12/2.5,0)*2.5),""))</f>
        <v/>
      </c>
      <c r="U12" s="33">
        <f>IF($I12="","",IFERROR(IF(INDEX('1RM'!L$4:L$12,MATCH($H12,'1RM'!$A$4:$A$12,0))="","",ROUND(INDEX('1RM'!L$4:L$12,MATCH($H12,'1RM'!$A$4:$A$12,0))*$I12/2.5,0)*2.5),""))</f>
        <v/>
      </c>
      <c r="V12" s="33">
        <f>IF($I12="","",IFERROR(IF(INDEX('1RM'!M$4:M$12,MATCH($H12,'1RM'!$A$4:$A$12,0))="","",ROUND(INDEX('1RM'!M$4:M$12,MATCH($H12,'1RM'!$A$4:$A$12,0))*$I12/2.5,0)*2.5),""))</f>
        <v/>
      </c>
      <c r="W12" s="33">
        <f>IF($I12="","",IFERROR(IF(INDEX('1RM'!N$4:N$12,MATCH($H12,'1RM'!$A$4:$A$12,0))="","",ROUND(INDEX('1RM'!N$4:N$12,MATCH($H12,'1RM'!$A$4:$A$12,0))*$I12/2.5,0)*2.5),""))</f>
        <v/>
      </c>
      <c r="X12" s="33">
        <f>IF($I12="","",IFERROR(IF(INDEX('1RM'!O$4:O$12,MATCH($H12,'1RM'!$A$4:$A$12,0))="","",ROUND(INDEX('1RM'!O$4:O$12,MATCH($H12,'1RM'!$A$4:$A$12,0))*$I12/2.5,0)*2.5),""))</f>
        <v/>
      </c>
      <c r="Y12" s="33">
        <f>IF($I12="","",IFERROR(IF(INDEX('1RM'!P$4:P$12,MATCH($H12,'1RM'!$A$4:$A$12,0))="","",ROUND(INDEX('1RM'!P$4:P$12,MATCH($H12,'1RM'!$A$4:$A$12,0))*$I12/2.5,0)*2.5),""))</f>
        <v/>
      </c>
    </row>
    <row r="13" ht="34" customHeight="1">
      <c r="A13" s="34" t="n">
        <v>6</v>
      </c>
      <c r="B13" s="35" t="inlineStr">
        <is>
          <t>Nórdico de isquiotibiais (excêntrico)</t>
        </is>
      </c>
      <c r="C13" s="34" t="inlineStr">
        <is>
          <t>Perna</t>
        </is>
      </c>
      <c r="D13" s="34" t="n">
        <v>3</v>
      </c>
      <c r="E13" s="34" t="n">
        <v>6</v>
      </c>
      <c r="F13" s="34" t="n">
        <v>90</v>
      </c>
      <c r="G13" s="34" t="inlineStr">
        <is>
          <t>peso do corpo</t>
        </is>
      </c>
      <c r="H13" s="34" t="inlineStr">
        <is>
          <t>—</t>
        </is>
      </c>
      <c r="I13" s="34" t="inlineStr"/>
      <c r="J13" s="36" t="inlineStr">
        <is>
          <t>É a dose que reduz lesão de posterior. Descida lenta até perder o controle.</t>
        </is>
      </c>
      <c r="K13" s="37">
        <f>IF($I13="","",IFERROR(IF(INDEX('1RM'!B$4:B$12,MATCH($H13,'1RM'!$A$4:$A$12,0))="","",ROUND(INDEX('1RM'!B$4:B$12,MATCH($H13,'1RM'!$A$4:$A$12,0))*$I13/2.5,0)*2.5),""))</f>
        <v/>
      </c>
      <c r="L13" s="37">
        <f>IF($I13="","",IFERROR(IF(INDEX('1RM'!C$4:C$12,MATCH($H13,'1RM'!$A$4:$A$12,0))="","",ROUND(INDEX('1RM'!C$4:C$12,MATCH($H13,'1RM'!$A$4:$A$12,0))*$I13/2.5,0)*2.5),""))</f>
        <v/>
      </c>
      <c r="M13" s="37">
        <f>IF($I13="","",IFERROR(IF(INDEX('1RM'!D$4:D$12,MATCH($H13,'1RM'!$A$4:$A$12,0))="","",ROUND(INDEX('1RM'!D$4:D$12,MATCH($H13,'1RM'!$A$4:$A$12,0))*$I13/2.5,0)*2.5),""))</f>
        <v/>
      </c>
      <c r="N13" s="37">
        <f>IF($I13="","",IFERROR(IF(INDEX('1RM'!E$4:E$12,MATCH($H13,'1RM'!$A$4:$A$12,0))="","",ROUND(INDEX('1RM'!E$4:E$12,MATCH($H13,'1RM'!$A$4:$A$12,0))*$I13/2.5,0)*2.5),""))</f>
        <v/>
      </c>
      <c r="O13" s="37">
        <f>IF($I13="","",IFERROR(IF(INDEX('1RM'!F$4:F$12,MATCH($H13,'1RM'!$A$4:$A$12,0))="","",ROUND(INDEX('1RM'!F$4:F$12,MATCH($H13,'1RM'!$A$4:$A$12,0))*$I13/2.5,0)*2.5),""))</f>
        <v/>
      </c>
      <c r="P13" s="37">
        <f>IF($I13="","",IFERROR(IF(INDEX('1RM'!G$4:G$12,MATCH($H13,'1RM'!$A$4:$A$12,0))="","",ROUND(INDEX('1RM'!G$4:G$12,MATCH($H13,'1RM'!$A$4:$A$12,0))*$I13/2.5,0)*2.5),""))</f>
        <v/>
      </c>
      <c r="Q13" s="37">
        <f>IF($I13="","",IFERROR(IF(INDEX('1RM'!H$4:H$12,MATCH($H13,'1RM'!$A$4:$A$12,0))="","",ROUND(INDEX('1RM'!H$4:H$12,MATCH($H13,'1RM'!$A$4:$A$12,0))*$I13/2.5,0)*2.5),""))</f>
        <v/>
      </c>
      <c r="R13" s="37">
        <f>IF($I13="","",IFERROR(IF(INDEX('1RM'!I$4:I$12,MATCH($H13,'1RM'!$A$4:$A$12,0))="","",ROUND(INDEX('1RM'!I$4:I$12,MATCH($H13,'1RM'!$A$4:$A$12,0))*$I13/2.5,0)*2.5),""))</f>
        <v/>
      </c>
      <c r="S13" s="37">
        <f>IF($I13="","",IFERROR(IF(INDEX('1RM'!J$4:J$12,MATCH($H13,'1RM'!$A$4:$A$12,0))="","",ROUND(INDEX('1RM'!J$4:J$12,MATCH($H13,'1RM'!$A$4:$A$12,0))*$I13/2.5,0)*2.5),""))</f>
        <v/>
      </c>
      <c r="T13" s="37">
        <f>IF($I13="","",IFERROR(IF(INDEX('1RM'!K$4:K$12,MATCH($H13,'1RM'!$A$4:$A$12,0))="","",ROUND(INDEX('1RM'!K$4:K$12,MATCH($H13,'1RM'!$A$4:$A$12,0))*$I13/2.5,0)*2.5),""))</f>
        <v/>
      </c>
      <c r="U13" s="37">
        <f>IF($I13="","",IFERROR(IF(INDEX('1RM'!L$4:L$12,MATCH($H13,'1RM'!$A$4:$A$12,0))="","",ROUND(INDEX('1RM'!L$4:L$12,MATCH($H13,'1RM'!$A$4:$A$12,0))*$I13/2.5,0)*2.5),""))</f>
        <v/>
      </c>
      <c r="V13" s="37">
        <f>IF($I13="","",IFERROR(IF(INDEX('1RM'!M$4:M$12,MATCH($H13,'1RM'!$A$4:$A$12,0))="","",ROUND(INDEX('1RM'!M$4:M$12,MATCH($H13,'1RM'!$A$4:$A$12,0))*$I13/2.5,0)*2.5),""))</f>
        <v/>
      </c>
      <c r="W13" s="37">
        <f>IF($I13="","",IFERROR(IF(INDEX('1RM'!N$4:N$12,MATCH($H13,'1RM'!$A$4:$A$12,0))="","",ROUND(INDEX('1RM'!N$4:N$12,MATCH($H13,'1RM'!$A$4:$A$12,0))*$I13/2.5,0)*2.5),""))</f>
        <v/>
      </c>
      <c r="X13" s="37">
        <f>IF($I13="","",IFERROR(IF(INDEX('1RM'!O$4:O$12,MATCH($H13,'1RM'!$A$4:$A$12,0))="","",ROUND(INDEX('1RM'!O$4:O$12,MATCH($H13,'1RM'!$A$4:$A$12,0))*$I13/2.5,0)*2.5),""))</f>
        <v/>
      </c>
      <c r="Y13" s="37">
        <f>IF($I13="","",IFERROR(IF(INDEX('1RM'!P$4:P$12,MATCH($H13,'1RM'!$A$4:$A$12,0))="","",ROUND(INDEX('1RM'!P$4:P$12,MATCH($H13,'1RM'!$A$4:$A$12,0))*$I13/2.5,0)*2.5),""))</f>
        <v/>
      </c>
    </row>
    <row r="14" ht="34" customHeight="1">
      <c r="A14" s="29" t="n">
        <v>7</v>
      </c>
      <c r="B14" s="30" t="inlineStr">
        <is>
          <t>Elevação de calcanhares</t>
        </is>
      </c>
      <c r="C14" s="29" t="inlineStr">
        <is>
          <t>Perna</t>
        </is>
      </c>
      <c r="D14" s="29" t="n">
        <v>3</v>
      </c>
      <c r="E14" s="29" t="n">
        <v>8</v>
      </c>
      <c r="F14" s="29" t="n">
        <v>60</v>
      </c>
      <c r="G14" s="29" t="inlineStr">
        <is>
          <t>RIR 2</t>
        </is>
      </c>
      <c r="H14" s="29" t="inlineStr">
        <is>
          <t>—</t>
        </is>
      </c>
      <c r="I14" s="29" t="inlineStr"/>
      <c r="J14" s="32" t="inlineStr">
        <is>
          <t>Descida de 3 s.</t>
        </is>
      </c>
      <c r="K14" s="33">
        <f>IF($I14="","",IFERROR(IF(INDEX('1RM'!B$4:B$12,MATCH($H14,'1RM'!$A$4:$A$12,0))="","",ROUND(INDEX('1RM'!B$4:B$12,MATCH($H14,'1RM'!$A$4:$A$12,0))*$I14/2.5,0)*2.5),""))</f>
        <v/>
      </c>
      <c r="L14" s="33">
        <f>IF($I14="","",IFERROR(IF(INDEX('1RM'!C$4:C$12,MATCH($H14,'1RM'!$A$4:$A$12,0))="","",ROUND(INDEX('1RM'!C$4:C$12,MATCH($H14,'1RM'!$A$4:$A$12,0))*$I14/2.5,0)*2.5),""))</f>
        <v/>
      </c>
      <c r="M14" s="33">
        <f>IF($I14="","",IFERROR(IF(INDEX('1RM'!D$4:D$12,MATCH($H14,'1RM'!$A$4:$A$12,0))="","",ROUND(INDEX('1RM'!D$4:D$12,MATCH($H14,'1RM'!$A$4:$A$12,0))*$I14/2.5,0)*2.5),""))</f>
        <v/>
      </c>
      <c r="N14" s="33">
        <f>IF($I14="","",IFERROR(IF(INDEX('1RM'!E$4:E$12,MATCH($H14,'1RM'!$A$4:$A$12,0))="","",ROUND(INDEX('1RM'!E$4:E$12,MATCH($H14,'1RM'!$A$4:$A$12,0))*$I14/2.5,0)*2.5),""))</f>
        <v/>
      </c>
      <c r="O14" s="33">
        <f>IF($I14="","",IFERROR(IF(INDEX('1RM'!F$4:F$12,MATCH($H14,'1RM'!$A$4:$A$12,0))="","",ROUND(INDEX('1RM'!F$4:F$12,MATCH($H14,'1RM'!$A$4:$A$12,0))*$I14/2.5,0)*2.5),""))</f>
        <v/>
      </c>
      <c r="P14" s="33">
        <f>IF($I14="","",IFERROR(IF(INDEX('1RM'!G$4:G$12,MATCH($H14,'1RM'!$A$4:$A$12,0))="","",ROUND(INDEX('1RM'!G$4:G$12,MATCH($H14,'1RM'!$A$4:$A$12,0))*$I14/2.5,0)*2.5),""))</f>
        <v/>
      </c>
      <c r="Q14" s="33">
        <f>IF($I14="","",IFERROR(IF(INDEX('1RM'!H$4:H$12,MATCH($H14,'1RM'!$A$4:$A$12,0))="","",ROUND(INDEX('1RM'!H$4:H$12,MATCH($H14,'1RM'!$A$4:$A$12,0))*$I14/2.5,0)*2.5),""))</f>
        <v/>
      </c>
      <c r="R14" s="33">
        <f>IF($I14="","",IFERROR(IF(INDEX('1RM'!I$4:I$12,MATCH($H14,'1RM'!$A$4:$A$12,0))="","",ROUND(INDEX('1RM'!I$4:I$12,MATCH($H14,'1RM'!$A$4:$A$12,0))*$I14/2.5,0)*2.5),""))</f>
        <v/>
      </c>
      <c r="S14" s="33">
        <f>IF($I14="","",IFERROR(IF(INDEX('1RM'!J$4:J$12,MATCH($H14,'1RM'!$A$4:$A$12,0))="","",ROUND(INDEX('1RM'!J$4:J$12,MATCH($H14,'1RM'!$A$4:$A$12,0))*$I14/2.5,0)*2.5),""))</f>
        <v/>
      </c>
      <c r="T14" s="33">
        <f>IF($I14="","",IFERROR(IF(INDEX('1RM'!K$4:K$12,MATCH($H14,'1RM'!$A$4:$A$12,0))="","",ROUND(INDEX('1RM'!K$4:K$12,MATCH($H14,'1RM'!$A$4:$A$12,0))*$I14/2.5,0)*2.5),""))</f>
        <v/>
      </c>
      <c r="U14" s="33">
        <f>IF($I14="","",IFERROR(IF(INDEX('1RM'!L$4:L$12,MATCH($H14,'1RM'!$A$4:$A$12,0))="","",ROUND(INDEX('1RM'!L$4:L$12,MATCH($H14,'1RM'!$A$4:$A$12,0))*$I14/2.5,0)*2.5),""))</f>
        <v/>
      </c>
      <c r="V14" s="33">
        <f>IF($I14="","",IFERROR(IF(INDEX('1RM'!M$4:M$12,MATCH($H14,'1RM'!$A$4:$A$12,0))="","",ROUND(INDEX('1RM'!M$4:M$12,MATCH($H14,'1RM'!$A$4:$A$12,0))*$I14/2.5,0)*2.5),""))</f>
        <v/>
      </c>
      <c r="W14" s="33">
        <f>IF($I14="","",IFERROR(IF(INDEX('1RM'!N$4:N$12,MATCH($H14,'1RM'!$A$4:$A$12,0))="","",ROUND(INDEX('1RM'!N$4:N$12,MATCH($H14,'1RM'!$A$4:$A$12,0))*$I14/2.5,0)*2.5),""))</f>
        <v/>
      </c>
      <c r="X14" s="33">
        <f>IF($I14="","",IFERROR(IF(INDEX('1RM'!O$4:O$12,MATCH($H14,'1RM'!$A$4:$A$12,0))="","",ROUND(INDEX('1RM'!O$4:O$12,MATCH($H14,'1RM'!$A$4:$A$12,0))*$I14/2.5,0)*2.5),""))</f>
        <v/>
      </c>
      <c r="Y14" s="33">
        <f>IF($I14="","",IFERROR(IF(INDEX('1RM'!P$4:P$12,MATCH($H14,'1RM'!$A$4:$A$12,0))="","",ROUND(INDEX('1RM'!P$4:P$12,MATCH($H14,'1RM'!$A$4:$A$12,0))*$I14/2.5,0)*2.5),""))</f>
        <v/>
      </c>
    </row>
    <row r="15" ht="34" customHeight="1">
      <c r="A15" s="34" t="n">
        <v>8</v>
      </c>
      <c r="B15" s="35" t="inlineStr">
        <is>
          <t>Abdominal reto com braços esticados</t>
        </is>
      </c>
      <c r="C15" s="34" t="inlineStr">
        <is>
          <t>Core</t>
        </is>
      </c>
      <c r="D15" s="34" t="n">
        <v>3</v>
      </c>
      <c r="E15" s="34" t="n">
        <v>20</v>
      </c>
      <c r="F15" s="34" t="n">
        <v>45</v>
      </c>
      <c r="G15" s="34" t="inlineStr">
        <is>
          <t>RIR 2</t>
        </is>
      </c>
      <c r="H15" s="34" t="inlineStr">
        <is>
          <t>—</t>
        </is>
      </c>
      <c r="I15" s="34" t="inlineStr"/>
      <c r="J15" s="36" t="inlineStr"/>
      <c r="K15" s="37">
        <f>IF($I15="","",IFERROR(IF(INDEX('1RM'!B$4:B$12,MATCH($H15,'1RM'!$A$4:$A$12,0))="","",ROUND(INDEX('1RM'!B$4:B$12,MATCH($H15,'1RM'!$A$4:$A$12,0))*$I15/2.5,0)*2.5),""))</f>
        <v/>
      </c>
      <c r="L15" s="37">
        <f>IF($I15="","",IFERROR(IF(INDEX('1RM'!C$4:C$12,MATCH($H15,'1RM'!$A$4:$A$12,0))="","",ROUND(INDEX('1RM'!C$4:C$12,MATCH($H15,'1RM'!$A$4:$A$12,0))*$I15/2.5,0)*2.5),""))</f>
        <v/>
      </c>
      <c r="M15" s="37">
        <f>IF($I15="","",IFERROR(IF(INDEX('1RM'!D$4:D$12,MATCH($H15,'1RM'!$A$4:$A$12,0))="","",ROUND(INDEX('1RM'!D$4:D$12,MATCH($H15,'1RM'!$A$4:$A$12,0))*$I15/2.5,0)*2.5),""))</f>
        <v/>
      </c>
      <c r="N15" s="37">
        <f>IF($I15="","",IFERROR(IF(INDEX('1RM'!E$4:E$12,MATCH($H15,'1RM'!$A$4:$A$12,0))="","",ROUND(INDEX('1RM'!E$4:E$12,MATCH($H15,'1RM'!$A$4:$A$12,0))*$I15/2.5,0)*2.5),""))</f>
        <v/>
      </c>
      <c r="O15" s="37">
        <f>IF($I15="","",IFERROR(IF(INDEX('1RM'!F$4:F$12,MATCH($H15,'1RM'!$A$4:$A$12,0))="","",ROUND(INDEX('1RM'!F$4:F$12,MATCH($H15,'1RM'!$A$4:$A$12,0))*$I15/2.5,0)*2.5),""))</f>
        <v/>
      </c>
      <c r="P15" s="37">
        <f>IF($I15="","",IFERROR(IF(INDEX('1RM'!G$4:G$12,MATCH($H15,'1RM'!$A$4:$A$12,0))="","",ROUND(INDEX('1RM'!G$4:G$12,MATCH($H15,'1RM'!$A$4:$A$12,0))*$I15/2.5,0)*2.5),""))</f>
        <v/>
      </c>
      <c r="Q15" s="37">
        <f>IF($I15="","",IFERROR(IF(INDEX('1RM'!H$4:H$12,MATCH($H15,'1RM'!$A$4:$A$12,0))="","",ROUND(INDEX('1RM'!H$4:H$12,MATCH($H15,'1RM'!$A$4:$A$12,0))*$I15/2.5,0)*2.5),""))</f>
        <v/>
      </c>
      <c r="R15" s="37">
        <f>IF($I15="","",IFERROR(IF(INDEX('1RM'!I$4:I$12,MATCH($H15,'1RM'!$A$4:$A$12,0))="","",ROUND(INDEX('1RM'!I$4:I$12,MATCH($H15,'1RM'!$A$4:$A$12,0))*$I15/2.5,0)*2.5),""))</f>
        <v/>
      </c>
      <c r="S15" s="37">
        <f>IF($I15="","",IFERROR(IF(INDEX('1RM'!J$4:J$12,MATCH($H15,'1RM'!$A$4:$A$12,0))="","",ROUND(INDEX('1RM'!J$4:J$12,MATCH($H15,'1RM'!$A$4:$A$12,0))*$I15/2.5,0)*2.5),""))</f>
        <v/>
      </c>
      <c r="T15" s="37">
        <f>IF($I15="","",IFERROR(IF(INDEX('1RM'!K$4:K$12,MATCH($H15,'1RM'!$A$4:$A$12,0))="","",ROUND(INDEX('1RM'!K$4:K$12,MATCH($H15,'1RM'!$A$4:$A$12,0))*$I15/2.5,0)*2.5),""))</f>
        <v/>
      </c>
      <c r="U15" s="37">
        <f>IF($I15="","",IFERROR(IF(INDEX('1RM'!L$4:L$12,MATCH($H15,'1RM'!$A$4:$A$12,0))="","",ROUND(INDEX('1RM'!L$4:L$12,MATCH($H15,'1RM'!$A$4:$A$12,0))*$I15/2.5,0)*2.5),""))</f>
        <v/>
      </c>
      <c r="V15" s="37">
        <f>IF($I15="","",IFERROR(IF(INDEX('1RM'!M$4:M$12,MATCH($H15,'1RM'!$A$4:$A$12,0))="","",ROUND(INDEX('1RM'!M$4:M$12,MATCH($H15,'1RM'!$A$4:$A$12,0))*$I15/2.5,0)*2.5),""))</f>
        <v/>
      </c>
      <c r="W15" s="37">
        <f>IF($I15="","",IFERROR(IF(INDEX('1RM'!N$4:N$12,MATCH($H15,'1RM'!$A$4:$A$12,0))="","",ROUND(INDEX('1RM'!N$4:N$12,MATCH($H15,'1RM'!$A$4:$A$12,0))*$I15/2.5,0)*2.5),""))</f>
        <v/>
      </c>
      <c r="X15" s="37">
        <f>IF($I15="","",IFERROR(IF(INDEX('1RM'!O$4:O$12,MATCH($H15,'1RM'!$A$4:$A$12,0))="","",ROUND(INDEX('1RM'!O$4:O$12,MATCH($H15,'1RM'!$A$4:$A$12,0))*$I15/2.5,0)*2.5),""))</f>
        <v/>
      </c>
      <c r="Y15" s="37">
        <f>IF($I15="","",IFERROR(IF(INDEX('1RM'!P$4:P$12,MATCH($H15,'1RM'!$A$4:$A$12,0))="","",ROUND(INDEX('1RM'!P$4:P$12,MATCH($H15,'1RM'!$A$4:$A$12,0))*$I15/2.5,0)*2.5),""))</f>
        <v/>
      </c>
    </row>
    <row r="17">
      <c r="A17" s="24" t="inlineStr">
        <is>
          <t>Regra da sessão</t>
        </is>
      </c>
    </row>
    <row r="18">
      <c r="A18" s="21" t="inlineStr">
        <is>
          <t>A coluna de cada atleta é o quilo que sai do 1RM dele, já arredondado à anilha. Em branco = falta o 1RM daquele exercício na aba 1RM.</t>
        </is>
      </c>
    </row>
    <row r="19">
      <c r="A19" s="21" t="inlineStr">
        <is>
          <t>"RIR 2" é repetições na reserva: terminar a série com duas que ainda sairiam com técnica limpa. Não é ir até a falha.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9"/>
  <sheetViews>
    <sheetView showGridLines="0" workbookViewId="0">
      <pane xSplit="10" ySplit="7" topLeftCell="K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1" customWidth="1" min="3" max="3"/>
    <col width="7" customWidth="1" min="4" max="4"/>
    <col width="6" customWidth="1" min="5" max="5"/>
    <col width="9" customWidth="1" min="6" max="6"/>
    <col width="11" customWidth="1" min="7" max="7"/>
    <col width="17" customWidth="1" min="8" max="8"/>
    <col width="7" customWidth="1" min="9" max="9"/>
    <col width="4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25" t="inlineStr">
        <is>
          <t>ELASE VOLEIBOL · MASCULINO ADULTO · SEMANA DO JOGO</t>
        </is>
      </c>
    </row>
    <row r="2">
      <c r="A2" s="22" t="inlineStr">
        <is>
          <t>TERÇA 13/10  ·  FORÇA 2 · dominante de tronco</t>
        </is>
      </c>
    </row>
    <row r="3">
      <c r="A3" s="2" t="inlineStr">
        <is>
          <t>Carga alta de novo, mas em outro tecido: a perna de ontem descansa enquanto o tronco trabalha.</t>
        </is>
      </c>
    </row>
    <row r="5">
      <c r="A5" s="26" t="inlineStr">
        <is>
          <t>Séries</t>
        </is>
      </c>
      <c r="C5" s="26" t="inlineStr">
        <is>
          <t>Duração estimada</t>
        </is>
      </c>
      <c r="E5" s="26" t="inlineStr">
        <is>
          <t>Contatos pliométricos</t>
        </is>
      </c>
    </row>
    <row r="6">
      <c r="A6" s="27">
        <f>SUM(D8:D15)</f>
        <v/>
      </c>
      <c r="C6" s="28">
        <f>ROUND(SUMPRODUCT($D$8:$D$15,($F$8:$F$15+$E$8:$E$15*4))/60,0)</f>
        <v/>
      </c>
      <c r="E6" s="27">
        <f>SUMPRODUCT(--($C$8:$C$15="Pliometria"),$D$8:$D$15,$E$8:$E$15)</f>
        <v/>
      </c>
    </row>
    <row r="7">
      <c r="A7" s="4" t="inlineStr">
        <is>
          <t>#</t>
        </is>
      </c>
      <c r="B7" s="4" t="inlineStr">
        <is>
          <t>Exercício</t>
        </is>
      </c>
      <c r="C7" s="4" t="inlineStr">
        <is>
          <t>Padrão</t>
        </is>
      </c>
      <c r="D7" s="4" t="inlineStr">
        <is>
          <t>Séries</t>
        </is>
      </c>
      <c r="E7" s="4" t="inlineStr">
        <is>
          <t>Reps</t>
        </is>
      </c>
      <c r="F7" s="4" t="inlineStr">
        <is>
          <t>Pausa (s)</t>
        </is>
      </c>
      <c r="G7" s="4" t="inlineStr">
        <is>
          <t>Carga</t>
        </is>
      </c>
      <c r="H7" s="4" t="inlineStr">
        <is>
          <t>Ref. de 1RM</t>
        </is>
      </c>
      <c r="I7" s="4" t="inlineStr">
        <is>
          <t>%</t>
        </is>
      </c>
      <c r="J7" s="4" t="inlineStr">
        <is>
          <t>Observação</t>
        </is>
      </c>
      <c r="K7" s="4">
        <f>IF('1RM'!B$3="","",'1RM'!B$3)</f>
        <v/>
      </c>
      <c r="L7" s="4">
        <f>IF('1RM'!C$3="","",'1RM'!C$3)</f>
        <v/>
      </c>
      <c r="M7" s="4">
        <f>IF('1RM'!D$3="","",'1RM'!D$3)</f>
        <v/>
      </c>
      <c r="N7" s="4">
        <f>IF('1RM'!E$3="","",'1RM'!E$3)</f>
        <v/>
      </c>
      <c r="O7" s="4">
        <f>IF('1RM'!F$3="","",'1RM'!F$3)</f>
        <v/>
      </c>
      <c r="P7" s="4">
        <f>IF('1RM'!G$3="","",'1RM'!G$3)</f>
        <v/>
      </c>
      <c r="Q7" s="4">
        <f>IF('1RM'!H$3="","",'1RM'!H$3)</f>
        <v/>
      </c>
      <c r="R7" s="4">
        <f>IF('1RM'!I$3="","",'1RM'!I$3)</f>
        <v/>
      </c>
      <c r="S7" s="4">
        <f>IF('1RM'!J$3="","",'1RM'!J$3)</f>
        <v/>
      </c>
      <c r="T7" s="4">
        <f>IF('1RM'!K$3="","",'1RM'!K$3)</f>
        <v/>
      </c>
      <c r="U7" s="4">
        <f>IF('1RM'!L$3="","",'1RM'!L$3)</f>
        <v/>
      </c>
      <c r="V7" s="4">
        <f>IF('1RM'!M$3="","",'1RM'!M$3)</f>
        <v/>
      </c>
      <c r="W7" s="4">
        <f>IF('1RM'!N$3="","",'1RM'!N$3)</f>
        <v/>
      </c>
      <c r="X7" s="4">
        <f>IF('1RM'!O$3="","",'1RM'!O$3)</f>
        <v/>
      </c>
      <c r="Y7" s="4">
        <f>IF('1RM'!P$3="","",'1RM'!P$3)</f>
        <v/>
      </c>
    </row>
    <row r="8" ht="34" customHeight="1">
      <c r="A8" s="29" t="n">
        <v>1</v>
      </c>
      <c r="B8" s="30" t="inlineStr">
        <is>
          <t>Supino reto com barra</t>
        </is>
      </c>
      <c r="C8" s="29" t="inlineStr">
        <is>
          <t>Empurrar</t>
        </is>
      </c>
      <c r="D8" s="29" t="n">
        <v>5</v>
      </c>
      <c r="E8" s="29" t="n">
        <v>3</v>
      </c>
      <c r="F8" s="29" t="n">
        <v>180</v>
      </c>
      <c r="G8" s="29" t="inlineStr">
        <is>
          <t>85%</t>
        </is>
      </c>
      <c r="H8" s="29" t="inlineStr">
        <is>
          <t>Supino</t>
        </is>
      </c>
      <c r="I8" s="31" t="n">
        <v>0.85</v>
      </c>
      <c r="J8" s="32" t="inlineStr">
        <is>
          <t>Mesma lógica da segunda: três repetições sólidas valem mais que quatro arrastadas.</t>
        </is>
      </c>
      <c r="K8" s="33">
        <f>IF($I8="","",IFERROR(IF(INDEX('1RM'!B$4:B$12,MATCH($H8,'1RM'!$A$4:$A$12,0))="","",ROUND(INDEX('1RM'!B$4:B$12,MATCH($H8,'1RM'!$A$4:$A$12,0))*$I8/2.5,0)*2.5),""))</f>
        <v/>
      </c>
      <c r="L8" s="33">
        <f>IF($I8="","",IFERROR(IF(INDEX('1RM'!C$4:C$12,MATCH($H8,'1RM'!$A$4:$A$12,0))="","",ROUND(INDEX('1RM'!C$4:C$12,MATCH($H8,'1RM'!$A$4:$A$12,0))*$I8/2.5,0)*2.5),""))</f>
        <v/>
      </c>
      <c r="M8" s="33">
        <f>IF($I8="","",IFERROR(IF(INDEX('1RM'!D$4:D$12,MATCH($H8,'1RM'!$A$4:$A$12,0))="","",ROUND(INDEX('1RM'!D$4:D$12,MATCH($H8,'1RM'!$A$4:$A$12,0))*$I8/2.5,0)*2.5),""))</f>
        <v/>
      </c>
      <c r="N8" s="33">
        <f>IF($I8="","",IFERROR(IF(INDEX('1RM'!E$4:E$12,MATCH($H8,'1RM'!$A$4:$A$12,0))="","",ROUND(INDEX('1RM'!E$4:E$12,MATCH($H8,'1RM'!$A$4:$A$12,0))*$I8/2.5,0)*2.5),""))</f>
        <v/>
      </c>
      <c r="O8" s="33">
        <f>IF($I8="","",IFERROR(IF(INDEX('1RM'!F$4:F$12,MATCH($H8,'1RM'!$A$4:$A$12,0))="","",ROUND(INDEX('1RM'!F$4:F$12,MATCH($H8,'1RM'!$A$4:$A$12,0))*$I8/2.5,0)*2.5),""))</f>
        <v/>
      </c>
      <c r="P8" s="33">
        <f>IF($I8="","",IFERROR(IF(INDEX('1RM'!G$4:G$12,MATCH($H8,'1RM'!$A$4:$A$12,0))="","",ROUND(INDEX('1RM'!G$4:G$12,MATCH($H8,'1RM'!$A$4:$A$12,0))*$I8/2.5,0)*2.5),""))</f>
        <v/>
      </c>
      <c r="Q8" s="33">
        <f>IF($I8="","",IFERROR(IF(INDEX('1RM'!H$4:H$12,MATCH($H8,'1RM'!$A$4:$A$12,0))="","",ROUND(INDEX('1RM'!H$4:H$12,MATCH($H8,'1RM'!$A$4:$A$12,0))*$I8/2.5,0)*2.5),""))</f>
        <v/>
      </c>
      <c r="R8" s="33">
        <f>IF($I8="","",IFERROR(IF(INDEX('1RM'!I$4:I$12,MATCH($H8,'1RM'!$A$4:$A$12,0))="","",ROUND(INDEX('1RM'!I$4:I$12,MATCH($H8,'1RM'!$A$4:$A$12,0))*$I8/2.5,0)*2.5),""))</f>
        <v/>
      </c>
      <c r="S8" s="33">
        <f>IF($I8="","",IFERROR(IF(INDEX('1RM'!J$4:J$12,MATCH($H8,'1RM'!$A$4:$A$12,0))="","",ROUND(INDEX('1RM'!J$4:J$12,MATCH($H8,'1RM'!$A$4:$A$12,0))*$I8/2.5,0)*2.5),""))</f>
        <v/>
      </c>
      <c r="T8" s="33">
        <f>IF($I8="","",IFERROR(IF(INDEX('1RM'!K$4:K$12,MATCH($H8,'1RM'!$A$4:$A$12,0))="","",ROUND(INDEX('1RM'!K$4:K$12,MATCH($H8,'1RM'!$A$4:$A$12,0))*$I8/2.5,0)*2.5),""))</f>
        <v/>
      </c>
      <c r="U8" s="33">
        <f>IF($I8="","",IFERROR(IF(INDEX('1RM'!L$4:L$12,MATCH($H8,'1RM'!$A$4:$A$12,0))="","",ROUND(INDEX('1RM'!L$4:L$12,MATCH($H8,'1RM'!$A$4:$A$12,0))*$I8/2.5,0)*2.5),""))</f>
        <v/>
      </c>
      <c r="V8" s="33">
        <f>IF($I8="","",IFERROR(IF(INDEX('1RM'!M$4:M$12,MATCH($H8,'1RM'!$A$4:$A$12,0))="","",ROUND(INDEX('1RM'!M$4:M$12,MATCH($H8,'1RM'!$A$4:$A$12,0))*$I8/2.5,0)*2.5),""))</f>
        <v/>
      </c>
      <c r="W8" s="33">
        <f>IF($I8="","",IFERROR(IF(INDEX('1RM'!N$4:N$12,MATCH($H8,'1RM'!$A$4:$A$12,0))="","",ROUND(INDEX('1RM'!N$4:N$12,MATCH($H8,'1RM'!$A$4:$A$12,0))*$I8/2.5,0)*2.5),""))</f>
        <v/>
      </c>
      <c r="X8" s="33">
        <f>IF($I8="","",IFERROR(IF(INDEX('1RM'!O$4:O$12,MATCH($H8,'1RM'!$A$4:$A$12,0))="","",ROUND(INDEX('1RM'!O$4:O$12,MATCH($H8,'1RM'!$A$4:$A$12,0))*$I8/2.5,0)*2.5),""))</f>
        <v/>
      </c>
      <c r="Y8" s="33">
        <f>IF($I8="","",IFERROR(IF(INDEX('1RM'!P$4:P$12,MATCH($H8,'1RM'!$A$4:$A$12,0))="","",ROUND(INDEX('1RM'!P$4:P$12,MATCH($H8,'1RM'!$A$4:$A$12,0))*$I8/2.5,0)*2.5),""))</f>
        <v/>
      </c>
    </row>
    <row r="9" ht="46" customHeight="1">
      <c r="A9" s="34" t="n">
        <v>2</v>
      </c>
      <c r="B9" s="35" t="inlineStr">
        <is>
          <t>Push press</t>
        </is>
      </c>
      <c r="C9" s="34" t="inlineStr">
        <is>
          <t>Empurrar</t>
        </is>
      </c>
      <c r="D9" s="34" t="n">
        <v>4</v>
      </c>
      <c r="E9" s="34" t="n">
        <v>4</v>
      </c>
      <c r="F9" s="34" t="n">
        <v>150</v>
      </c>
      <c r="G9" s="34" t="inlineStr">
        <is>
          <t>78%</t>
        </is>
      </c>
      <c r="H9" s="34" t="inlineStr">
        <is>
          <t>Push press</t>
        </is>
      </c>
      <c r="I9" s="38" t="n">
        <v>0.78</v>
      </c>
      <c r="J9" s="36" t="inlineStr">
        <is>
          <t>A perna dá o arranque, o braço só termina. Se o braço faz tudo, a carga está alta demais.</t>
        </is>
      </c>
      <c r="K9" s="37">
        <f>IF($I9="","",IFERROR(IF(INDEX('1RM'!B$4:B$12,MATCH($H9,'1RM'!$A$4:$A$12,0))="","",ROUND(INDEX('1RM'!B$4:B$12,MATCH($H9,'1RM'!$A$4:$A$12,0))*$I9/2.5,0)*2.5),""))</f>
        <v/>
      </c>
      <c r="L9" s="37">
        <f>IF($I9="","",IFERROR(IF(INDEX('1RM'!C$4:C$12,MATCH($H9,'1RM'!$A$4:$A$12,0))="","",ROUND(INDEX('1RM'!C$4:C$12,MATCH($H9,'1RM'!$A$4:$A$12,0))*$I9/2.5,0)*2.5),""))</f>
        <v/>
      </c>
      <c r="M9" s="37">
        <f>IF($I9="","",IFERROR(IF(INDEX('1RM'!D$4:D$12,MATCH($H9,'1RM'!$A$4:$A$12,0))="","",ROUND(INDEX('1RM'!D$4:D$12,MATCH($H9,'1RM'!$A$4:$A$12,0))*$I9/2.5,0)*2.5),""))</f>
        <v/>
      </c>
      <c r="N9" s="37">
        <f>IF($I9="","",IFERROR(IF(INDEX('1RM'!E$4:E$12,MATCH($H9,'1RM'!$A$4:$A$12,0))="","",ROUND(INDEX('1RM'!E$4:E$12,MATCH($H9,'1RM'!$A$4:$A$12,0))*$I9/2.5,0)*2.5),""))</f>
        <v/>
      </c>
      <c r="O9" s="37">
        <f>IF($I9="","",IFERROR(IF(INDEX('1RM'!F$4:F$12,MATCH($H9,'1RM'!$A$4:$A$12,0))="","",ROUND(INDEX('1RM'!F$4:F$12,MATCH($H9,'1RM'!$A$4:$A$12,0))*$I9/2.5,0)*2.5),""))</f>
        <v/>
      </c>
      <c r="P9" s="37">
        <f>IF($I9="","",IFERROR(IF(INDEX('1RM'!G$4:G$12,MATCH($H9,'1RM'!$A$4:$A$12,0))="","",ROUND(INDEX('1RM'!G$4:G$12,MATCH($H9,'1RM'!$A$4:$A$12,0))*$I9/2.5,0)*2.5),""))</f>
        <v/>
      </c>
      <c r="Q9" s="37">
        <f>IF($I9="","",IFERROR(IF(INDEX('1RM'!H$4:H$12,MATCH($H9,'1RM'!$A$4:$A$12,0))="","",ROUND(INDEX('1RM'!H$4:H$12,MATCH($H9,'1RM'!$A$4:$A$12,0))*$I9/2.5,0)*2.5),""))</f>
        <v/>
      </c>
      <c r="R9" s="37">
        <f>IF($I9="","",IFERROR(IF(INDEX('1RM'!I$4:I$12,MATCH($H9,'1RM'!$A$4:$A$12,0))="","",ROUND(INDEX('1RM'!I$4:I$12,MATCH($H9,'1RM'!$A$4:$A$12,0))*$I9/2.5,0)*2.5),""))</f>
        <v/>
      </c>
      <c r="S9" s="37">
        <f>IF($I9="","",IFERROR(IF(INDEX('1RM'!J$4:J$12,MATCH($H9,'1RM'!$A$4:$A$12,0))="","",ROUND(INDEX('1RM'!J$4:J$12,MATCH($H9,'1RM'!$A$4:$A$12,0))*$I9/2.5,0)*2.5),""))</f>
        <v/>
      </c>
      <c r="T9" s="37">
        <f>IF($I9="","",IFERROR(IF(INDEX('1RM'!K$4:K$12,MATCH($H9,'1RM'!$A$4:$A$12,0))="","",ROUND(INDEX('1RM'!K$4:K$12,MATCH($H9,'1RM'!$A$4:$A$12,0))*$I9/2.5,0)*2.5),""))</f>
        <v/>
      </c>
      <c r="U9" s="37">
        <f>IF($I9="","",IFERROR(IF(INDEX('1RM'!L$4:L$12,MATCH($H9,'1RM'!$A$4:$A$12,0))="","",ROUND(INDEX('1RM'!L$4:L$12,MATCH($H9,'1RM'!$A$4:$A$12,0))*$I9/2.5,0)*2.5),""))</f>
        <v/>
      </c>
      <c r="V9" s="37">
        <f>IF($I9="","",IFERROR(IF(INDEX('1RM'!M$4:M$12,MATCH($H9,'1RM'!$A$4:$A$12,0))="","",ROUND(INDEX('1RM'!M$4:M$12,MATCH($H9,'1RM'!$A$4:$A$12,0))*$I9/2.5,0)*2.5),""))</f>
        <v/>
      </c>
      <c r="W9" s="37">
        <f>IF($I9="","",IFERROR(IF(INDEX('1RM'!N$4:N$12,MATCH($H9,'1RM'!$A$4:$A$12,0))="","",ROUND(INDEX('1RM'!N$4:N$12,MATCH($H9,'1RM'!$A$4:$A$12,0))*$I9/2.5,0)*2.5),""))</f>
        <v/>
      </c>
      <c r="X9" s="37">
        <f>IF($I9="","",IFERROR(IF(INDEX('1RM'!O$4:O$12,MATCH($H9,'1RM'!$A$4:$A$12,0))="","",ROUND(INDEX('1RM'!O$4:O$12,MATCH($H9,'1RM'!$A$4:$A$12,0))*$I9/2.5,0)*2.5),""))</f>
        <v/>
      </c>
      <c r="Y9" s="37">
        <f>IF($I9="","",IFERROR(IF(INDEX('1RM'!P$4:P$12,MATCH($H9,'1RM'!$A$4:$A$12,0))="","",ROUND(INDEX('1RM'!P$4:P$12,MATCH($H9,'1RM'!$A$4:$A$12,0))*$I9/2.5,0)*2.5),""))</f>
        <v/>
      </c>
    </row>
    <row r="10" ht="34" customHeight="1">
      <c r="A10" s="29" t="n">
        <v>3</v>
      </c>
      <c r="B10" s="30" t="inlineStr">
        <is>
          <t>Remada serrote</t>
        </is>
      </c>
      <c r="C10" s="29" t="inlineStr">
        <is>
          <t>Puxar</t>
        </is>
      </c>
      <c r="D10" s="29" t="n">
        <v>4</v>
      </c>
      <c r="E10" s="29" t="n">
        <v>6</v>
      </c>
      <c r="F10" s="29" t="n">
        <v>120</v>
      </c>
      <c r="G10" s="29" t="inlineStr">
        <is>
          <t>78%</t>
        </is>
      </c>
      <c r="H10" s="29" t="inlineStr">
        <is>
          <t>Remada serrote</t>
        </is>
      </c>
      <c r="I10" s="31" t="n">
        <v>0.78</v>
      </c>
      <c r="J10" s="32" t="inlineStr">
        <is>
          <t>Seis em cada braço.</t>
        </is>
      </c>
      <c r="K10" s="33">
        <f>IF($I10="","",IFERROR(IF(INDEX('1RM'!B$4:B$12,MATCH($H10,'1RM'!$A$4:$A$12,0))="","",ROUND(INDEX('1RM'!B$4:B$12,MATCH($H10,'1RM'!$A$4:$A$12,0))*$I10/2.5,0)*2.5),""))</f>
        <v/>
      </c>
      <c r="L10" s="33">
        <f>IF($I10="","",IFERROR(IF(INDEX('1RM'!C$4:C$12,MATCH($H10,'1RM'!$A$4:$A$12,0))="","",ROUND(INDEX('1RM'!C$4:C$12,MATCH($H10,'1RM'!$A$4:$A$12,0))*$I10/2.5,0)*2.5),""))</f>
        <v/>
      </c>
      <c r="M10" s="33">
        <f>IF($I10="","",IFERROR(IF(INDEX('1RM'!D$4:D$12,MATCH($H10,'1RM'!$A$4:$A$12,0))="","",ROUND(INDEX('1RM'!D$4:D$12,MATCH($H10,'1RM'!$A$4:$A$12,0))*$I10/2.5,0)*2.5),""))</f>
        <v/>
      </c>
      <c r="N10" s="33">
        <f>IF($I10="","",IFERROR(IF(INDEX('1RM'!E$4:E$12,MATCH($H10,'1RM'!$A$4:$A$12,0))="","",ROUND(INDEX('1RM'!E$4:E$12,MATCH($H10,'1RM'!$A$4:$A$12,0))*$I10/2.5,0)*2.5),""))</f>
        <v/>
      </c>
      <c r="O10" s="33">
        <f>IF($I10="","",IFERROR(IF(INDEX('1RM'!F$4:F$12,MATCH($H10,'1RM'!$A$4:$A$12,0))="","",ROUND(INDEX('1RM'!F$4:F$12,MATCH($H10,'1RM'!$A$4:$A$12,0))*$I10/2.5,0)*2.5),""))</f>
        <v/>
      </c>
      <c r="P10" s="33">
        <f>IF($I10="","",IFERROR(IF(INDEX('1RM'!G$4:G$12,MATCH($H10,'1RM'!$A$4:$A$12,0))="","",ROUND(INDEX('1RM'!G$4:G$12,MATCH($H10,'1RM'!$A$4:$A$12,0))*$I10/2.5,0)*2.5),""))</f>
        <v/>
      </c>
      <c r="Q10" s="33">
        <f>IF($I10="","",IFERROR(IF(INDEX('1RM'!H$4:H$12,MATCH($H10,'1RM'!$A$4:$A$12,0))="","",ROUND(INDEX('1RM'!H$4:H$12,MATCH($H10,'1RM'!$A$4:$A$12,0))*$I10/2.5,0)*2.5),""))</f>
        <v/>
      </c>
      <c r="R10" s="33">
        <f>IF($I10="","",IFERROR(IF(INDEX('1RM'!I$4:I$12,MATCH($H10,'1RM'!$A$4:$A$12,0))="","",ROUND(INDEX('1RM'!I$4:I$12,MATCH($H10,'1RM'!$A$4:$A$12,0))*$I10/2.5,0)*2.5),""))</f>
        <v/>
      </c>
      <c r="S10" s="33">
        <f>IF($I10="","",IFERROR(IF(INDEX('1RM'!J$4:J$12,MATCH($H10,'1RM'!$A$4:$A$12,0))="","",ROUND(INDEX('1RM'!J$4:J$12,MATCH($H10,'1RM'!$A$4:$A$12,0))*$I10/2.5,0)*2.5),""))</f>
        <v/>
      </c>
      <c r="T10" s="33">
        <f>IF($I10="","",IFERROR(IF(INDEX('1RM'!K$4:K$12,MATCH($H10,'1RM'!$A$4:$A$12,0))="","",ROUND(INDEX('1RM'!K$4:K$12,MATCH($H10,'1RM'!$A$4:$A$12,0))*$I10/2.5,0)*2.5),""))</f>
        <v/>
      </c>
      <c r="U10" s="33">
        <f>IF($I10="","",IFERROR(IF(INDEX('1RM'!L$4:L$12,MATCH($H10,'1RM'!$A$4:$A$12,0))="","",ROUND(INDEX('1RM'!L$4:L$12,MATCH($H10,'1RM'!$A$4:$A$12,0))*$I10/2.5,0)*2.5),""))</f>
        <v/>
      </c>
      <c r="V10" s="33">
        <f>IF($I10="","",IFERROR(IF(INDEX('1RM'!M$4:M$12,MATCH($H10,'1RM'!$A$4:$A$12,0))="","",ROUND(INDEX('1RM'!M$4:M$12,MATCH($H10,'1RM'!$A$4:$A$12,0))*$I10/2.5,0)*2.5),""))</f>
        <v/>
      </c>
      <c r="W10" s="33">
        <f>IF($I10="","",IFERROR(IF(INDEX('1RM'!N$4:N$12,MATCH($H10,'1RM'!$A$4:$A$12,0))="","",ROUND(INDEX('1RM'!N$4:N$12,MATCH($H10,'1RM'!$A$4:$A$12,0))*$I10/2.5,0)*2.5),""))</f>
        <v/>
      </c>
      <c r="X10" s="33">
        <f>IF($I10="","",IFERROR(IF(INDEX('1RM'!O$4:O$12,MATCH($H10,'1RM'!$A$4:$A$12,0))="","",ROUND(INDEX('1RM'!O$4:O$12,MATCH($H10,'1RM'!$A$4:$A$12,0))*$I10/2.5,0)*2.5),""))</f>
        <v/>
      </c>
      <c r="Y10" s="33">
        <f>IF($I10="","",IFERROR(IF(INDEX('1RM'!P$4:P$12,MATCH($H10,'1RM'!$A$4:$A$12,0))="","",ROUND(INDEX('1RM'!P$4:P$12,MATCH($H10,'1RM'!$A$4:$A$12,0))*$I10/2.5,0)*2.5),""))</f>
        <v/>
      </c>
    </row>
    <row r="11" ht="34" customHeight="1">
      <c r="A11" s="34" t="n">
        <v>4</v>
      </c>
      <c r="B11" s="35" t="inlineStr">
        <is>
          <t>Puxada unilateral no pulley alto</t>
        </is>
      </c>
      <c r="C11" s="34" t="inlineStr">
        <is>
          <t>Puxar</t>
        </is>
      </c>
      <c r="D11" s="34" t="n">
        <v>3</v>
      </c>
      <c r="E11" s="34" t="n">
        <v>8</v>
      </c>
      <c r="F11" s="34" t="n">
        <v>90</v>
      </c>
      <c r="G11" s="34" t="inlineStr">
        <is>
          <t>RIR 2</t>
        </is>
      </c>
      <c r="H11" s="34" t="inlineStr">
        <is>
          <t>—</t>
        </is>
      </c>
      <c r="I11" s="34" t="inlineStr"/>
      <c r="J11" s="36" t="inlineStr">
        <is>
          <t>Oito em cada braço.</t>
        </is>
      </c>
      <c r="K11" s="37">
        <f>IF($I11="","",IFERROR(IF(INDEX('1RM'!B$4:B$12,MATCH($H11,'1RM'!$A$4:$A$12,0))="","",ROUND(INDEX('1RM'!B$4:B$12,MATCH($H11,'1RM'!$A$4:$A$12,0))*$I11/2.5,0)*2.5),""))</f>
        <v/>
      </c>
      <c r="L11" s="37">
        <f>IF($I11="","",IFERROR(IF(INDEX('1RM'!C$4:C$12,MATCH($H11,'1RM'!$A$4:$A$12,0))="","",ROUND(INDEX('1RM'!C$4:C$12,MATCH($H11,'1RM'!$A$4:$A$12,0))*$I11/2.5,0)*2.5),""))</f>
        <v/>
      </c>
      <c r="M11" s="37">
        <f>IF($I11="","",IFERROR(IF(INDEX('1RM'!D$4:D$12,MATCH($H11,'1RM'!$A$4:$A$12,0))="","",ROUND(INDEX('1RM'!D$4:D$12,MATCH($H11,'1RM'!$A$4:$A$12,0))*$I11/2.5,0)*2.5),""))</f>
        <v/>
      </c>
      <c r="N11" s="37">
        <f>IF($I11="","",IFERROR(IF(INDEX('1RM'!E$4:E$12,MATCH($H11,'1RM'!$A$4:$A$12,0))="","",ROUND(INDEX('1RM'!E$4:E$12,MATCH($H11,'1RM'!$A$4:$A$12,0))*$I11/2.5,0)*2.5),""))</f>
        <v/>
      </c>
      <c r="O11" s="37">
        <f>IF($I11="","",IFERROR(IF(INDEX('1RM'!F$4:F$12,MATCH($H11,'1RM'!$A$4:$A$12,0))="","",ROUND(INDEX('1RM'!F$4:F$12,MATCH($H11,'1RM'!$A$4:$A$12,0))*$I11/2.5,0)*2.5),""))</f>
        <v/>
      </c>
      <c r="P11" s="37">
        <f>IF($I11="","",IFERROR(IF(INDEX('1RM'!G$4:G$12,MATCH($H11,'1RM'!$A$4:$A$12,0))="","",ROUND(INDEX('1RM'!G$4:G$12,MATCH($H11,'1RM'!$A$4:$A$12,0))*$I11/2.5,0)*2.5),""))</f>
        <v/>
      </c>
      <c r="Q11" s="37">
        <f>IF($I11="","",IFERROR(IF(INDEX('1RM'!H$4:H$12,MATCH($H11,'1RM'!$A$4:$A$12,0))="","",ROUND(INDEX('1RM'!H$4:H$12,MATCH($H11,'1RM'!$A$4:$A$12,0))*$I11/2.5,0)*2.5),""))</f>
        <v/>
      </c>
      <c r="R11" s="37">
        <f>IF($I11="","",IFERROR(IF(INDEX('1RM'!I$4:I$12,MATCH($H11,'1RM'!$A$4:$A$12,0))="","",ROUND(INDEX('1RM'!I$4:I$12,MATCH($H11,'1RM'!$A$4:$A$12,0))*$I11/2.5,0)*2.5),""))</f>
        <v/>
      </c>
      <c r="S11" s="37">
        <f>IF($I11="","",IFERROR(IF(INDEX('1RM'!J$4:J$12,MATCH($H11,'1RM'!$A$4:$A$12,0))="","",ROUND(INDEX('1RM'!J$4:J$12,MATCH($H11,'1RM'!$A$4:$A$12,0))*$I11/2.5,0)*2.5),""))</f>
        <v/>
      </c>
      <c r="T11" s="37">
        <f>IF($I11="","",IFERROR(IF(INDEX('1RM'!K$4:K$12,MATCH($H11,'1RM'!$A$4:$A$12,0))="","",ROUND(INDEX('1RM'!K$4:K$12,MATCH($H11,'1RM'!$A$4:$A$12,0))*$I11/2.5,0)*2.5),""))</f>
        <v/>
      </c>
      <c r="U11" s="37">
        <f>IF($I11="","",IFERROR(IF(INDEX('1RM'!L$4:L$12,MATCH($H11,'1RM'!$A$4:$A$12,0))="","",ROUND(INDEX('1RM'!L$4:L$12,MATCH($H11,'1RM'!$A$4:$A$12,0))*$I11/2.5,0)*2.5),""))</f>
        <v/>
      </c>
      <c r="V11" s="37">
        <f>IF($I11="","",IFERROR(IF(INDEX('1RM'!M$4:M$12,MATCH($H11,'1RM'!$A$4:$A$12,0))="","",ROUND(INDEX('1RM'!M$4:M$12,MATCH($H11,'1RM'!$A$4:$A$12,0))*$I11/2.5,0)*2.5),""))</f>
        <v/>
      </c>
      <c r="W11" s="37">
        <f>IF($I11="","",IFERROR(IF(INDEX('1RM'!N$4:N$12,MATCH($H11,'1RM'!$A$4:$A$12,0))="","",ROUND(INDEX('1RM'!N$4:N$12,MATCH($H11,'1RM'!$A$4:$A$12,0))*$I11/2.5,0)*2.5),""))</f>
        <v/>
      </c>
      <c r="X11" s="37">
        <f>IF($I11="","",IFERROR(IF(INDEX('1RM'!O$4:O$12,MATCH($H11,'1RM'!$A$4:$A$12,0))="","",ROUND(INDEX('1RM'!O$4:O$12,MATCH($H11,'1RM'!$A$4:$A$12,0))*$I11/2.5,0)*2.5),""))</f>
        <v/>
      </c>
      <c r="Y11" s="37">
        <f>IF($I11="","",IFERROR(IF(INDEX('1RM'!P$4:P$12,MATCH($H11,'1RM'!$A$4:$A$12,0))="","",ROUND(INDEX('1RM'!P$4:P$12,MATCH($H11,'1RM'!$A$4:$A$12,0))*$I11/2.5,0)*2.5),""))</f>
        <v/>
      </c>
    </row>
    <row r="12" ht="34" customHeight="1">
      <c r="A12" s="29" t="n">
        <v>5</v>
      </c>
      <c r="B12" s="30" t="inlineStr">
        <is>
          <t>Remada alta</t>
        </is>
      </c>
      <c r="C12" s="29" t="inlineStr">
        <is>
          <t>Puxar</t>
        </is>
      </c>
      <c r="D12" s="29" t="n">
        <v>3</v>
      </c>
      <c r="E12" s="29" t="n">
        <v>8</v>
      </c>
      <c r="F12" s="29" t="n">
        <v>90</v>
      </c>
      <c r="G12" s="29" t="inlineStr">
        <is>
          <t>RIR 2</t>
        </is>
      </c>
      <c r="H12" s="29" t="inlineStr">
        <is>
          <t>—</t>
        </is>
      </c>
      <c r="I12" s="29" t="inlineStr"/>
      <c r="J12" s="32" t="inlineStr"/>
      <c r="K12" s="33">
        <f>IF($I12="","",IFERROR(IF(INDEX('1RM'!B$4:B$12,MATCH($H12,'1RM'!$A$4:$A$12,0))="","",ROUND(INDEX('1RM'!B$4:B$12,MATCH($H12,'1RM'!$A$4:$A$12,0))*$I12/2.5,0)*2.5),""))</f>
        <v/>
      </c>
      <c r="L12" s="33">
        <f>IF($I12="","",IFERROR(IF(INDEX('1RM'!C$4:C$12,MATCH($H12,'1RM'!$A$4:$A$12,0))="","",ROUND(INDEX('1RM'!C$4:C$12,MATCH($H12,'1RM'!$A$4:$A$12,0))*$I12/2.5,0)*2.5),""))</f>
        <v/>
      </c>
      <c r="M12" s="33">
        <f>IF($I12="","",IFERROR(IF(INDEX('1RM'!D$4:D$12,MATCH($H12,'1RM'!$A$4:$A$12,0))="","",ROUND(INDEX('1RM'!D$4:D$12,MATCH($H12,'1RM'!$A$4:$A$12,0))*$I12/2.5,0)*2.5),""))</f>
        <v/>
      </c>
      <c r="N12" s="33">
        <f>IF($I12="","",IFERROR(IF(INDEX('1RM'!E$4:E$12,MATCH($H12,'1RM'!$A$4:$A$12,0))="","",ROUND(INDEX('1RM'!E$4:E$12,MATCH($H12,'1RM'!$A$4:$A$12,0))*$I12/2.5,0)*2.5),""))</f>
        <v/>
      </c>
      <c r="O12" s="33">
        <f>IF($I12="","",IFERROR(IF(INDEX('1RM'!F$4:F$12,MATCH($H12,'1RM'!$A$4:$A$12,0))="","",ROUND(INDEX('1RM'!F$4:F$12,MATCH($H12,'1RM'!$A$4:$A$12,0))*$I12/2.5,0)*2.5),""))</f>
        <v/>
      </c>
      <c r="P12" s="33">
        <f>IF($I12="","",IFERROR(IF(INDEX('1RM'!G$4:G$12,MATCH($H12,'1RM'!$A$4:$A$12,0))="","",ROUND(INDEX('1RM'!G$4:G$12,MATCH($H12,'1RM'!$A$4:$A$12,0))*$I12/2.5,0)*2.5),""))</f>
        <v/>
      </c>
      <c r="Q12" s="33">
        <f>IF($I12="","",IFERROR(IF(INDEX('1RM'!H$4:H$12,MATCH($H12,'1RM'!$A$4:$A$12,0))="","",ROUND(INDEX('1RM'!H$4:H$12,MATCH($H12,'1RM'!$A$4:$A$12,0))*$I12/2.5,0)*2.5),""))</f>
        <v/>
      </c>
      <c r="R12" s="33">
        <f>IF($I12="","",IFERROR(IF(INDEX('1RM'!I$4:I$12,MATCH($H12,'1RM'!$A$4:$A$12,0))="","",ROUND(INDEX('1RM'!I$4:I$12,MATCH($H12,'1RM'!$A$4:$A$12,0))*$I12/2.5,0)*2.5),""))</f>
        <v/>
      </c>
      <c r="S12" s="33">
        <f>IF($I12="","",IFERROR(IF(INDEX('1RM'!J$4:J$12,MATCH($H12,'1RM'!$A$4:$A$12,0))="","",ROUND(INDEX('1RM'!J$4:J$12,MATCH($H12,'1RM'!$A$4:$A$12,0))*$I12/2.5,0)*2.5),""))</f>
        <v/>
      </c>
      <c r="T12" s="33">
        <f>IF($I12="","",IFERROR(IF(INDEX('1RM'!K$4:K$12,MATCH($H12,'1RM'!$A$4:$A$12,0))="","",ROUND(INDEX('1RM'!K$4:K$12,MATCH($H12,'1RM'!$A$4:$A$12,0))*$I12/2.5,0)*2.5),""))</f>
        <v/>
      </c>
      <c r="U12" s="33">
        <f>IF($I12="","",IFERROR(IF(INDEX('1RM'!L$4:L$12,MATCH($H12,'1RM'!$A$4:$A$12,0))="","",ROUND(INDEX('1RM'!L$4:L$12,MATCH($H12,'1RM'!$A$4:$A$12,0))*$I12/2.5,0)*2.5),""))</f>
        <v/>
      </c>
      <c r="V12" s="33">
        <f>IF($I12="","",IFERROR(IF(INDEX('1RM'!M$4:M$12,MATCH($H12,'1RM'!$A$4:$A$12,0))="","",ROUND(INDEX('1RM'!M$4:M$12,MATCH($H12,'1RM'!$A$4:$A$12,0))*$I12/2.5,0)*2.5),""))</f>
        <v/>
      </c>
      <c r="W12" s="33">
        <f>IF($I12="","",IFERROR(IF(INDEX('1RM'!N$4:N$12,MATCH($H12,'1RM'!$A$4:$A$12,0))="","",ROUND(INDEX('1RM'!N$4:N$12,MATCH($H12,'1RM'!$A$4:$A$12,0))*$I12/2.5,0)*2.5),""))</f>
        <v/>
      </c>
      <c r="X12" s="33">
        <f>IF($I12="","",IFERROR(IF(INDEX('1RM'!O$4:O$12,MATCH($H12,'1RM'!$A$4:$A$12,0))="","",ROUND(INDEX('1RM'!O$4:O$12,MATCH($H12,'1RM'!$A$4:$A$12,0))*$I12/2.5,0)*2.5),""))</f>
        <v/>
      </c>
      <c r="Y12" s="33">
        <f>IF($I12="","",IFERROR(IF(INDEX('1RM'!P$4:P$12,MATCH($H12,'1RM'!$A$4:$A$12,0))="","",ROUND(INDEX('1RM'!P$4:P$12,MATCH($H12,'1RM'!$A$4:$A$12,0))*$I12/2.5,0)*2.5),""))</f>
        <v/>
      </c>
    </row>
    <row r="13" ht="34" customHeight="1">
      <c r="A13" s="34" t="n">
        <v>6</v>
      </c>
      <c r="B13" s="35" t="inlineStr">
        <is>
          <t>Rotadores do ombro com elástico</t>
        </is>
      </c>
      <c r="C13" s="34" t="inlineStr">
        <is>
          <t>Ombro</t>
        </is>
      </c>
      <c r="D13" s="34" t="n">
        <v>3</v>
      </c>
      <c r="E13" s="34" t="n">
        <v>15</v>
      </c>
      <c r="F13" s="34" t="n">
        <v>60</v>
      </c>
      <c r="G13" s="34" t="inlineStr">
        <is>
          <t>RIR 3</t>
        </is>
      </c>
      <c r="H13" s="34" t="inlineStr">
        <is>
          <t>—</t>
        </is>
      </c>
      <c r="I13" s="34" t="inlineStr"/>
      <c r="J13" s="36" t="inlineStr">
        <is>
          <t>Força do estabilizador, não mobilidade. As duas coisas entram e são diferentes.</t>
        </is>
      </c>
      <c r="K13" s="37">
        <f>IF($I13="","",IFERROR(IF(INDEX('1RM'!B$4:B$12,MATCH($H13,'1RM'!$A$4:$A$12,0))="","",ROUND(INDEX('1RM'!B$4:B$12,MATCH($H13,'1RM'!$A$4:$A$12,0))*$I13/2.5,0)*2.5),""))</f>
        <v/>
      </c>
      <c r="L13" s="37">
        <f>IF($I13="","",IFERROR(IF(INDEX('1RM'!C$4:C$12,MATCH($H13,'1RM'!$A$4:$A$12,0))="","",ROUND(INDEX('1RM'!C$4:C$12,MATCH($H13,'1RM'!$A$4:$A$12,0))*$I13/2.5,0)*2.5),""))</f>
        <v/>
      </c>
      <c r="M13" s="37">
        <f>IF($I13="","",IFERROR(IF(INDEX('1RM'!D$4:D$12,MATCH($H13,'1RM'!$A$4:$A$12,0))="","",ROUND(INDEX('1RM'!D$4:D$12,MATCH($H13,'1RM'!$A$4:$A$12,0))*$I13/2.5,0)*2.5),""))</f>
        <v/>
      </c>
      <c r="N13" s="37">
        <f>IF($I13="","",IFERROR(IF(INDEX('1RM'!E$4:E$12,MATCH($H13,'1RM'!$A$4:$A$12,0))="","",ROUND(INDEX('1RM'!E$4:E$12,MATCH($H13,'1RM'!$A$4:$A$12,0))*$I13/2.5,0)*2.5),""))</f>
        <v/>
      </c>
      <c r="O13" s="37">
        <f>IF($I13="","",IFERROR(IF(INDEX('1RM'!F$4:F$12,MATCH($H13,'1RM'!$A$4:$A$12,0))="","",ROUND(INDEX('1RM'!F$4:F$12,MATCH($H13,'1RM'!$A$4:$A$12,0))*$I13/2.5,0)*2.5),""))</f>
        <v/>
      </c>
      <c r="P13" s="37">
        <f>IF($I13="","",IFERROR(IF(INDEX('1RM'!G$4:G$12,MATCH($H13,'1RM'!$A$4:$A$12,0))="","",ROUND(INDEX('1RM'!G$4:G$12,MATCH($H13,'1RM'!$A$4:$A$12,0))*$I13/2.5,0)*2.5),""))</f>
        <v/>
      </c>
      <c r="Q13" s="37">
        <f>IF($I13="","",IFERROR(IF(INDEX('1RM'!H$4:H$12,MATCH($H13,'1RM'!$A$4:$A$12,0))="","",ROUND(INDEX('1RM'!H$4:H$12,MATCH($H13,'1RM'!$A$4:$A$12,0))*$I13/2.5,0)*2.5),""))</f>
        <v/>
      </c>
      <c r="R13" s="37">
        <f>IF($I13="","",IFERROR(IF(INDEX('1RM'!I$4:I$12,MATCH($H13,'1RM'!$A$4:$A$12,0))="","",ROUND(INDEX('1RM'!I$4:I$12,MATCH($H13,'1RM'!$A$4:$A$12,0))*$I13/2.5,0)*2.5),""))</f>
        <v/>
      </c>
      <c r="S13" s="37">
        <f>IF($I13="","",IFERROR(IF(INDEX('1RM'!J$4:J$12,MATCH($H13,'1RM'!$A$4:$A$12,0))="","",ROUND(INDEX('1RM'!J$4:J$12,MATCH($H13,'1RM'!$A$4:$A$12,0))*$I13/2.5,0)*2.5),""))</f>
        <v/>
      </c>
      <c r="T13" s="37">
        <f>IF($I13="","",IFERROR(IF(INDEX('1RM'!K$4:K$12,MATCH($H13,'1RM'!$A$4:$A$12,0))="","",ROUND(INDEX('1RM'!K$4:K$12,MATCH($H13,'1RM'!$A$4:$A$12,0))*$I13/2.5,0)*2.5),""))</f>
        <v/>
      </c>
      <c r="U13" s="37">
        <f>IF($I13="","",IFERROR(IF(INDEX('1RM'!L$4:L$12,MATCH($H13,'1RM'!$A$4:$A$12,0))="","",ROUND(INDEX('1RM'!L$4:L$12,MATCH($H13,'1RM'!$A$4:$A$12,0))*$I13/2.5,0)*2.5),""))</f>
        <v/>
      </c>
      <c r="V13" s="37">
        <f>IF($I13="","",IFERROR(IF(INDEX('1RM'!M$4:M$12,MATCH($H13,'1RM'!$A$4:$A$12,0))="","",ROUND(INDEX('1RM'!M$4:M$12,MATCH($H13,'1RM'!$A$4:$A$12,0))*$I13/2.5,0)*2.5),""))</f>
        <v/>
      </c>
      <c r="W13" s="37">
        <f>IF($I13="","",IFERROR(IF(INDEX('1RM'!N$4:N$12,MATCH($H13,'1RM'!$A$4:$A$12,0))="","",ROUND(INDEX('1RM'!N$4:N$12,MATCH($H13,'1RM'!$A$4:$A$12,0))*$I13/2.5,0)*2.5),""))</f>
        <v/>
      </c>
      <c r="X13" s="37">
        <f>IF($I13="","",IFERROR(IF(INDEX('1RM'!O$4:O$12,MATCH($H13,'1RM'!$A$4:$A$12,0))="","",ROUND(INDEX('1RM'!O$4:O$12,MATCH($H13,'1RM'!$A$4:$A$12,0))*$I13/2.5,0)*2.5),""))</f>
        <v/>
      </c>
      <c r="Y13" s="37">
        <f>IF($I13="","",IFERROR(IF(INDEX('1RM'!P$4:P$12,MATCH($H13,'1RM'!$A$4:$A$12,0))="","",ROUND(INDEX('1RM'!P$4:P$12,MATCH($H13,'1RM'!$A$4:$A$12,0))*$I13/2.5,0)*2.5),""))</f>
        <v/>
      </c>
    </row>
    <row r="14" ht="34" customHeight="1">
      <c r="A14" s="29" t="n">
        <v>7</v>
      </c>
      <c r="B14" s="30" t="inlineStr">
        <is>
          <t>Y-T-W no banco inclinado</t>
        </is>
      </c>
      <c r="C14" s="29" t="inlineStr">
        <is>
          <t>Ombro</t>
        </is>
      </c>
      <c r="D14" s="29" t="n">
        <v>2</v>
      </c>
      <c r="E14" s="29" t="n">
        <v>8</v>
      </c>
      <c r="F14" s="29" t="n">
        <v>45</v>
      </c>
      <c r="G14" s="29" t="inlineStr">
        <is>
          <t>carga leve</t>
        </is>
      </c>
      <c r="H14" s="29" t="inlineStr">
        <is>
          <t>—</t>
        </is>
      </c>
      <c r="I14" s="29" t="inlineStr"/>
      <c r="J14" s="32" t="inlineStr">
        <is>
          <t>Oito de cada letra. Movimento da escápula, não do braço.</t>
        </is>
      </c>
      <c r="K14" s="33">
        <f>IF($I14="","",IFERROR(IF(INDEX('1RM'!B$4:B$12,MATCH($H14,'1RM'!$A$4:$A$12,0))="","",ROUND(INDEX('1RM'!B$4:B$12,MATCH($H14,'1RM'!$A$4:$A$12,0))*$I14/2.5,0)*2.5),""))</f>
        <v/>
      </c>
      <c r="L14" s="33">
        <f>IF($I14="","",IFERROR(IF(INDEX('1RM'!C$4:C$12,MATCH($H14,'1RM'!$A$4:$A$12,0))="","",ROUND(INDEX('1RM'!C$4:C$12,MATCH($H14,'1RM'!$A$4:$A$12,0))*$I14/2.5,0)*2.5),""))</f>
        <v/>
      </c>
      <c r="M14" s="33">
        <f>IF($I14="","",IFERROR(IF(INDEX('1RM'!D$4:D$12,MATCH($H14,'1RM'!$A$4:$A$12,0))="","",ROUND(INDEX('1RM'!D$4:D$12,MATCH($H14,'1RM'!$A$4:$A$12,0))*$I14/2.5,0)*2.5),""))</f>
        <v/>
      </c>
      <c r="N14" s="33">
        <f>IF($I14="","",IFERROR(IF(INDEX('1RM'!E$4:E$12,MATCH($H14,'1RM'!$A$4:$A$12,0))="","",ROUND(INDEX('1RM'!E$4:E$12,MATCH($H14,'1RM'!$A$4:$A$12,0))*$I14/2.5,0)*2.5),""))</f>
        <v/>
      </c>
      <c r="O14" s="33">
        <f>IF($I14="","",IFERROR(IF(INDEX('1RM'!F$4:F$12,MATCH($H14,'1RM'!$A$4:$A$12,0))="","",ROUND(INDEX('1RM'!F$4:F$12,MATCH($H14,'1RM'!$A$4:$A$12,0))*$I14/2.5,0)*2.5),""))</f>
        <v/>
      </c>
      <c r="P14" s="33">
        <f>IF($I14="","",IFERROR(IF(INDEX('1RM'!G$4:G$12,MATCH($H14,'1RM'!$A$4:$A$12,0))="","",ROUND(INDEX('1RM'!G$4:G$12,MATCH($H14,'1RM'!$A$4:$A$12,0))*$I14/2.5,0)*2.5),""))</f>
        <v/>
      </c>
      <c r="Q14" s="33">
        <f>IF($I14="","",IFERROR(IF(INDEX('1RM'!H$4:H$12,MATCH($H14,'1RM'!$A$4:$A$12,0))="","",ROUND(INDEX('1RM'!H$4:H$12,MATCH($H14,'1RM'!$A$4:$A$12,0))*$I14/2.5,0)*2.5),""))</f>
        <v/>
      </c>
      <c r="R14" s="33">
        <f>IF($I14="","",IFERROR(IF(INDEX('1RM'!I$4:I$12,MATCH($H14,'1RM'!$A$4:$A$12,0))="","",ROUND(INDEX('1RM'!I$4:I$12,MATCH($H14,'1RM'!$A$4:$A$12,0))*$I14/2.5,0)*2.5),""))</f>
        <v/>
      </c>
      <c r="S14" s="33">
        <f>IF($I14="","",IFERROR(IF(INDEX('1RM'!J$4:J$12,MATCH($H14,'1RM'!$A$4:$A$12,0))="","",ROUND(INDEX('1RM'!J$4:J$12,MATCH($H14,'1RM'!$A$4:$A$12,0))*$I14/2.5,0)*2.5),""))</f>
        <v/>
      </c>
      <c r="T14" s="33">
        <f>IF($I14="","",IFERROR(IF(INDEX('1RM'!K$4:K$12,MATCH($H14,'1RM'!$A$4:$A$12,0))="","",ROUND(INDEX('1RM'!K$4:K$12,MATCH($H14,'1RM'!$A$4:$A$12,0))*$I14/2.5,0)*2.5),""))</f>
        <v/>
      </c>
      <c r="U14" s="33">
        <f>IF($I14="","",IFERROR(IF(INDEX('1RM'!L$4:L$12,MATCH($H14,'1RM'!$A$4:$A$12,0))="","",ROUND(INDEX('1RM'!L$4:L$12,MATCH($H14,'1RM'!$A$4:$A$12,0))*$I14/2.5,0)*2.5),""))</f>
        <v/>
      </c>
      <c r="V14" s="33">
        <f>IF($I14="","",IFERROR(IF(INDEX('1RM'!M$4:M$12,MATCH($H14,'1RM'!$A$4:$A$12,0))="","",ROUND(INDEX('1RM'!M$4:M$12,MATCH($H14,'1RM'!$A$4:$A$12,0))*$I14/2.5,0)*2.5),""))</f>
        <v/>
      </c>
      <c r="W14" s="33">
        <f>IF($I14="","",IFERROR(IF(INDEX('1RM'!N$4:N$12,MATCH($H14,'1RM'!$A$4:$A$12,0))="","",ROUND(INDEX('1RM'!N$4:N$12,MATCH($H14,'1RM'!$A$4:$A$12,0))*$I14/2.5,0)*2.5),""))</f>
        <v/>
      </c>
      <c r="X14" s="33">
        <f>IF($I14="","",IFERROR(IF(INDEX('1RM'!O$4:O$12,MATCH($H14,'1RM'!$A$4:$A$12,0))="","",ROUND(INDEX('1RM'!O$4:O$12,MATCH($H14,'1RM'!$A$4:$A$12,0))*$I14/2.5,0)*2.5),""))</f>
        <v/>
      </c>
      <c r="Y14" s="33">
        <f>IF($I14="","",IFERROR(IF(INDEX('1RM'!P$4:P$12,MATCH($H14,'1RM'!$A$4:$A$12,0))="","",ROUND(INDEX('1RM'!P$4:P$12,MATCH($H14,'1RM'!$A$4:$A$12,0))*$I14/2.5,0)*2.5),""))</f>
        <v/>
      </c>
    </row>
    <row r="15" ht="34" customHeight="1">
      <c r="A15" s="34" t="n">
        <v>8</v>
      </c>
      <c r="B15" s="35" t="inlineStr">
        <is>
          <t>Prancha lateral com elevação de quadril</t>
        </is>
      </c>
      <c r="C15" s="34" t="inlineStr">
        <is>
          <t>Core</t>
        </is>
      </c>
      <c r="D15" s="34" t="n">
        <v>3</v>
      </c>
      <c r="E15" s="34" t="n">
        <v>10</v>
      </c>
      <c r="F15" s="34" t="n">
        <v>45</v>
      </c>
      <c r="G15" s="34" t="inlineStr">
        <is>
          <t>peso do corpo</t>
        </is>
      </c>
      <c r="H15" s="34" t="inlineStr">
        <is>
          <t>—</t>
        </is>
      </c>
      <c r="I15" s="34" t="inlineStr"/>
      <c r="J15" s="36" t="inlineStr">
        <is>
          <t>Dez de cada lado.</t>
        </is>
      </c>
      <c r="K15" s="37">
        <f>IF($I15="","",IFERROR(IF(INDEX('1RM'!B$4:B$12,MATCH($H15,'1RM'!$A$4:$A$12,0))="","",ROUND(INDEX('1RM'!B$4:B$12,MATCH($H15,'1RM'!$A$4:$A$12,0))*$I15/2.5,0)*2.5),""))</f>
        <v/>
      </c>
      <c r="L15" s="37">
        <f>IF($I15="","",IFERROR(IF(INDEX('1RM'!C$4:C$12,MATCH($H15,'1RM'!$A$4:$A$12,0))="","",ROUND(INDEX('1RM'!C$4:C$12,MATCH($H15,'1RM'!$A$4:$A$12,0))*$I15/2.5,0)*2.5),""))</f>
        <v/>
      </c>
      <c r="M15" s="37">
        <f>IF($I15="","",IFERROR(IF(INDEX('1RM'!D$4:D$12,MATCH($H15,'1RM'!$A$4:$A$12,0))="","",ROUND(INDEX('1RM'!D$4:D$12,MATCH($H15,'1RM'!$A$4:$A$12,0))*$I15/2.5,0)*2.5),""))</f>
        <v/>
      </c>
      <c r="N15" s="37">
        <f>IF($I15="","",IFERROR(IF(INDEX('1RM'!E$4:E$12,MATCH($H15,'1RM'!$A$4:$A$12,0))="","",ROUND(INDEX('1RM'!E$4:E$12,MATCH($H15,'1RM'!$A$4:$A$12,0))*$I15/2.5,0)*2.5),""))</f>
        <v/>
      </c>
      <c r="O15" s="37">
        <f>IF($I15="","",IFERROR(IF(INDEX('1RM'!F$4:F$12,MATCH($H15,'1RM'!$A$4:$A$12,0))="","",ROUND(INDEX('1RM'!F$4:F$12,MATCH($H15,'1RM'!$A$4:$A$12,0))*$I15/2.5,0)*2.5),""))</f>
        <v/>
      </c>
      <c r="P15" s="37">
        <f>IF($I15="","",IFERROR(IF(INDEX('1RM'!G$4:G$12,MATCH($H15,'1RM'!$A$4:$A$12,0))="","",ROUND(INDEX('1RM'!G$4:G$12,MATCH($H15,'1RM'!$A$4:$A$12,0))*$I15/2.5,0)*2.5),""))</f>
        <v/>
      </c>
      <c r="Q15" s="37">
        <f>IF($I15="","",IFERROR(IF(INDEX('1RM'!H$4:H$12,MATCH($H15,'1RM'!$A$4:$A$12,0))="","",ROUND(INDEX('1RM'!H$4:H$12,MATCH($H15,'1RM'!$A$4:$A$12,0))*$I15/2.5,0)*2.5),""))</f>
        <v/>
      </c>
      <c r="R15" s="37">
        <f>IF($I15="","",IFERROR(IF(INDEX('1RM'!I$4:I$12,MATCH($H15,'1RM'!$A$4:$A$12,0))="","",ROUND(INDEX('1RM'!I$4:I$12,MATCH($H15,'1RM'!$A$4:$A$12,0))*$I15/2.5,0)*2.5),""))</f>
        <v/>
      </c>
      <c r="S15" s="37">
        <f>IF($I15="","",IFERROR(IF(INDEX('1RM'!J$4:J$12,MATCH($H15,'1RM'!$A$4:$A$12,0))="","",ROUND(INDEX('1RM'!J$4:J$12,MATCH($H15,'1RM'!$A$4:$A$12,0))*$I15/2.5,0)*2.5),""))</f>
        <v/>
      </c>
      <c r="T15" s="37">
        <f>IF($I15="","",IFERROR(IF(INDEX('1RM'!K$4:K$12,MATCH($H15,'1RM'!$A$4:$A$12,0))="","",ROUND(INDEX('1RM'!K$4:K$12,MATCH($H15,'1RM'!$A$4:$A$12,0))*$I15/2.5,0)*2.5),""))</f>
        <v/>
      </c>
      <c r="U15" s="37">
        <f>IF($I15="","",IFERROR(IF(INDEX('1RM'!L$4:L$12,MATCH($H15,'1RM'!$A$4:$A$12,0))="","",ROUND(INDEX('1RM'!L$4:L$12,MATCH($H15,'1RM'!$A$4:$A$12,0))*$I15/2.5,0)*2.5),""))</f>
        <v/>
      </c>
      <c r="V15" s="37">
        <f>IF($I15="","",IFERROR(IF(INDEX('1RM'!M$4:M$12,MATCH($H15,'1RM'!$A$4:$A$12,0))="","",ROUND(INDEX('1RM'!M$4:M$12,MATCH($H15,'1RM'!$A$4:$A$12,0))*$I15/2.5,0)*2.5),""))</f>
        <v/>
      </c>
      <c r="W15" s="37">
        <f>IF($I15="","",IFERROR(IF(INDEX('1RM'!N$4:N$12,MATCH($H15,'1RM'!$A$4:$A$12,0))="","",ROUND(INDEX('1RM'!N$4:N$12,MATCH($H15,'1RM'!$A$4:$A$12,0))*$I15/2.5,0)*2.5),""))</f>
        <v/>
      </c>
      <c r="X15" s="37">
        <f>IF($I15="","",IFERROR(IF(INDEX('1RM'!O$4:O$12,MATCH($H15,'1RM'!$A$4:$A$12,0))="","",ROUND(INDEX('1RM'!O$4:O$12,MATCH($H15,'1RM'!$A$4:$A$12,0))*$I15/2.5,0)*2.5),""))</f>
        <v/>
      </c>
      <c r="Y15" s="37">
        <f>IF($I15="","",IFERROR(IF(INDEX('1RM'!P$4:P$12,MATCH($H15,'1RM'!$A$4:$A$12,0))="","",ROUND(INDEX('1RM'!P$4:P$12,MATCH($H15,'1RM'!$A$4:$A$12,0))*$I15/2.5,0)*2.5),""))</f>
        <v/>
      </c>
    </row>
    <row r="17">
      <c r="A17" s="24" t="inlineStr">
        <is>
          <t>Regra da sessão</t>
        </is>
      </c>
    </row>
    <row r="18">
      <c r="A18" s="21" t="inlineStr">
        <is>
          <t>A coluna de cada atleta é o quilo que sai do 1RM dele, já arredondado à anilha. Em branco = falta o 1RM daquele exercício na aba 1RM.</t>
        </is>
      </c>
    </row>
    <row r="19">
      <c r="A19" s="21" t="inlineStr">
        <is>
          <t>"RIR 2" é repetições na reserva: terminar a série com duas que ainda sairiam com técnica limpa. Não é ir até a falha.</t>
        </is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Y18"/>
  <sheetViews>
    <sheetView showGridLines="0" workbookViewId="0">
      <pane xSplit="10" ySplit="7" topLeftCell="K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1" customWidth="1" min="3" max="3"/>
    <col width="7" customWidth="1" min="4" max="4"/>
    <col width="6" customWidth="1" min="5" max="5"/>
    <col width="9" customWidth="1" min="6" max="6"/>
    <col width="11" customWidth="1" min="7" max="7"/>
    <col width="17" customWidth="1" min="8" max="8"/>
    <col width="7" customWidth="1" min="9" max="9"/>
    <col width="4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25" t="inlineStr">
        <is>
          <t>ELASE VOLEIBOL · MASCULINO ADULTO · SEMANA DO JOGO</t>
        </is>
      </c>
    </row>
    <row r="2">
      <c r="A2" s="22" t="inlineStr">
        <is>
          <t>QUARTA 14/10  ·  POTÊNCIA 1 · completa</t>
        </is>
      </c>
    </row>
    <row r="3">
      <c r="A3" s="2" t="inlineStr">
        <is>
          <t>A virada do bloco. Percentual cai, velocidade manda — e entram os contatos pliométricos da semana.</t>
        </is>
      </c>
    </row>
    <row r="5">
      <c r="A5" s="26" t="inlineStr">
        <is>
          <t>Séries</t>
        </is>
      </c>
      <c r="C5" s="26" t="inlineStr">
        <is>
          <t>Duração estimada</t>
        </is>
      </c>
      <c r="E5" s="26" t="inlineStr">
        <is>
          <t>Contatos pliométricos</t>
        </is>
      </c>
    </row>
    <row r="6">
      <c r="A6" s="27">
        <f>SUM(D8:D14)</f>
        <v/>
      </c>
      <c r="C6" s="28">
        <f>ROUND(SUMPRODUCT($D$8:$D$14,($F$8:$F$14+$E$8:$E$14*4))/60,0)</f>
        <v/>
      </c>
      <c r="E6" s="27">
        <f>SUMPRODUCT(--($C$8:$C$14="Pliometria"),$D$8:$D$14,$E$8:$E$14)</f>
        <v/>
      </c>
    </row>
    <row r="7">
      <c r="A7" s="4" t="inlineStr">
        <is>
          <t>#</t>
        </is>
      </c>
      <c r="B7" s="4" t="inlineStr">
        <is>
          <t>Exercício</t>
        </is>
      </c>
      <c r="C7" s="4" t="inlineStr">
        <is>
          <t>Padrão</t>
        </is>
      </c>
      <c r="D7" s="4" t="inlineStr">
        <is>
          <t>Séries</t>
        </is>
      </c>
      <c r="E7" s="4" t="inlineStr">
        <is>
          <t>Reps</t>
        </is>
      </c>
      <c r="F7" s="4" t="inlineStr">
        <is>
          <t>Pausa (s)</t>
        </is>
      </c>
      <c r="G7" s="4" t="inlineStr">
        <is>
          <t>Carga</t>
        </is>
      </c>
      <c r="H7" s="4" t="inlineStr">
        <is>
          <t>Ref. de 1RM</t>
        </is>
      </c>
      <c r="I7" s="4" t="inlineStr">
        <is>
          <t>%</t>
        </is>
      </c>
      <c r="J7" s="4" t="inlineStr">
        <is>
          <t>Observação</t>
        </is>
      </c>
      <c r="K7" s="4">
        <f>IF('1RM'!B$3="","",'1RM'!B$3)</f>
        <v/>
      </c>
      <c r="L7" s="4">
        <f>IF('1RM'!C$3="","",'1RM'!C$3)</f>
        <v/>
      </c>
      <c r="M7" s="4">
        <f>IF('1RM'!D$3="","",'1RM'!D$3)</f>
        <v/>
      </c>
      <c r="N7" s="4">
        <f>IF('1RM'!E$3="","",'1RM'!E$3)</f>
        <v/>
      </c>
      <c r="O7" s="4">
        <f>IF('1RM'!F$3="","",'1RM'!F$3)</f>
        <v/>
      </c>
      <c r="P7" s="4">
        <f>IF('1RM'!G$3="","",'1RM'!G$3)</f>
        <v/>
      </c>
      <c r="Q7" s="4">
        <f>IF('1RM'!H$3="","",'1RM'!H$3)</f>
        <v/>
      </c>
      <c r="R7" s="4">
        <f>IF('1RM'!I$3="","",'1RM'!I$3)</f>
        <v/>
      </c>
      <c r="S7" s="4">
        <f>IF('1RM'!J$3="","",'1RM'!J$3)</f>
        <v/>
      </c>
      <c r="T7" s="4">
        <f>IF('1RM'!K$3="","",'1RM'!K$3)</f>
        <v/>
      </c>
      <c r="U7" s="4">
        <f>IF('1RM'!L$3="","",'1RM'!L$3)</f>
        <v/>
      </c>
      <c r="V7" s="4">
        <f>IF('1RM'!M$3="","",'1RM'!M$3)</f>
        <v/>
      </c>
      <c r="W7" s="4">
        <f>IF('1RM'!N$3="","",'1RM'!N$3)</f>
        <v/>
      </c>
      <c r="X7" s="4">
        <f>IF('1RM'!O$3="","",'1RM'!O$3)</f>
        <v/>
      </c>
      <c r="Y7" s="4">
        <f>IF('1RM'!P$3="","",'1RM'!P$3)</f>
        <v/>
      </c>
    </row>
    <row r="8" ht="34" customHeight="1">
      <c r="A8" s="29" t="n">
        <v>1</v>
      </c>
      <c r="B8" s="30" t="inlineStr">
        <is>
          <t>Clean</t>
        </is>
      </c>
      <c r="C8" s="29" t="inlineStr">
        <is>
          <t>LPO</t>
        </is>
      </c>
      <c r="D8" s="29" t="n">
        <v>5</v>
      </c>
      <c r="E8" s="29" t="n">
        <v>2</v>
      </c>
      <c r="F8" s="29" t="n">
        <v>180</v>
      </c>
      <c r="G8" s="29" t="inlineStr">
        <is>
          <t>80%</t>
        </is>
      </c>
      <c r="H8" s="29" t="inlineStr">
        <is>
          <t>Clean</t>
        </is>
      </c>
      <c r="I8" s="31" t="n">
        <v>0.8</v>
      </c>
      <c r="J8" s="32" t="inlineStr">
        <is>
          <t>Velocidade da barra manda. Se cair, a série acabou — mesmo que sobre repetição.</t>
        </is>
      </c>
      <c r="K8" s="33">
        <f>IF($I8="","",IFERROR(IF(INDEX('1RM'!B$4:B$12,MATCH($H8,'1RM'!$A$4:$A$12,0))="","",ROUND(INDEX('1RM'!B$4:B$12,MATCH($H8,'1RM'!$A$4:$A$12,0))*$I8/2.5,0)*2.5),""))</f>
        <v/>
      </c>
      <c r="L8" s="33">
        <f>IF($I8="","",IFERROR(IF(INDEX('1RM'!C$4:C$12,MATCH($H8,'1RM'!$A$4:$A$12,0))="","",ROUND(INDEX('1RM'!C$4:C$12,MATCH($H8,'1RM'!$A$4:$A$12,0))*$I8/2.5,0)*2.5),""))</f>
        <v/>
      </c>
      <c r="M8" s="33">
        <f>IF($I8="","",IFERROR(IF(INDEX('1RM'!D$4:D$12,MATCH($H8,'1RM'!$A$4:$A$12,0))="","",ROUND(INDEX('1RM'!D$4:D$12,MATCH($H8,'1RM'!$A$4:$A$12,0))*$I8/2.5,0)*2.5),""))</f>
        <v/>
      </c>
      <c r="N8" s="33">
        <f>IF($I8="","",IFERROR(IF(INDEX('1RM'!E$4:E$12,MATCH($H8,'1RM'!$A$4:$A$12,0))="","",ROUND(INDEX('1RM'!E$4:E$12,MATCH($H8,'1RM'!$A$4:$A$12,0))*$I8/2.5,0)*2.5),""))</f>
        <v/>
      </c>
      <c r="O8" s="33">
        <f>IF($I8="","",IFERROR(IF(INDEX('1RM'!F$4:F$12,MATCH($H8,'1RM'!$A$4:$A$12,0))="","",ROUND(INDEX('1RM'!F$4:F$12,MATCH($H8,'1RM'!$A$4:$A$12,0))*$I8/2.5,0)*2.5),""))</f>
        <v/>
      </c>
      <c r="P8" s="33">
        <f>IF($I8="","",IFERROR(IF(INDEX('1RM'!G$4:G$12,MATCH($H8,'1RM'!$A$4:$A$12,0))="","",ROUND(INDEX('1RM'!G$4:G$12,MATCH($H8,'1RM'!$A$4:$A$12,0))*$I8/2.5,0)*2.5),""))</f>
        <v/>
      </c>
      <c r="Q8" s="33">
        <f>IF($I8="","",IFERROR(IF(INDEX('1RM'!H$4:H$12,MATCH($H8,'1RM'!$A$4:$A$12,0))="","",ROUND(INDEX('1RM'!H$4:H$12,MATCH($H8,'1RM'!$A$4:$A$12,0))*$I8/2.5,0)*2.5),""))</f>
        <v/>
      </c>
      <c r="R8" s="33">
        <f>IF($I8="","",IFERROR(IF(INDEX('1RM'!I$4:I$12,MATCH($H8,'1RM'!$A$4:$A$12,0))="","",ROUND(INDEX('1RM'!I$4:I$12,MATCH($H8,'1RM'!$A$4:$A$12,0))*$I8/2.5,0)*2.5),""))</f>
        <v/>
      </c>
      <c r="S8" s="33">
        <f>IF($I8="","",IFERROR(IF(INDEX('1RM'!J$4:J$12,MATCH($H8,'1RM'!$A$4:$A$12,0))="","",ROUND(INDEX('1RM'!J$4:J$12,MATCH($H8,'1RM'!$A$4:$A$12,0))*$I8/2.5,0)*2.5),""))</f>
        <v/>
      </c>
      <c r="T8" s="33">
        <f>IF($I8="","",IFERROR(IF(INDEX('1RM'!K$4:K$12,MATCH($H8,'1RM'!$A$4:$A$12,0))="","",ROUND(INDEX('1RM'!K$4:K$12,MATCH($H8,'1RM'!$A$4:$A$12,0))*$I8/2.5,0)*2.5),""))</f>
        <v/>
      </c>
      <c r="U8" s="33">
        <f>IF($I8="","",IFERROR(IF(INDEX('1RM'!L$4:L$12,MATCH($H8,'1RM'!$A$4:$A$12,0))="","",ROUND(INDEX('1RM'!L$4:L$12,MATCH($H8,'1RM'!$A$4:$A$12,0))*$I8/2.5,0)*2.5),""))</f>
        <v/>
      </c>
      <c r="V8" s="33">
        <f>IF($I8="","",IFERROR(IF(INDEX('1RM'!M$4:M$12,MATCH($H8,'1RM'!$A$4:$A$12,0))="","",ROUND(INDEX('1RM'!M$4:M$12,MATCH($H8,'1RM'!$A$4:$A$12,0))*$I8/2.5,0)*2.5),""))</f>
        <v/>
      </c>
      <c r="W8" s="33">
        <f>IF($I8="","",IFERROR(IF(INDEX('1RM'!N$4:N$12,MATCH($H8,'1RM'!$A$4:$A$12,0))="","",ROUND(INDEX('1RM'!N$4:N$12,MATCH($H8,'1RM'!$A$4:$A$12,0))*$I8/2.5,0)*2.5),""))</f>
        <v/>
      </c>
      <c r="X8" s="33">
        <f>IF($I8="","",IFERROR(IF(INDEX('1RM'!O$4:O$12,MATCH($H8,'1RM'!$A$4:$A$12,0))="","",ROUND(INDEX('1RM'!O$4:O$12,MATCH($H8,'1RM'!$A$4:$A$12,0))*$I8/2.5,0)*2.5),""))</f>
        <v/>
      </c>
      <c r="Y8" s="33">
        <f>IF($I8="","",IFERROR(IF(INDEX('1RM'!P$4:P$12,MATCH($H8,'1RM'!$A$4:$A$12,0))="","",ROUND(INDEX('1RM'!P$4:P$12,MATCH($H8,'1RM'!$A$4:$A$12,0))*$I8/2.5,0)*2.5),""))</f>
        <v/>
      </c>
    </row>
    <row r="9" ht="34" customHeight="1">
      <c r="A9" s="34" t="n">
        <v>2</v>
      </c>
      <c r="B9" s="35" t="inlineStr">
        <is>
          <t>Snatch pull / Hang high pull</t>
        </is>
      </c>
      <c r="C9" s="34" t="inlineStr">
        <is>
          <t>LPO</t>
        </is>
      </c>
      <c r="D9" s="34" t="n">
        <v>3</v>
      </c>
      <c r="E9" s="34" t="n">
        <v>3</v>
      </c>
      <c r="F9" s="34" t="n">
        <v>150</v>
      </c>
      <c r="G9" s="34" t="inlineStr">
        <is>
          <t>90%</t>
        </is>
      </c>
      <c r="H9" s="34" t="inlineStr">
        <is>
          <t>Clean pull</t>
        </is>
      </c>
      <c r="I9" s="38" t="n">
        <v>0.9</v>
      </c>
      <c r="J9" s="36" t="inlineStr">
        <is>
          <t>Puxada alta: a parte do arranco que aguenta mais carga.</t>
        </is>
      </c>
      <c r="K9" s="37">
        <f>IF($I9="","",IFERROR(IF(INDEX('1RM'!B$4:B$12,MATCH($H9,'1RM'!$A$4:$A$12,0))="","",ROUND(INDEX('1RM'!B$4:B$12,MATCH($H9,'1RM'!$A$4:$A$12,0))*$I9/2.5,0)*2.5),""))</f>
        <v/>
      </c>
      <c r="L9" s="37">
        <f>IF($I9="","",IFERROR(IF(INDEX('1RM'!C$4:C$12,MATCH($H9,'1RM'!$A$4:$A$12,0))="","",ROUND(INDEX('1RM'!C$4:C$12,MATCH($H9,'1RM'!$A$4:$A$12,0))*$I9/2.5,0)*2.5),""))</f>
        <v/>
      </c>
      <c r="M9" s="37">
        <f>IF($I9="","",IFERROR(IF(INDEX('1RM'!D$4:D$12,MATCH($H9,'1RM'!$A$4:$A$12,0))="","",ROUND(INDEX('1RM'!D$4:D$12,MATCH($H9,'1RM'!$A$4:$A$12,0))*$I9/2.5,0)*2.5),""))</f>
        <v/>
      </c>
      <c r="N9" s="37">
        <f>IF($I9="","",IFERROR(IF(INDEX('1RM'!E$4:E$12,MATCH($H9,'1RM'!$A$4:$A$12,0))="","",ROUND(INDEX('1RM'!E$4:E$12,MATCH($H9,'1RM'!$A$4:$A$12,0))*$I9/2.5,0)*2.5),""))</f>
        <v/>
      </c>
      <c r="O9" s="37">
        <f>IF($I9="","",IFERROR(IF(INDEX('1RM'!F$4:F$12,MATCH($H9,'1RM'!$A$4:$A$12,0))="","",ROUND(INDEX('1RM'!F$4:F$12,MATCH($H9,'1RM'!$A$4:$A$12,0))*$I9/2.5,0)*2.5),""))</f>
        <v/>
      </c>
      <c r="P9" s="37">
        <f>IF($I9="","",IFERROR(IF(INDEX('1RM'!G$4:G$12,MATCH($H9,'1RM'!$A$4:$A$12,0))="","",ROUND(INDEX('1RM'!G$4:G$12,MATCH($H9,'1RM'!$A$4:$A$12,0))*$I9/2.5,0)*2.5),""))</f>
        <v/>
      </c>
      <c r="Q9" s="37">
        <f>IF($I9="","",IFERROR(IF(INDEX('1RM'!H$4:H$12,MATCH($H9,'1RM'!$A$4:$A$12,0))="","",ROUND(INDEX('1RM'!H$4:H$12,MATCH($H9,'1RM'!$A$4:$A$12,0))*$I9/2.5,0)*2.5),""))</f>
        <v/>
      </c>
      <c r="R9" s="37">
        <f>IF($I9="","",IFERROR(IF(INDEX('1RM'!I$4:I$12,MATCH($H9,'1RM'!$A$4:$A$12,0))="","",ROUND(INDEX('1RM'!I$4:I$12,MATCH($H9,'1RM'!$A$4:$A$12,0))*$I9/2.5,0)*2.5),""))</f>
        <v/>
      </c>
      <c r="S9" s="37">
        <f>IF($I9="","",IFERROR(IF(INDEX('1RM'!J$4:J$12,MATCH($H9,'1RM'!$A$4:$A$12,0))="","",ROUND(INDEX('1RM'!J$4:J$12,MATCH($H9,'1RM'!$A$4:$A$12,0))*$I9/2.5,0)*2.5),""))</f>
        <v/>
      </c>
      <c r="T9" s="37">
        <f>IF($I9="","",IFERROR(IF(INDEX('1RM'!K$4:K$12,MATCH($H9,'1RM'!$A$4:$A$12,0))="","",ROUND(INDEX('1RM'!K$4:K$12,MATCH($H9,'1RM'!$A$4:$A$12,0))*$I9/2.5,0)*2.5),""))</f>
        <v/>
      </c>
      <c r="U9" s="37">
        <f>IF($I9="","",IFERROR(IF(INDEX('1RM'!L$4:L$12,MATCH($H9,'1RM'!$A$4:$A$12,0))="","",ROUND(INDEX('1RM'!L$4:L$12,MATCH($H9,'1RM'!$A$4:$A$12,0))*$I9/2.5,0)*2.5),""))</f>
        <v/>
      </c>
      <c r="V9" s="37">
        <f>IF($I9="","",IFERROR(IF(INDEX('1RM'!M$4:M$12,MATCH($H9,'1RM'!$A$4:$A$12,0))="","",ROUND(INDEX('1RM'!M$4:M$12,MATCH($H9,'1RM'!$A$4:$A$12,0))*$I9/2.5,0)*2.5),""))</f>
        <v/>
      </c>
      <c r="W9" s="37">
        <f>IF($I9="","",IFERROR(IF(INDEX('1RM'!N$4:N$12,MATCH($H9,'1RM'!$A$4:$A$12,0))="","",ROUND(INDEX('1RM'!N$4:N$12,MATCH($H9,'1RM'!$A$4:$A$12,0))*$I9/2.5,0)*2.5),""))</f>
        <v/>
      </c>
      <c r="X9" s="37">
        <f>IF($I9="","",IFERROR(IF(INDEX('1RM'!O$4:O$12,MATCH($H9,'1RM'!$A$4:$A$12,0))="","",ROUND(INDEX('1RM'!O$4:O$12,MATCH($H9,'1RM'!$A$4:$A$12,0))*$I9/2.5,0)*2.5),""))</f>
        <v/>
      </c>
      <c r="Y9" s="37">
        <f>IF($I9="","",IFERROR(IF(INDEX('1RM'!P$4:P$12,MATCH($H9,'1RM'!$A$4:$A$12,0))="","",ROUND(INDEX('1RM'!P$4:P$12,MATCH($H9,'1RM'!$A$4:$A$12,0))*$I9/2.5,0)*2.5),""))</f>
        <v/>
      </c>
    </row>
    <row r="10" ht="34" customHeight="1">
      <c r="A10" s="29" t="n">
        <v>3</v>
      </c>
      <c r="B10" s="30" t="inlineStr">
        <is>
          <t>Agachamento com salto sob carga (jump squat)</t>
        </is>
      </c>
      <c r="C10" s="29" t="inlineStr">
        <is>
          <t>Potência</t>
        </is>
      </c>
      <c r="D10" s="29" t="n">
        <v>4</v>
      </c>
      <c r="E10" s="29" t="n">
        <v>4</v>
      </c>
      <c r="F10" s="29" t="n">
        <v>180</v>
      </c>
      <c r="G10" s="29" t="inlineStr">
        <is>
          <t>25%</t>
        </is>
      </c>
      <c r="H10" s="29" t="inlineStr">
        <is>
          <t>Agachamento</t>
        </is>
      </c>
      <c r="I10" s="31" t="n">
        <v>0.25</v>
      </c>
      <c r="J10" s="32" t="inlineStr">
        <is>
          <t>Acima de 1,0 m/s. Carga leve de propósito: aqui se treina velocidade, não força.</t>
        </is>
      </c>
      <c r="K10" s="33">
        <f>IF($I10="","",IFERROR(IF(INDEX('1RM'!B$4:B$12,MATCH($H10,'1RM'!$A$4:$A$12,0))="","",ROUND(INDEX('1RM'!B$4:B$12,MATCH($H10,'1RM'!$A$4:$A$12,0))*$I10/2.5,0)*2.5),""))</f>
        <v/>
      </c>
      <c r="L10" s="33">
        <f>IF($I10="","",IFERROR(IF(INDEX('1RM'!C$4:C$12,MATCH($H10,'1RM'!$A$4:$A$12,0))="","",ROUND(INDEX('1RM'!C$4:C$12,MATCH($H10,'1RM'!$A$4:$A$12,0))*$I10/2.5,0)*2.5),""))</f>
        <v/>
      </c>
      <c r="M10" s="33">
        <f>IF($I10="","",IFERROR(IF(INDEX('1RM'!D$4:D$12,MATCH($H10,'1RM'!$A$4:$A$12,0))="","",ROUND(INDEX('1RM'!D$4:D$12,MATCH($H10,'1RM'!$A$4:$A$12,0))*$I10/2.5,0)*2.5),""))</f>
        <v/>
      </c>
      <c r="N10" s="33">
        <f>IF($I10="","",IFERROR(IF(INDEX('1RM'!E$4:E$12,MATCH($H10,'1RM'!$A$4:$A$12,0))="","",ROUND(INDEX('1RM'!E$4:E$12,MATCH($H10,'1RM'!$A$4:$A$12,0))*$I10/2.5,0)*2.5),""))</f>
        <v/>
      </c>
      <c r="O10" s="33">
        <f>IF($I10="","",IFERROR(IF(INDEX('1RM'!F$4:F$12,MATCH($H10,'1RM'!$A$4:$A$12,0))="","",ROUND(INDEX('1RM'!F$4:F$12,MATCH($H10,'1RM'!$A$4:$A$12,0))*$I10/2.5,0)*2.5),""))</f>
        <v/>
      </c>
      <c r="P10" s="33">
        <f>IF($I10="","",IFERROR(IF(INDEX('1RM'!G$4:G$12,MATCH($H10,'1RM'!$A$4:$A$12,0))="","",ROUND(INDEX('1RM'!G$4:G$12,MATCH($H10,'1RM'!$A$4:$A$12,0))*$I10/2.5,0)*2.5),""))</f>
        <v/>
      </c>
      <c r="Q10" s="33">
        <f>IF($I10="","",IFERROR(IF(INDEX('1RM'!H$4:H$12,MATCH($H10,'1RM'!$A$4:$A$12,0))="","",ROUND(INDEX('1RM'!H$4:H$12,MATCH($H10,'1RM'!$A$4:$A$12,0))*$I10/2.5,0)*2.5),""))</f>
        <v/>
      </c>
      <c r="R10" s="33">
        <f>IF($I10="","",IFERROR(IF(INDEX('1RM'!I$4:I$12,MATCH($H10,'1RM'!$A$4:$A$12,0))="","",ROUND(INDEX('1RM'!I$4:I$12,MATCH($H10,'1RM'!$A$4:$A$12,0))*$I10/2.5,0)*2.5),""))</f>
        <v/>
      </c>
      <c r="S10" s="33">
        <f>IF($I10="","",IFERROR(IF(INDEX('1RM'!J$4:J$12,MATCH($H10,'1RM'!$A$4:$A$12,0))="","",ROUND(INDEX('1RM'!J$4:J$12,MATCH($H10,'1RM'!$A$4:$A$12,0))*$I10/2.5,0)*2.5),""))</f>
        <v/>
      </c>
      <c r="T10" s="33">
        <f>IF($I10="","",IFERROR(IF(INDEX('1RM'!K$4:K$12,MATCH($H10,'1RM'!$A$4:$A$12,0))="","",ROUND(INDEX('1RM'!K$4:K$12,MATCH($H10,'1RM'!$A$4:$A$12,0))*$I10/2.5,0)*2.5),""))</f>
        <v/>
      </c>
      <c r="U10" s="33">
        <f>IF($I10="","",IFERROR(IF(INDEX('1RM'!L$4:L$12,MATCH($H10,'1RM'!$A$4:$A$12,0))="","",ROUND(INDEX('1RM'!L$4:L$12,MATCH($H10,'1RM'!$A$4:$A$12,0))*$I10/2.5,0)*2.5),""))</f>
        <v/>
      </c>
      <c r="V10" s="33">
        <f>IF($I10="","",IFERROR(IF(INDEX('1RM'!M$4:M$12,MATCH($H10,'1RM'!$A$4:$A$12,0))="","",ROUND(INDEX('1RM'!M$4:M$12,MATCH($H10,'1RM'!$A$4:$A$12,0))*$I10/2.5,0)*2.5),""))</f>
        <v/>
      </c>
      <c r="W10" s="33">
        <f>IF($I10="","",IFERROR(IF(INDEX('1RM'!N$4:N$12,MATCH($H10,'1RM'!$A$4:$A$12,0))="","",ROUND(INDEX('1RM'!N$4:N$12,MATCH($H10,'1RM'!$A$4:$A$12,0))*$I10/2.5,0)*2.5),""))</f>
        <v/>
      </c>
      <c r="X10" s="33">
        <f>IF($I10="","",IFERROR(IF(INDEX('1RM'!O$4:O$12,MATCH($H10,'1RM'!$A$4:$A$12,0))="","",ROUND(INDEX('1RM'!O$4:O$12,MATCH($H10,'1RM'!$A$4:$A$12,0))*$I10/2.5,0)*2.5),""))</f>
        <v/>
      </c>
      <c r="Y10" s="33">
        <f>IF($I10="","",IFERROR(IF(INDEX('1RM'!P$4:P$12,MATCH($H10,'1RM'!$A$4:$A$12,0))="","",ROUND(INDEX('1RM'!P$4:P$12,MATCH($H10,'1RM'!$A$4:$A$12,0))*$I10/2.5,0)*2.5),""))</f>
        <v/>
      </c>
    </row>
    <row r="11" ht="34" customHeight="1">
      <c r="A11" s="34" t="n">
        <v>4</v>
      </c>
      <c r="B11" s="35" t="inlineStr">
        <is>
          <t>Supino com a barra partindo do peito</t>
        </is>
      </c>
      <c r="C11" s="34" t="inlineStr">
        <is>
          <t>Potência</t>
        </is>
      </c>
      <c r="D11" s="34" t="n">
        <v>4</v>
      </c>
      <c r="E11" s="34" t="n">
        <v>3</v>
      </c>
      <c r="F11" s="34" t="n">
        <v>150</v>
      </c>
      <c r="G11" s="34" t="inlineStr">
        <is>
          <t>55%</t>
        </is>
      </c>
      <c r="H11" s="34" t="inlineStr">
        <is>
          <t>Supino</t>
        </is>
      </c>
      <c r="I11" s="38" t="n">
        <v>0.55</v>
      </c>
      <c r="J11" s="36" t="inlineStr">
        <is>
          <t>A barra sai PARADA do peito e vai na maior velocidade possível. Sem quique.</t>
        </is>
      </c>
      <c r="K11" s="37">
        <f>IF($I11="","",IFERROR(IF(INDEX('1RM'!B$4:B$12,MATCH($H11,'1RM'!$A$4:$A$12,0))="","",ROUND(INDEX('1RM'!B$4:B$12,MATCH($H11,'1RM'!$A$4:$A$12,0))*$I11/2.5,0)*2.5),""))</f>
        <v/>
      </c>
      <c r="L11" s="37">
        <f>IF($I11="","",IFERROR(IF(INDEX('1RM'!C$4:C$12,MATCH($H11,'1RM'!$A$4:$A$12,0))="","",ROUND(INDEX('1RM'!C$4:C$12,MATCH($H11,'1RM'!$A$4:$A$12,0))*$I11/2.5,0)*2.5),""))</f>
        <v/>
      </c>
      <c r="M11" s="37">
        <f>IF($I11="","",IFERROR(IF(INDEX('1RM'!D$4:D$12,MATCH($H11,'1RM'!$A$4:$A$12,0))="","",ROUND(INDEX('1RM'!D$4:D$12,MATCH($H11,'1RM'!$A$4:$A$12,0))*$I11/2.5,0)*2.5),""))</f>
        <v/>
      </c>
      <c r="N11" s="37">
        <f>IF($I11="","",IFERROR(IF(INDEX('1RM'!E$4:E$12,MATCH($H11,'1RM'!$A$4:$A$12,0))="","",ROUND(INDEX('1RM'!E$4:E$12,MATCH($H11,'1RM'!$A$4:$A$12,0))*$I11/2.5,0)*2.5),""))</f>
        <v/>
      </c>
      <c r="O11" s="37">
        <f>IF($I11="","",IFERROR(IF(INDEX('1RM'!F$4:F$12,MATCH($H11,'1RM'!$A$4:$A$12,0))="","",ROUND(INDEX('1RM'!F$4:F$12,MATCH($H11,'1RM'!$A$4:$A$12,0))*$I11/2.5,0)*2.5),""))</f>
        <v/>
      </c>
      <c r="P11" s="37">
        <f>IF($I11="","",IFERROR(IF(INDEX('1RM'!G$4:G$12,MATCH($H11,'1RM'!$A$4:$A$12,0))="","",ROUND(INDEX('1RM'!G$4:G$12,MATCH($H11,'1RM'!$A$4:$A$12,0))*$I11/2.5,0)*2.5),""))</f>
        <v/>
      </c>
      <c r="Q11" s="37">
        <f>IF($I11="","",IFERROR(IF(INDEX('1RM'!H$4:H$12,MATCH($H11,'1RM'!$A$4:$A$12,0))="","",ROUND(INDEX('1RM'!H$4:H$12,MATCH($H11,'1RM'!$A$4:$A$12,0))*$I11/2.5,0)*2.5),""))</f>
        <v/>
      </c>
      <c r="R11" s="37">
        <f>IF($I11="","",IFERROR(IF(INDEX('1RM'!I$4:I$12,MATCH($H11,'1RM'!$A$4:$A$12,0))="","",ROUND(INDEX('1RM'!I$4:I$12,MATCH($H11,'1RM'!$A$4:$A$12,0))*$I11/2.5,0)*2.5),""))</f>
        <v/>
      </c>
      <c r="S11" s="37">
        <f>IF($I11="","",IFERROR(IF(INDEX('1RM'!J$4:J$12,MATCH($H11,'1RM'!$A$4:$A$12,0))="","",ROUND(INDEX('1RM'!J$4:J$12,MATCH($H11,'1RM'!$A$4:$A$12,0))*$I11/2.5,0)*2.5),""))</f>
        <v/>
      </c>
      <c r="T11" s="37">
        <f>IF($I11="","",IFERROR(IF(INDEX('1RM'!K$4:K$12,MATCH($H11,'1RM'!$A$4:$A$12,0))="","",ROUND(INDEX('1RM'!K$4:K$12,MATCH($H11,'1RM'!$A$4:$A$12,0))*$I11/2.5,0)*2.5),""))</f>
        <v/>
      </c>
      <c r="U11" s="37">
        <f>IF($I11="","",IFERROR(IF(INDEX('1RM'!L$4:L$12,MATCH($H11,'1RM'!$A$4:$A$12,0))="","",ROUND(INDEX('1RM'!L$4:L$12,MATCH($H11,'1RM'!$A$4:$A$12,0))*$I11/2.5,0)*2.5),""))</f>
        <v/>
      </c>
      <c r="V11" s="37">
        <f>IF($I11="","",IFERROR(IF(INDEX('1RM'!M$4:M$12,MATCH($H11,'1RM'!$A$4:$A$12,0))="","",ROUND(INDEX('1RM'!M$4:M$12,MATCH($H11,'1RM'!$A$4:$A$12,0))*$I11/2.5,0)*2.5),""))</f>
        <v/>
      </c>
      <c r="W11" s="37">
        <f>IF($I11="","",IFERROR(IF(INDEX('1RM'!N$4:N$12,MATCH($H11,'1RM'!$A$4:$A$12,0))="","",ROUND(INDEX('1RM'!N$4:N$12,MATCH($H11,'1RM'!$A$4:$A$12,0))*$I11/2.5,0)*2.5),""))</f>
        <v/>
      </c>
      <c r="X11" s="37">
        <f>IF($I11="","",IFERROR(IF(INDEX('1RM'!O$4:O$12,MATCH($H11,'1RM'!$A$4:$A$12,0))="","",ROUND(INDEX('1RM'!O$4:O$12,MATCH($H11,'1RM'!$A$4:$A$12,0))*$I11/2.5,0)*2.5),""))</f>
        <v/>
      </c>
      <c r="Y11" s="37">
        <f>IF($I11="","",IFERROR(IF(INDEX('1RM'!P$4:P$12,MATCH($H11,'1RM'!$A$4:$A$12,0))="","",ROUND(INDEX('1RM'!P$4:P$12,MATCH($H11,'1RM'!$A$4:$A$12,0))*$I11/2.5,0)*2.5),""))</f>
        <v/>
      </c>
    </row>
    <row r="12" ht="34" customHeight="1">
      <c r="A12" s="29" t="n">
        <v>5</v>
      </c>
      <c r="B12" s="30" t="inlineStr">
        <is>
          <t>Drop jump 40 cm</t>
        </is>
      </c>
      <c r="C12" s="29" t="inlineStr">
        <is>
          <t>Pliometria</t>
        </is>
      </c>
      <c r="D12" s="29" t="n">
        <v>3</v>
      </c>
      <c r="E12" s="29" t="n">
        <v>5</v>
      </c>
      <c r="F12" s="29" t="n">
        <v>120</v>
      </c>
      <c r="G12" s="29" t="inlineStr">
        <is>
          <t>peso do corpo</t>
        </is>
      </c>
      <c r="H12" s="29" t="inlineStr">
        <is>
          <t>—</t>
        </is>
      </c>
      <c r="I12" s="29" t="inlineStr"/>
      <c r="J12" s="32" t="inlineStr">
        <is>
          <t>Contato curto com o solo. Qualidade acima da contagem.</t>
        </is>
      </c>
      <c r="K12" s="33">
        <f>IF($I12="","",IFERROR(IF(INDEX('1RM'!B$4:B$12,MATCH($H12,'1RM'!$A$4:$A$12,0))="","",ROUND(INDEX('1RM'!B$4:B$12,MATCH($H12,'1RM'!$A$4:$A$12,0))*$I12/2.5,0)*2.5),""))</f>
        <v/>
      </c>
      <c r="L12" s="33">
        <f>IF($I12="","",IFERROR(IF(INDEX('1RM'!C$4:C$12,MATCH($H12,'1RM'!$A$4:$A$12,0))="","",ROUND(INDEX('1RM'!C$4:C$12,MATCH($H12,'1RM'!$A$4:$A$12,0))*$I12/2.5,0)*2.5),""))</f>
        <v/>
      </c>
      <c r="M12" s="33">
        <f>IF($I12="","",IFERROR(IF(INDEX('1RM'!D$4:D$12,MATCH($H12,'1RM'!$A$4:$A$12,0))="","",ROUND(INDEX('1RM'!D$4:D$12,MATCH($H12,'1RM'!$A$4:$A$12,0))*$I12/2.5,0)*2.5),""))</f>
        <v/>
      </c>
      <c r="N12" s="33">
        <f>IF($I12="","",IFERROR(IF(INDEX('1RM'!E$4:E$12,MATCH($H12,'1RM'!$A$4:$A$12,0))="","",ROUND(INDEX('1RM'!E$4:E$12,MATCH($H12,'1RM'!$A$4:$A$12,0))*$I12/2.5,0)*2.5),""))</f>
        <v/>
      </c>
      <c r="O12" s="33">
        <f>IF($I12="","",IFERROR(IF(INDEX('1RM'!F$4:F$12,MATCH($H12,'1RM'!$A$4:$A$12,0))="","",ROUND(INDEX('1RM'!F$4:F$12,MATCH($H12,'1RM'!$A$4:$A$12,0))*$I12/2.5,0)*2.5),""))</f>
        <v/>
      </c>
      <c r="P12" s="33">
        <f>IF($I12="","",IFERROR(IF(INDEX('1RM'!G$4:G$12,MATCH($H12,'1RM'!$A$4:$A$12,0))="","",ROUND(INDEX('1RM'!G$4:G$12,MATCH($H12,'1RM'!$A$4:$A$12,0))*$I12/2.5,0)*2.5),""))</f>
        <v/>
      </c>
      <c r="Q12" s="33">
        <f>IF($I12="","",IFERROR(IF(INDEX('1RM'!H$4:H$12,MATCH($H12,'1RM'!$A$4:$A$12,0))="","",ROUND(INDEX('1RM'!H$4:H$12,MATCH($H12,'1RM'!$A$4:$A$12,0))*$I12/2.5,0)*2.5),""))</f>
        <v/>
      </c>
      <c r="R12" s="33">
        <f>IF($I12="","",IFERROR(IF(INDEX('1RM'!I$4:I$12,MATCH($H12,'1RM'!$A$4:$A$12,0))="","",ROUND(INDEX('1RM'!I$4:I$12,MATCH($H12,'1RM'!$A$4:$A$12,0))*$I12/2.5,0)*2.5),""))</f>
        <v/>
      </c>
      <c r="S12" s="33">
        <f>IF($I12="","",IFERROR(IF(INDEX('1RM'!J$4:J$12,MATCH($H12,'1RM'!$A$4:$A$12,0))="","",ROUND(INDEX('1RM'!J$4:J$12,MATCH($H12,'1RM'!$A$4:$A$12,0))*$I12/2.5,0)*2.5),""))</f>
        <v/>
      </c>
      <c r="T12" s="33">
        <f>IF($I12="","",IFERROR(IF(INDEX('1RM'!K$4:K$12,MATCH($H12,'1RM'!$A$4:$A$12,0))="","",ROUND(INDEX('1RM'!K$4:K$12,MATCH($H12,'1RM'!$A$4:$A$12,0))*$I12/2.5,0)*2.5),""))</f>
        <v/>
      </c>
      <c r="U12" s="33">
        <f>IF($I12="","",IFERROR(IF(INDEX('1RM'!L$4:L$12,MATCH($H12,'1RM'!$A$4:$A$12,0))="","",ROUND(INDEX('1RM'!L$4:L$12,MATCH($H12,'1RM'!$A$4:$A$12,0))*$I12/2.5,0)*2.5),""))</f>
        <v/>
      </c>
      <c r="V12" s="33">
        <f>IF($I12="","",IFERROR(IF(INDEX('1RM'!M$4:M$12,MATCH($H12,'1RM'!$A$4:$A$12,0))="","",ROUND(INDEX('1RM'!M$4:M$12,MATCH($H12,'1RM'!$A$4:$A$12,0))*$I12/2.5,0)*2.5),""))</f>
        <v/>
      </c>
      <c r="W12" s="33">
        <f>IF($I12="","",IFERROR(IF(INDEX('1RM'!N$4:N$12,MATCH($H12,'1RM'!$A$4:$A$12,0))="","",ROUND(INDEX('1RM'!N$4:N$12,MATCH($H12,'1RM'!$A$4:$A$12,0))*$I12/2.5,0)*2.5),""))</f>
        <v/>
      </c>
      <c r="X12" s="33">
        <f>IF($I12="","",IFERROR(IF(INDEX('1RM'!O$4:O$12,MATCH($H12,'1RM'!$A$4:$A$12,0))="","",ROUND(INDEX('1RM'!O$4:O$12,MATCH($H12,'1RM'!$A$4:$A$12,0))*$I12/2.5,0)*2.5),""))</f>
        <v/>
      </c>
      <c r="Y12" s="33">
        <f>IF($I12="","",IFERROR(IF(INDEX('1RM'!P$4:P$12,MATCH($H12,'1RM'!$A$4:$A$12,0))="","",ROUND(INDEX('1RM'!P$4:P$12,MATCH($H12,'1RM'!$A$4:$A$12,0))*$I12/2.5,0)*2.5),""))</f>
        <v/>
      </c>
    </row>
    <row r="13" ht="34" customHeight="1">
      <c r="A13" s="34" t="n">
        <v>6</v>
      </c>
      <c r="B13" s="35" t="inlineStr">
        <is>
          <t>Salto no caixote</t>
        </is>
      </c>
      <c r="C13" s="34" t="inlineStr">
        <is>
          <t>Pliometria</t>
        </is>
      </c>
      <c r="D13" s="34" t="n">
        <v>3</v>
      </c>
      <c r="E13" s="34" t="n">
        <v>5</v>
      </c>
      <c r="F13" s="34" t="n">
        <v>90</v>
      </c>
      <c r="G13" s="34" t="inlineStr">
        <is>
          <t>peso do corpo</t>
        </is>
      </c>
      <c r="H13" s="34" t="inlineStr">
        <is>
          <t>—</t>
        </is>
      </c>
      <c r="I13" s="34" t="inlineStr"/>
      <c r="J13" s="36" t="inlineStr">
        <is>
          <t>Subir saltando, DESCER andando: descer do caixote é contato extra sem ganho.</t>
        </is>
      </c>
      <c r="K13" s="37">
        <f>IF($I13="","",IFERROR(IF(INDEX('1RM'!B$4:B$12,MATCH($H13,'1RM'!$A$4:$A$12,0))="","",ROUND(INDEX('1RM'!B$4:B$12,MATCH($H13,'1RM'!$A$4:$A$12,0))*$I13/2.5,0)*2.5),""))</f>
        <v/>
      </c>
      <c r="L13" s="37">
        <f>IF($I13="","",IFERROR(IF(INDEX('1RM'!C$4:C$12,MATCH($H13,'1RM'!$A$4:$A$12,0))="","",ROUND(INDEX('1RM'!C$4:C$12,MATCH($H13,'1RM'!$A$4:$A$12,0))*$I13/2.5,0)*2.5),""))</f>
        <v/>
      </c>
      <c r="M13" s="37">
        <f>IF($I13="","",IFERROR(IF(INDEX('1RM'!D$4:D$12,MATCH($H13,'1RM'!$A$4:$A$12,0))="","",ROUND(INDEX('1RM'!D$4:D$12,MATCH($H13,'1RM'!$A$4:$A$12,0))*$I13/2.5,0)*2.5),""))</f>
        <v/>
      </c>
      <c r="N13" s="37">
        <f>IF($I13="","",IFERROR(IF(INDEX('1RM'!E$4:E$12,MATCH($H13,'1RM'!$A$4:$A$12,0))="","",ROUND(INDEX('1RM'!E$4:E$12,MATCH($H13,'1RM'!$A$4:$A$12,0))*$I13/2.5,0)*2.5),""))</f>
        <v/>
      </c>
      <c r="O13" s="37">
        <f>IF($I13="","",IFERROR(IF(INDEX('1RM'!F$4:F$12,MATCH($H13,'1RM'!$A$4:$A$12,0))="","",ROUND(INDEX('1RM'!F$4:F$12,MATCH($H13,'1RM'!$A$4:$A$12,0))*$I13/2.5,0)*2.5),""))</f>
        <v/>
      </c>
      <c r="P13" s="37">
        <f>IF($I13="","",IFERROR(IF(INDEX('1RM'!G$4:G$12,MATCH($H13,'1RM'!$A$4:$A$12,0))="","",ROUND(INDEX('1RM'!G$4:G$12,MATCH($H13,'1RM'!$A$4:$A$12,0))*$I13/2.5,0)*2.5),""))</f>
        <v/>
      </c>
      <c r="Q13" s="37">
        <f>IF($I13="","",IFERROR(IF(INDEX('1RM'!H$4:H$12,MATCH($H13,'1RM'!$A$4:$A$12,0))="","",ROUND(INDEX('1RM'!H$4:H$12,MATCH($H13,'1RM'!$A$4:$A$12,0))*$I13/2.5,0)*2.5),""))</f>
        <v/>
      </c>
      <c r="R13" s="37">
        <f>IF($I13="","",IFERROR(IF(INDEX('1RM'!I$4:I$12,MATCH($H13,'1RM'!$A$4:$A$12,0))="","",ROUND(INDEX('1RM'!I$4:I$12,MATCH($H13,'1RM'!$A$4:$A$12,0))*$I13/2.5,0)*2.5),""))</f>
        <v/>
      </c>
      <c r="S13" s="37">
        <f>IF($I13="","",IFERROR(IF(INDEX('1RM'!J$4:J$12,MATCH($H13,'1RM'!$A$4:$A$12,0))="","",ROUND(INDEX('1RM'!J$4:J$12,MATCH($H13,'1RM'!$A$4:$A$12,0))*$I13/2.5,0)*2.5),""))</f>
        <v/>
      </c>
      <c r="T13" s="37">
        <f>IF($I13="","",IFERROR(IF(INDEX('1RM'!K$4:K$12,MATCH($H13,'1RM'!$A$4:$A$12,0))="","",ROUND(INDEX('1RM'!K$4:K$12,MATCH($H13,'1RM'!$A$4:$A$12,0))*$I13/2.5,0)*2.5),""))</f>
        <v/>
      </c>
      <c r="U13" s="37">
        <f>IF($I13="","",IFERROR(IF(INDEX('1RM'!L$4:L$12,MATCH($H13,'1RM'!$A$4:$A$12,0))="","",ROUND(INDEX('1RM'!L$4:L$12,MATCH($H13,'1RM'!$A$4:$A$12,0))*$I13/2.5,0)*2.5),""))</f>
        <v/>
      </c>
      <c r="V13" s="37">
        <f>IF($I13="","",IFERROR(IF(INDEX('1RM'!M$4:M$12,MATCH($H13,'1RM'!$A$4:$A$12,0))="","",ROUND(INDEX('1RM'!M$4:M$12,MATCH($H13,'1RM'!$A$4:$A$12,0))*$I13/2.5,0)*2.5),""))</f>
        <v/>
      </c>
      <c r="W13" s="37">
        <f>IF($I13="","",IFERROR(IF(INDEX('1RM'!N$4:N$12,MATCH($H13,'1RM'!$A$4:$A$12,0))="","",ROUND(INDEX('1RM'!N$4:N$12,MATCH($H13,'1RM'!$A$4:$A$12,0))*$I13/2.5,0)*2.5),""))</f>
        <v/>
      </c>
      <c r="X13" s="37">
        <f>IF($I13="","",IFERROR(IF(INDEX('1RM'!O$4:O$12,MATCH($H13,'1RM'!$A$4:$A$12,0))="","",ROUND(INDEX('1RM'!O$4:O$12,MATCH($H13,'1RM'!$A$4:$A$12,0))*$I13/2.5,0)*2.5),""))</f>
        <v/>
      </c>
      <c r="Y13" s="37">
        <f>IF($I13="","",IFERROR(IF(INDEX('1RM'!P$4:P$12,MATCH($H13,'1RM'!$A$4:$A$12,0))="","",ROUND(INDEX('1RM'!P$4:P$12,MATCH($H13,'1RM'!$A$4:$A$12,0))*$I13/2.5,0)*2.5),""))</f>
        <v/>
      </c>
    </row>
    <row r="14" ht="34" customHeight="1">
      <c r="A14" s="29" t="n">
        <v>7</v>
      </c>
      <c r="B14" s="30" t="inlineStr">
        <is>
          <t>Sprints de 10 e 20 m com mudança de direção</t>
        </is>
      </c>
      <c r="C14" s="29" t="inlineStr">
        <is>
          <t>Potência</t>
        </is>
      </c>
      <c r="D14" s="29" t="n">
        <v>4</v>
      </c>
      <c r="E14" s="29" t="n">
        <v>1</v>
      </c>
      <c r="F14" s="29" t="n">
        <v>120</v>
      </c>
      <c r="G14" s="29" t="inlineStr">
        <is>
          <t>peso do corpo</t>
        </is>
      </c>
      <c r="H14" s="29" t="inlineStr">
        <is>
          <t>—</t>
        </is>
      </c>
      <c r="I14" s="29" t="inlineStr"/>
      <c r="J14" s="32" t="inlineStr">
        <is>
          <t>Recuperação completa entre tiros.</t>
        </is>
      </c>
      <c r="K14" s="33">
        <f>IF($I14="","",IFERROR(IF(INDEX('1RM'!B$4:B$12,MATCH($H14,'1RM'!$A$4:$A$12,0))="","",ROUND(INDEX('1RM'!B$4:B$12,MATCH($H14,'1RM'!$A$4:$A$12,0))*$I14/2.5,0)*2.5),""))</f>
        <v/>
      </c>
      <c r="L14" s="33">
        <f>IF($I14="","",IFERROR(IF(INDEX('1RM'!C$4:C$12,MATCH($H14,'1RM'!$A$4:$A$12,0))="","",ROUND(INDEX('1RM'!C$4:C$12,MATCH($H14,'1RM'!$A$4:$A$12,0))*$I14/2.5,0)*2.5),""))</f>
        <v/>
      </c>
      <c r="M14" s="33">
        <f>IF($I14="","",IFERROR(IF(INDEX('1RM'!D$4:D$12,MATCH($H14,'1RM'!$A$4:$A$12,0))="","",ROUND(INDEX('1RM'!D$4:D$12,MATCH($H14,'1RM'!$A$4:$A$12,0))*$I14/2.5,0)*2.5),""))</f>
        <v/>
      </c>
      <c r="N14" s="33">
        <f>IF($I14="","",IFERROR(IF(INDEX('1RM'!E$4:E$12,MATCH($H14,'1RM'!$A$4:$A$12,0))="","",ROUND(INDEX('1RM'!E$4:E$12,MATCH($H14,'1RM'!$A$4:$A$12,0))*$I14/2.5,0)*2.5),""))</f>
        <v/>
      </c>
      <c r="O14" s="33">
        <f>IF($I14="","",IFERROR(IF(INDEX('1RM'!F$4:F$12,MATCH($H14,'1RM'!$A$4:$A$12,0))="","",ROUND(INDEX('1RM'!F$4:F$12,MATCH($H14,'1RM'!$A$4:$A$12,0))*$I14/2.5,0)*2.5),""))</f>
        <v/>
      </c>
      <c r="P14" s="33">
        <f>IF($I14="","",IFERROR(IF(INDEX('1RM'!G$4:G$12,MATCH($H14,'1RM'!$A$4:$A$12,0))="","",ROUND(INDEX('1RM'!G$4:G$12,MATCH($H14,'1RM'!$A$4:$A$12,0))*$I14/2.5,0)*2.5),""))</f>
        <v/>
      </c>
      <c r="Q14" s="33">
        <f>IF($I14="","",IFERROR(IF(INDEX('1RM'!H$4:H$12,MATCH($H14,'1RM'!$A$4:$A$12,0))="","",ROUND(INDEX('1RM'!H$4:H$12,MATCH($H14,'1RM'!$A$4:$A$12,0))*$I14/2.5,0)*2.5),""))</f>
        <v/>
      </c>
      <c r="R14" s="33">
        <f>IF($I14="","",IFERROR(IF(INDEX('1RM'!I$4:I$12,MATCH($H14,'1RM'!$A$4:$A$12,0))="","",ROUND(INDEX('1RM'!I$4:I$12,MATCH($H14,'1RM'!$A$4:$A$12,0))*$I14/2.5,0)*2.5),""))</f>
        <v/>
      </c>
      <c r="S14" s="33">
        <f>IF($I14="","",IFERROR(IF(INDEX('1RM'!J$4:J$12,MATCH($H14,'1RM'!$A$4:$A$12,0))="","",ROUND(INDEX('1RM'!J$4:J$12,MATCH($H14,'1RM'!$A$4:$A$12,0))*$I14/2.5,0)*2.5),""))</f>
        <v/>
      </c>
      <c r="T14" s="33">
        <f>IF($I14="","",IFERROR(IF(INDEX('1RM'!K$4:K$12,MATCH($H14,'1RM'!$A$4:$A$12,0))="","",ROUND(INDEX('1RM'!K$4:K$12,MATCH($H14,'1RM'!$A$4:$A$12,0))*$I14/2.5,0)*2.5),""))</f>
        <v/>
      </c>
      <c r="U14" s="33">
        <f>IF($I14="","",IFERROR(IF(INDEX('1RM'!L$4:L$12,MATCH($H14,'1RM'!$A$4:$A$12,0))="","",ROUND(INDEX('1RM'!L$4:L$12,MATCH($H14,'1RM'!$A$4:$A$12,0))*$I14/2.5,0)*2.5),""))</f>
        <v/>
      </c>
      <c r="V14" s="33">
        <f>IF($I14="","",IFERROR(IF(INDEX('1RM'!M$4:M$12,MATCH($H14,'1RM'!$A$4:$A$12,0))="","",ROUND(INDEX('1RM'!M$4:M$12,MATCH($H14,'1RM'!$A$4:$A$12,0))*$I14/2.5,0)*2.5),""))</f>
        <v/>
      </c>
      <c r="W14" s="33">
        <f>IF($I14="","",IFERROR(IF(INDEX('1RM'!N$4:N$12,MATCH($H14,'1RM'!$A$4:$A$12,0))="","",ROUND(INDEX('1RM'!N$4:N$12,MATCH($H14,'1RM'!$A$4:$A$12,0))*$I14/2.5,0)*2.5),""))</f>
        <v/>
      </c>
      <c r="X14" s="33">
        <f>IF($I14="","",IFERROR(IF(INDEX('1RM'!O$4:O$12,MATCH($H14,'1RM'!$A$4:$A$12,0))="","",ROUND(INDEX('1RM'!O$4:O$12,MATCH($H14,'1RM'!$A$4:$A$12,0))*$I14/2.5,0)*2.5),""))</f>
        <v/>
      </c>
      <c r="Y14" s="33">
        <f>IF($I14="","",IFERROR(IF(INDEX('1RM'!P$4:P$12,MATCH($H14,'1RM'!$A$4:$A$12,0))="","",ROUND(INDEX('1RM'!P$4:P$12,MATCH($H14,'1RM'!$A$4:$A$12,0))*$I14/2.5,0)*2.5),""))</f>
        <v/>
      </c>
    </row>
    <row r="16">
      <c r="A16" s="24" t="inlineStr">
        <is>
          <t>Regra da sessão</t>
        </is>
      </c>
    </row>
    <row r="17">
      <c r="A17" s="21" t="inlineStr">
        <is>
          <t>A coluna de cada atleta é o quilo que sai do 1RM dele, já arredondado à anilha. Em branco = falta o 1RM daquele exercício na aba 1RM.</t>
        </is>
      </c>
    </row>
    <row r="18">
      <c r="A18" s="21" t="inlineStr">
        <is>
          <t>"RIR 2" é repetições na reserva: terminar a série com duas que ainda sairiam com técnica limpa. Não é ir até a falha.</t>
        </is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Y16"/>
  <sheetViews>
    <sheetView showGridLines="0" workbookViewId="0">
      <pane xSplit="10" ySplit="7" topLeftCell="K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11" customWidth="1" min="3" max="3"/>
    <col width="7" customWidth="1" min="4" max="4"/>
    <col width="6" customWidth="1" min="5" max="5"/>
    <col width="9" customWidth="1" min="6" max="6"/>
    <col width="11" customWidth="1" min="7" max="7"/>
    <col width="17" customWidth="1" min="8" max="8"/>
    <col width="7" customWidth="1" min="9" max="9"/>
    <col width="4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25" t="inlineStr">
        <is>
          <t>ELASE VOLEIBOL · MASCULINO ADULTO · SEMANA DO JOGO</t>
        </is>
      </c>
    </row>
    <row r="2">
      <c r="A2" s="22" t="inlineStr">
        <is>
          <t>QUINTA 15/10  ·  POTÊNCIA 2 · véspera do jogo</t>
        </is>
      </c>
    </row>
    <row r="3">
      <c r="A3" s="2" t="inlineStr">
        <is>
          <t>Alta intensidade e volume BAIXO: 24 minutos. É para acordar o sistema nervoso, não para treinar.</t>
        </is>
      </c>
    </row>
    <row r="5">
      <c r="A5" s="26" t="inlineStr">
        <is>
          <t>Séries</t>
        </is>
      </c>
      <c r="C5" s="26" t="inlineStr">
        <is>
          <t>Duração estimada</t>
        </is>
      </c>
      <c r="E5" s="26" t="inlineStr">
        <is>
          <t>Contatos pliométricos</t>
        </is>
      </c>
    </row>
    <row r="6">
      <c r="A6" s="27">
        <f>SUM(D8:D12)</f>
        <v/>
      </c>
      <c r="C6" s="28">
        <f>ROUND(SUMPRODUCT($D$8:$D$12,($F$8:$F$12+$E$8:$E$12*4))/60,0)</f>
        <v/>
      </c>
      <c r="E6" s="27">
        <f>SUMPRODUCT(--($C$8:$C$12="Pliometria"),$D$8:$D$12,$E$8:$E$12)</f>
        <v/>
      </c>
    </row>
    <row r="7">
      <c r="A7" s="4" t="inlineStr">
        <is>
          <t>#</t>
        </is>
      </c>
      <c r="B7" s="4" t="inlineStr">
        <is>
          <t>Exercício</t>
        </is>
      </c>
      <c r="C7" s="4" t="inlineStr">
        <is>
          <t>Padrão</t>
        </is>
      </c>
      <c r="D7" s="4" t="inlineStr">
        <is>
          <t>Séries</t>
        </is>
      </c>
      <c r="E7" s="4" t="inlineStr">
        <is>
          <t>Reps</t>
        </is>
      </c>
      <c r="F7" s="4" t="inlineStr">
        <is>
          <t>Pausa (s)</t>
        </is>
      </c>
      <c r="G7" s="4" t="inlineStr">
        <is>
          <t>Carga</t>
        </is>
      </c>
      <c r="H7" s="4" t="inlineStr">
        <is>
          <t>Ref. de 1RM</t>
        </is>
      </c>
      <c r="I7" s="4" t="inlineStr">
        <is>
          <t>%</t>
        </is>
      </c>
      <c r="J7" s="4" t="inlineStr">
        <is>
          <t>Observação</t>
        </is>
      </c>
      <c r="K7" s="4">
        <f>IF('1RM'!B$3="","",'1RM'!B$3)</f>
        <v/>
      </c>
      <c r="L7" s="4">
        <f>IF('1RM'!C$3="","",'1RM'!C$3)</f>
        <v/>
      </c>
      <c r="M7" s="4">
        <f>IF('1RM'!D$3="","",'1RM'!D$3)</f>
        <v/>
      </c>
      <c r="N7" s="4">
        <f>IF('1RM'!E$3="","",'1RM'!E$3)</f>
        <v/>
      </c>
      <c r="O7" s="4">
        <f>IF('1RM'!F$3="","",'1RM'!F$3)</f>
        <v/>
      </c>
      <c r="P7" s="4">
        <f>IF('1RM'!G$3="","",'1RM'!G$3)</f>
        <v/>
      </c>
      <c r="Q7" s="4">
        <f>IF('1RM'!H$3="","",'1RM'!H$3)</f>
        <v/>
      </c>
      <c r="R7" s="4">
        <f>IF('1RM'!I$3="","",'1RM'!I$3)</f>
        <v/>
      </c>
      <c r="S7" s="4">
        <f>IF('1RM'!J$3="","",'1RM'!J$3)</f>
        <v/>
      </c>
      <c r="T7" s="4">
        <f>IF('1RM'!K$3="","",'1RM'!K$3)</f>
        <v/>
      </c>
      <c r="U7" s="4">
        <f>IF('1RM'!L$3="","",'1RM'!L$3)</f>
        <v/>
      </c>
      <c r="V7" s="4">
        <f>IF('1RM'!M$3="","",'1RM'!M$3)</f>
        <v/>
      </c>
      <c r="W7" s="4">
        <f>IF('1RM'!N$3="","",'1RM'!N$3)</f>
        <v/>
      </c>
      <c r="X7" s="4">
        <f>IF('1RM'!O$3="","",'1RM'!O$3)</f>
        <v/>
      </c>
      <c r="Y7" s="4">
        <f>IF('1RM'!P$3="","",'1RM'!P$3)</f>
        <v/>
      </c>
    </row>
    <row r="8" ht="34" customHeight="1">
      <c r="A8" s="29" t="n">
        <v>1</v>
      </c>
      <c r="B8" s="30" t="inlineStr">
        <is>
          <t>Clean do joelho (hang)</t>
        </is>
      </c>
      <c r="C8" s="29" t="inlineStr">
        <is>
          <t>LPO</t>
        </is>
      </c>
      <c r="D8" s="29" t="n">
        <v>3</v>
      </c>
      <c r="E8" s="29" t="n">
        <v>2</v>
      </c>
      <c r="F8" s="29" t="n">
        <v>120</v>
      </c>
      <c r="G8" s="29" t="inlineStr">
        <is>
          <t>70%</t>
        </is>
      </c>
      <c r="H8" s="29" t="inlineStr">
        <is>
          <t>Clean</t>
        </is>
      </c>
      <c r="I8" s="31" t="n">
        <v>0.7</v>
      </c>
      <c r="J8" s="32" t="inlineStr">
        <is>
          <t>Técnico e rápido. Nenhuma tentativa pesada na véspera.</t>
        </is>
      </c>
      <c r="K8" s="33">
        <f>IF($I8="","",IFERROR(IF(INDEX('1RM'!B$4:B$12,MATCH($H8,'1RM'!$A$4:$A$12,0))="","",ROUND(INDEX('1RM'!B$4:B$12,MATCH($H8,'1RM'!$A$4:$A$12,0))*$I8/2.5,0)*2.5),""))</f>
        <v/>
      </c>
      <c r="L8" s="33">
        <f>IF($I8="","",IFERROR(IF(INDEX('1RM'!C$4:C$12,MATCH($H8,'1RM'!$A$4:$A$12,0))="","",ROUND(INDEX('1RM'!C$4:C$12,MATCH($H8,'1RM'!$A$4:$A$12,0))*$I8/2.5,0)*2.5),""))</f>
        <v/>
      </c>
      <c r="M8" s="33">
        <f>IF($I8="","",IFERROR(IF(INDEX('1RM'!D$4:D$12,MATCH($H8,'1RM'!$A$4:$A$12,0))="","",ROUND(INDEX('1RM'!D$4:D$12,MATCH($H8,'1RM'!$A$4:$A$12,0))*$I8/2.5,0)*2.5),""))</f>
        <v/>
      </c>
      <c r="N8" s="33">
        <f>IF($I8="","",IFERROR(IF(INDEX('1RM'!E$4:E$12,MATCH($H8,'1RM'!$A$4:$A$12,0))="","",ROUND(INDEX('1RM'!E$4:E$12,MATCH($H8,'1RM'!$A$4:$A$12,0))*$I8/2.5,0)*2.5),""))</f>
        <v/>
      </c>
      <c r="O8" s="33">
        <f>IF($I8="","",IFERROR(IF(INDEX('1RM'!F$4:F$12,MATCH($H8,'1RM'!$A$4:$A$12,0))="","",ROUND(INDEX('1RM'!F$4:F$12,MATCH($H8,'1RM'!$A$4:$A$12,0))*$I8/2.5,0)*2.5),""))</f>
        <v/>
      </c>
      <c r="P8" s="33">
        <f>IF($I8="","",IFERROR(IF(INDEX('1RM'!G$4:G$12,MATCH($H8,'1RM'!$A$4:$A$12,0))="","",ROUND(INDEX('1RM'!G$4:G$12,MATCH($H8,'1RM'!$A$4:$A$12,0))*$I8/2.5,0)*2.5),""))</f>
        <v/>
      </c>
      <c r="Q8" s="33">
        <f>IF($I8="","",IFERROR(IF(INDEX('1RM'!H$4:H$12,MATCH($H8,'1RM'!$A$4:$A$12,0))="","",ROUND(INDEX('1RM'!H$4:H$12,MATCH($H8,'1RM'!$A$4:$A$12,0))*$I8/2.5,0)*2.5),""))</f>
        <v/>
      </c>
      <c r="R8" s="33">
        <f>IF($I8="","",IFERROR(IF(INDEX('1RM'!I$4:I$12,MATCH($H8,'1RM'!$A$4:$A$12,0))="","",ROUND(INDEX('1RM'!I$4:I$12,MATCH($H8,'1RM'!$A$4:$A$12,0))*$I8/2.5,0)*2.5),""))</f>
        <v/>
      </c>
      <c r="S8" s="33">
        <f>IF($I8="","",IFERROR(IF(INDEX('1RM'!J$4:J$12,MATCH($H8,'1RM'!$A$4:$A$12,0))="","",ROUND(INDEX('1RM'!J$4:J$12,MATCH($H8,'1RM'!$A$4:$A$12,0))*$I8/2.5,0)*2.5),""))</f>
        <v/>
      </c>
      <c r="T8" s="33">
        <f>IF($I8="","",IFERROR(IF(INDEX('1RM'!K$4:K$12,MATCH($H8,'1RM'!$A$4:$A$12,0))="","",ROUND(INDEX('1RM'!K$4:K$12,MATCH($H8,'1RM'!$A$4:$A$12,0))*$I8/2.5,0)*2.5),""))</f>
        <v/>
      </c>
      <c r="U8" s="33">
        <f>IF($I8="","",IFERROR(IF(INDEX('1RM'!L$4:L$12,MATCH($H8,'1RM'!$A$4:$A$12,0))="","",ROUND(INDEX('1RM'!L$4:L$12,MATCH($H8,'1RM'!$A$4:$A$12,0))*$I8/2.5,0)*2.5),""))</f>
        <v/>
      </c>
      <c r="V8" s="33">
        <f>IF($I8="","",IFERROR(IF(INDEX('1RM'!M$4:M$12,MATCH($H8,'1RM'!$A$4:$A$12,0))="","",ROUND(INDEX('1RM'!M$4:M$12,MATCH($H8,'1RM'!$A$4:$A$12,0))*$I8/2.5,0)*2.5),""))</f>
        <v/>
      </c>
      <c r="W8" s="33">
        <f>IF($I8="","",IFERROR(IF(INDEX('1RM'!N$4:N$12,MATCH($H8,'1RM'!$A$4:$A$12,0))="","",ROUND(INDEX('1RM'!N$4:N$12,MATCH($H8,'1RM'!$A$4:$A$12,0))*$I8/2.5,0)*2.5),""))</f>
        <v/>
      </c>
      <c r="X8" s="33">
        <f>IF($I8="","",IFERROR(IF(INDEX('1RM'!O$4:O$12,MATCH($H8,'1RM'!$A$4:$A$12,0))="","",ROUND(INDEX('1RM'!O$4:O$12,MATCH($H8,'1RM'!$A$4:$A$12,0))*$I8/2.5,0)*2.5),""))</f>
        <v/>
      </c>
      <c r="Y8" s="33">
        <f>IF($I8="","",IFERROR(IF(INDEX('1RM'!P$4:P$12,MATCH($H8,'1RM'!$A$4:$A$12,0))="","",ROUND(INDEX('1RM'!P$4:P$12,MATCH($H8,'1RM'!$A$4:$A$12,0))*$I8/2.5,0)*2.5),""))</f>
        <v/>
      </c>
    </row>
    <row r="9" ht="34" customHeight="1">
      <c r="A9" s="34" t="n">
        <v>2</v>
      </c>
      <c r="B9" s="35" t="inlineStr">
        <is>
          <t>Agachamento com salto sob carga (jump squat)</t>
        </is>
      </c>
      <c r="C9" s="34" t="inlineStr">
        <is>
          <t>Potência</t>
        </is>
      </c>
      <c r="D9" s="34" t="n">
        <v>3</v>
      </c>
      <c r="E9" s="34" t="n">
        <v>3</v>
      </c>
      <c r="F9" s="34" t="n">
        <v>120</v>
      </c>
      <c r="G9" s="34" t="inlineStr">
        <is>
          <t>20%</t>
        </is>
      </c>
      <c r="H9" s="34" t="inlineStr">
        <is>
          <t>Agachamento</t>
        </is>
      </c>
      <c r="I9" s="38" t="n">
        <v>0.2</v>
      </c>
      <c r="J9" s="36" t="inlineStr">
        <is>
          <t>Mais leve que na quarta. O objetivo é acordar o sistema, não cansá-lo.</t>
        </is>
      </c>
      <c r="K9" s="37">
        <f>IF($I9="","",IFERROR(IF(INDEX('1RM'!B$4:B$12,MATCH($H9,'1RM'!$A$4:$A$12,0))="","",ROUND(INDEX('1RM'!B$4:B$12,MATCH($H9,'1RM'!$A$4:$A$12,0))*$I9/2.5,0)*2.5),""))</f>
        <v/>
      </c>
      <c r="L9" s="37">
        <f>IF($I9="","",IFERROR(IF(INDEX('1RM'!C$4:C$12,MATCH($H9,'1RM'!$A$4:$A$12,0))="","",ROUND(INDEX('1RM'!C$4:C$12,MATCH($H9,'1RM'!$A$4:$A$12,0))*$I9/2.5,0)*2.5),""))</f>
        <v/>
      </c>
      <c r="M9" s="37">
        <f>IF($I9="","",IFERROR(IF(INDEX('1RM'!D$4:D$12,MATCH($H9,'1RM'!$A$4:$A$12,0))="","",ROUND(INDEX('1RM'!D$4:D$12,MATCH($H9,'1RM'!$A$4:$A$12,0))*$I9/2.5,0)*2.5),""))</f>
        <v/>
      </c>
      <c r="N9" s="37">
        <f>IF($I9="","",IFERROR(IF(INDEX('1RM'!E$4:E$12,MATCH($H9,'1RM'!$A$4:$A$12,0))="","",ROUND(INDEX('1RM'!E$4:E$12,MATCH($H9,'1RM'!$A$4:$A$12,0))*$I9/2.5,0)*2.5),""))</f>
        <v/>
      </c>
      <c r="O9" s="37">
        <f>IF($I9="","",IFERROR(IF(INDEX('1RM'!F$4:F$12,MATCH($H9,'1RM'!$A$4:$A$12,0))="","",ROUND(INDEX('1RM'!F$4:F$12,MATCH($H9,'1RM'!$A$4:$A$12,0))*$I9/2.5,0)*2.5),""))</f>
        <v/>
      </c>
      <c r="P9" s="37">
        <f>IF($I9="","",IFERROR(IF(INDEX('1RM'!G$4:G$12,MATCH($H9,'1RM'!$A$4:$A$12,0))="","",ROUND(INDEX('1RM'!G$4:G$12,MATCH($H9,'1RM'!$A$4:$A$12,0))*$I9/2.5,0)*2.5),""))</f>
        <v/>
      </c>
      <c r="Q9" s="37">
        <f>IF($I9="","",IFERROR(IF(INDEX('1RM'!H$4:H$12,MATCH($H9,'1RM'!$A$4:$A$12,0))="","",ROUND(INDEX('1RM'!H$4:H$12,MATCH($H9,'1RM'!$A$4:$A$12,0))*$I9/2.5,0)*2.5),""))</f>
        <v/>
      </c>
      <c r="R9" s="37">
        <f>IF($I9="","",IFERROR(IF(INDEX('1RM'!I$4:I$12,MATCH($H9,'1RM'!$A$4:$A$12,0))="","",ROUND(INDEX('1RM'!I$4:I$12,MATCH($H9,'1RM'!$A$4:$A$12,0))*$I9/2.5,0)*2.5),""))</f>
        <v/>
      </c>
      <c r="S9" s="37">
        <f>IF($I9="","",IFERROR(IF(INDEX('1RM'!J$4:J$12,MATCH($H9,'1RM'!$A$4:$A$12,0))="","",ROUND(INDEX('1RM'!J$4:J$12,MATCH($H9,'1RM'!$A$4:$A$12,0))*$I9/2.5,0)*2.5),""))</f>
        <v/>
      </c>
      <c r="T9" s="37">
        <f>IF($I9="","",IFERROR(IF(INDEX('1RM'!K$4:K$12,MATCH($H9,'1RM'!$A$4:$A$12,0))="","",ROUND(INDEX('1RM'!K$4:K$12,MATCH($H9,'1RM'!$A$4:$A$12,0))*$I9/2.5,0)*2.5),""))</f>
        <v/>
      </c>
      <c r="U9" s="37">
        <f>IF($I9="","",IFERROR(IF(INDEX('1RM'!L$4:L$12,MATCH($H9,'1RM'!$A$4:$A$12,0))="","",ROUND(INDEX('1RM'!L$4:L$12,MATCH($H9,'1RM'!$A$4:$A$12,0))*$I9/2.5,0)*2.5),""))</f>
        <v/>
      </c>
      <c r="V9" s="37">
        <f>IF($I9="","",IFERROR(IF(INDEX('1RM'!M$4:M$12,MATCH($H9,'1RM'!$A$4:$A$12,0))="","",ROUND(INDEX('1RM'!M$4:M$12,MATCH($H9,'1RM'!$A$4:$A$12,0))*$I9/2.5,0)*2.5),""))</f>
        <v/>
      </c>
      <c r="W9" s="37">
        <f>IF($I9="","",IFERROR(IF(INDEX('1RM'!N$4:N$12,MATCH($H9,'1RM'!$A$4:$A$12,0))="","",ROUND(INDEX('1RM'!N$4:N$12,MATCH($H9,'1RM'!$A$4:$A$12,0))*$I9/2.5,0)*2.5),""))</f>
        <v/>
      </c>
      <c r="X9" s="37">
        <f>IF($I9="","",IFERROR(IF(INDEX('1RM'!O$4:O$12,MATCH($H9,'1RM'!$A$4:$A$12,0))="","",ROUND(INDEX('1RM'!O$4:O$12,MATCH($H9,'1RM'!$A$4:$A$12,0))*$I9/2.5,0)*2.5),""))</f>
        <v/>
      </c>
      <c r="Y9" s="37">
        <f>IF($I9="","",IFERROR(IF(INDEX('1RM'!P$4:P$12,MATCH($H9,'1RM'!$A$4:$A$12,0))="","",ROUND(INDEX('1RM'!P$4:P$12,MATCH($H9,'1RM'!$A$4:$A$12,0))*$I9/2.5,0)*2.5),""))</f>
        <v/>
      </c>
    </row>
    <row r="10" ht="34" customHeight="1">
      <c r="A10" s="29" t="n">
        <v>3</v>
      </c>
      <c r="B10" s="30" t="inlineStr">
        <is>
          <t>Salto no caixote</t>
        </is>
      </c>
      <c r="C10" s="29" t="inlineStr">
        <is>
          <t>Pliometria</t>
        </is>
      </c>
      <c r="D10" s="29" t="n">
        <v>3</v>
      </c>
      <c r="E10" s="29" t="n">
        <v>3</v>
      </c>
      <c r="F10" s="29" t="n">
        <v>90</v>
      </c>
      <c r="G10" s="29" t="inlineStr">
        <is>
          <t>peso do corpo</t>
        </is>
      </c>
      <c r="H10" s="29" t="inlineStr">
        <is>
          <t>—</t>
        </is>
      </c>
      <c r="I10" s="29" t="inlineStr"/>
      <c r="J10" s="32" t="inlineStr">
        <is>
          <t>Altura confortável. Subir saltando, descer andando.</t>
        </is>
      </c>
      <c r="K10" s="33">
        <f>IF($I10="","",IFERROR(IF(INDEX('1RM'!B$4:B$12,MATCH($H10,'1RM'!$A$4:$A$12,0))="","",ROUND(INDEX('1RM'!B$4:B$12,MATCH($H10,'1RM'!$A$4:$A$12,0))*$I10/2.5,0)*2.5),""))</f>
        <v/>
      </c>
      <c r="L10" s="33">
        <f>IF($I10="","",IFERROR(IF(INDEX('1RM'!C$4:C$12,MATCH($H10,'1RM'!$A$4:$A$12,0))="","",ROUND(INDEX('1RM'!C$4:C$12,MATCH($H10,'1RM'!$A$4:$A$12,0))*$I10/2.5,0)*2.5),""))</f>
        <v/>
      </c>
      <c r="M10" s="33">
        <f>IF($I10="","",IFERROR(IF(INDEX('1RM'!D$4:D$12,MATCH($H10,'1RM'!$A$4:$A$12,0))="","",ROUND(INDEX('1RM'!D$4:D$12,MATCH($H10,'1RM'!$A$4:$A$12,0))*$I10/2.5,0)*2.5),""))</f>
        <v/>
      </c>
      <c r="N10" s="33">
        <f>IF($I10="","",IFERROR(IF(INDEX('1RM'!E$4:E$12,MATCH($H10,'1RM'!$A$4:$A$12,0))="","",ROUND(INDEX('1RM'!E$4:E$12,MATCH($H10,'1RM'!$A$4:$A$12,0))*$I10/2.5,0)*2.5),""))</f>
        <v/>
      </c>
      <c r="O10" s="33">
        <f>IF($I10="","",IFERROR(IF(INDEX('1RM'!F$4:F$12,MATCH($H10,'1RM'!$A$4:$A$12,0))="","",ROUND(INDEX('1RM'!F$4:F$12,MATCH($H10,'1RM'!$A$4:$A$12,0))*$I10/2.5,0)*2.5),""))</f>
        <v/>
      </c>
      <c r="P10" s="33">
        <f>IF($I10="","",IFERROR(IF(INDEX('1RM'!G$4:G$12,MATCH($H10,'1RM'!$A$4:$A$12,0))="","",ROUND(INDEX('1RM'!G$4:G$12,MATCH($H10,'1RM'!$A$4:$A$12,0))*$I10/2.5,0)*2.5),""))</f>
        <v/>
      </c>
      <c r="Q10" s="33">
        <f>IF($I10="","",IFERROR(IF(INDEX('1RM'!H$4:H$12,MATCH($H10,'1RM'!$A$4:$A$12,0))="","",ROUND(INDEX('1RM'!H$4:H$12,MATCH($H10,'1RM'!$A$4:$A$12,0))*$I10/2.5,0)*2.5),""))</f>
        <v/>
      </c>
      <c r="R10" s="33">
        <f>IF($I10="","",IFERROR(IF(INDEX('1RM'!I$4:I$12,MATCH($H10,'1RM'!$A$4:$A$12,0))="","",ROUND(INDEX('1RM'!I$4:I$12,MATCH($H10,'1RM'!$A$4:$A$12,0))*$I10/2.5,0)*2.5),""))</f>
        <v/>
      </c>
      <c r="S10" s="33">
        <f>IF($I10="","",IFERROR(IF(INDEX('1RM'!J$4:J$12,MATCH($H10,'1RM'!$A$4:$A$12,0))="","",ROUND(INDEX('1RM'!J$4:J$12,MATCH($H10,'1RM'!$A$4:$A$12,0))*$I10/2.5,0)*2.5),""))</f>
        <v/>
      </c>
      <c r="T10" s="33">
        <f>IF($I10="","",IFERROR(IF(INDEX('1RM'!K$4:K$12,MATCH($H10,'1RM'!$A$4:$A$12,0))="","",ROUND(INDEX('1RM'!K$4:K$12,MATCH($H10,'1RM'!$A$4:$A$12,0))*$I10/2.5,0)*2.5),""))</f>
        <v/>
      </c>
      <c r="U10" s="33">
        <f>IF($I10="","",IFERROR(IF(INDEX('1RM'!L$4:L$12,MATCH($H10,'1RM'!$A$4:$A$12,0))="","",ROUND(INDEX('1RM'!L$4:L$12,MATCH($H10,'1RM'!$A$4:$A$12,0))*$I10/2.5,0)*2.5),""))</f>
        <v/>
      </c>
      <c r="V10" s="33">
        <f>IF($I10="","",IFERROR(IF(INDEX('1RM'!M$4:M$12,MATCH($H10,'1RM'!$A$4:$A$12,0))="","",ROUND(INDEX('1RM'!M$4:M$12,MATCH($H10,'1RM'!$A$4:$A$12,0))*$I10/2.5,0)*2.5),""))</f>
        <v/>
      </c>
      <c r="W10" s="33">
        <f>IF($I10="","",IFERROR(IF(INDEX('1RM'!N$4:N$12,MATCH($H10,'1RM'!$A$4:$A$12,0))="","",ROUND(INDEX('1RM'!N$4:N$12,MATCH($H10,'1RM'!$A$4:$A$12,0))*$I10/2.5,0)*2.5),""))</f>
        <v/>
      </c>
      <c r="X10" s="33">
        <f>IF($I10="","",IFERROR(IF(INDEX('1RM'!O$4:O$12,MATCH($H10,'1RM'!$A$4:$A$12,0))="","",ROUND(INDEX('1RM'!O$4:O$12,MATCH($H10,'1RM'!$A$4:$A$12,0))*$I10/2.5,0)*2.5),""))</f>
        <v/>
      </c>
      <c r="Y10" s="33">
        <f>IF($I10="","",IFERROR(IF(INDEX('1RM'!P$4:P$12,MATCH($H10,'1RM'!$A$4:$A$12,0))="","",ROUND(INDEX('1RM'!P$4:P$12,MATCH($H10,'1RM'!$A$4:$A$12,0))*$I10/2.5,0)*2.5),""))</f>
        <v/>
      </c>
    </row>
    <row r="11" ht="34" customHeight="1">
      <c r="A11" s="34" t="n">
        <v>4</v>
      </c>
      <c r="B11" s="35" t="inlineStr">
        <is>
          <t>Arremesso de medicine ball acima da cabeça</t>
        </is>
      </c>
      <c r="C11" s="34" t="inlineStr">
        <is>
          <t>Potência</t>
        </is>
      </c>
      <c r="D11" s="34" t="n">
        <v>3</v>
      </c>
      <c r="E11" s="34" t="n">
        <v>4</v>
      </c>
      <c r="F11" s="34" t="n">
        <v>60</v>
      </c>
      <c r="G11" s="34" t="inlineStr">
        <is>
          <t>3 a 4 kg</t>
        </is>
      </c>
      <c r="H11" s="34" t="inlineStr">
        <is>
          <t>—</t>
        </is>
      </c>
      <c r="I11" s="34" t="inlineStr"/>
      <c r="J11" s="36" t="inlineStr">
        <is>
          <t>Lançamento à frente, com os dois braços, o mais longe possível.</t>
        </is>
      </c>
      <c r="K11" s="37">
        <f>IF($I11="","",IFERROR(IF(INDEX('1RM'!B$4:B$12,MATCH($H11,'1RM'!$A$4:$A$12,0))="","",ROUND(INDEX('1RM'!B$4:B$12,MATCH($H11,'1RM'!$A$4:$A$12,0))*$I11/2.5,0)*2.5),""))</f>
        <v/>
      </c>
      <c r="L11" s="37">
        <f>IF($I11="","",IFERROR(IF(INDEX('1RM'!C$4:C$12,MATCH($H11,'1RM'!$A$4:$A$12,0))="","",ROUND(INDEX('1RM'!C$4:C$12,MATCH($H11,'1RM'!$A$4:$A$12,0))*$I11/2.5,0)*2.5),""))</f>
        <v/>
      </c>
      <c r="M11" s="37">
        <f>IF($I11="","",IFERROR(IF(INDEX('1RM'!D$4:D$12,MATCH($H11,'1RM'!$A$4:$A$12,0))="","",ROUND(INDEX('1RM'!D$4:D$12,MATCH($H11,'1RM'!$A$4:$A$12,0))*$I11/2.5,0)*2.5),""))</f>
        <v/>
      </c>
      <c r="N11" s="37">
        <f>IF($I11="","",IFERROR(IF(INDEX('1RM'!E$4:E$12,MATCH($H11,'1RM'!$A$4:$A$12,0))="","",ROUND(INDEX('1RM'!E$4:E$12,MATCH($H11,'1RM'!$A$4:$A$12,0))*$I11/2.5,0)*2.5),""))</f>
        <v/>
      </c>
      <c r="O11" s="37">
        <f>IF($I11="","",IFERROR(IF(INDEX('1RM'!F$4:F$12,MATCH($H11,'1RM'!$A$4:$A$12,0))="","",ROUND(INDEX('1RM'!F$4:F$12,MATCH($H11,'1RM'!$A$4:$A$12,0))*$I11/2.5,0)*2.5),""))</f>
        <v/>
      </c>
      <c r="P11" s="37">
        <f>IF($I11="","",IFERROR(IF(INDEX('1RM'!G$4:G$12,MATCH($H11,'1RM'!$A$4:$A$12,0))="","",ROUND(INDEX('1RM'!G$4:G$12,MATCH($H11,'1RM'!$A$4:$A$12,0))*$I11/2.5,0)*2.5),""))</f>
        <v/>
      </c>
      <c r="Q11" s="37">
        <f>IF($I11="","",IFERROR(IF(INDEX('1RM'!H$4:H$12,MATCH($H11,'1RM'!$A$4:$A$12,0))="","",ROUND(INDEX('1RM'!H$4:H$12,MATCH($H11,'1RM'!$A$4:$A$12,0))*$I11/2.5,0)*2.5),""))</f>
        <v/>
      </c>
      <c r="R11" s="37">
        <f>IF($I11="","",IFERROR(IF(INDEX('1RM'!I$4:I$12,MATCH($H11,'1RM'!$A$4:$A$12,0))="","",ROUND(INDEX('1RM'!I$4:I$12,MATCH($H11,'1RM'!$A$4:$A$12,0))*$I11/2.5,0)*2.5),""))</f>
        <v/>
      </c>
      <c r="S11" s="37">
        <f>IF($I11="","",IFERROR(IF(INDEX('1RM'!J$4:J$12,MATCH($H11,'1RM'!$A$4:$A$12,0))="","",ROUND(INDEX('1RM'!J$4:J$12,MATCH($H11,'1RM'!$A$4:$A$12,0))*$I11/2.5,0)*2.5),""))</f>
        <v/>
      </c>
      <c r="T11" s="37">
        <f>IF($I11="","",IFERROR(IF(INDEX('1RM'!K$4:K$12,MATCH($H11,'1RM'!$A$4:$A$12,0))="","",ROUND(INDEX('1RM'!K$4:K$12,MATCH($H11,'1RM'!$A$4:$A$12,0))*$I11/2.5,0)*2.5),""))</f>
        <v/>
      </c>
      <c r="U11" s="37">
        <f>IF($I11="","",IFERROR(IF(INDEX('1RM'!L$4:L$12,MATCH($H11,'1RM'!$A$4:$A$12,0))="","",ROUND(INDEX('1RM'!L$4:L$12,MATCH($H11,'1RM'!$A$4:$A$12,0))*$I11/2.5,0)*2.5),""))</f>
        <v/>
      </c>
      <c r="V11" s="37">
        <f>IF($I11="","",IFERROR(IF(INDEX('1RM'!M$4:M$12,MATCH($H11,'1RM'!$A$4:$A$12,0))="","",ROUND(INDEX('1RM'!M$4:M$12,MATCH($H11,'1RM'!$A$4:$A$12,0))*$I11/2.5,0)*2.5),""))</f>
        <v/>
      </c>
      <c r="W11" s="37">
        <f>IF($I11="","",IFERROR(IF(INDEX('1RM'!N$4:N$12,MATCH($H11,'1RM'!$A$4:$A$12,0))="","",ROUND(INDEX('1RM'!N$4:N$12,MATCH($H11,'1RM'!$A$4:$A$12,0))*$I11/2.5,0)*2.5),""))</f>
        <v/>
      </c>
      <c r="X11" s="37">
        <f>IF($I11="","",IFERROR(IF(INDEX('1RM'!O$4:O$12,MATCH($H11,'1RM'!$A$4:$A$12,0))="","",ROUND(INDEX('1RM'!O$4:O$12,MATCH($H11,'1RM'!$A$4:$A$12,0))*$I11/2.5,0)*2.5),""))</f>
        <v/>
      </c>
      <c r="Y11" s="37">
        <f>IF($I11="","",IFERROR(IF(INDEX('1RM'!P$4:P$12,MATCH($H11,'1RM'!$A$4:$A$12,0))="","",ROUND(INDEX('1RM'!P$4:P$12,MATCH($H11,'1RM'!$A$4:$A$12,0))*$I11/2.5,0)*2.5),""))</f>
        <v/>
      </c>
    </row>
    <row r="12" ht="34" customHeight="1">
      <c r="A12" s="29" t="n">
        <v>5</v>
      </c>
      <c r="B12" s="30" t="inlineStr">
        <is>
          <t>Mobilização de tornozelo na parede (knee-to-wall)</t>
        </is>
      </c>
      <c r="C12" s="29" t="inlineStr">
        <is>
          <t>Mobilidade</t>
        </is>
      </c>
      <c r="D12" s="29" t="n">
        <v>2</v>
      </c>
      <c r="E12" s="29" t="n">
        <v>8</v>
      </c>
      <c r="F12" s="29" t="n">
        <v>30</v>
      </c>
      <c r="G12" s="29" t="inlineStr">
        <is>
          <t>peso do corpo</t>
        </is>
      </c>
      <c r="H12" s="29" t="inlineStr">
        <is>
          <t>—</t>
        </is>
      </c>
      <c r="I12" s="29" t="inlineStr"/>
      <c r="J12" s="32" t="inlineStr">
        <is>
          <t>Oito em cada lado, calcanhar no chão. Abre o agachamento e a aterrissagem.</t>
        </is>
      </c>
      <c r="K12" s="33">
        <f>IF($I12="","",IFERROR(IF(INDEX('1RM'!B$4:B$12,MATCH($H12,'1RM'!$A$4:$A$12,0))="","",ROUND(INDEX('1RM'!B$4:B$12,MATCH($H12,'1RM'!$A$4:$A$12,0))*$I12/2.5,0)*2.5),""))</f>
        <v/>
      </c>
      <c r="L12" s="33">
        <f>IF($I12="","",IFERROR(IF(INDEX('1RM'!C$4:C$12,MATCH($H12,'1RM'!$A$4:$A$12,0))="","",ROUND(INDEX('1RM'!C$4:C$12,MATCH($H12,'1RM'!$A$4:$A$12,0))*$I12/2.5,0)*2.5),""))</f>
        <v/>
      </c>
      <c r="M12" s="33">
        <f>IF($I12="","",IFERROR(IF(INDEX('1RM'!D$4:D$12,MATCH($H12,'1RM'!$A$4:$A$12,0))="","",ROUND(INDEX('1RM'!D$4:D$12,MATCH($H12,'1RM'!$A$4:$A$12,0))*$I12/2.5,0)*2.5),""))</f>
        <v/>
      </c>
      <c r="N12" s="33">
        <f>IF($I12="","",IFERROR(IF(INDEX('1RM'!E$4:E$12,MATCH($H12,'1RM'!$A$4:$A$12,0))="","",ROUND(INDEX('1RM'!E$4:E$12,MATCH($H12,'1RM'!$A$4:$A$12,0))*$I12/2.5,0)*2.5),""))</f>
        <v/>
      </c>
      <c r="O12" s="33">
        <f>IF($I12="","",IFERROR(IF(INDEX('1RM'!F$4:F$12,MATCH($H12,'1RM'!$A$4:$A$12,0))="","",ROUND(INDEX('1RM'!F$4:F$12,MATCH($H12,'1RM'!$A$4:$A$12,0))*$I12/2.5,0)*2.5),""))</f>
        <v/>
      </c>
      <c r="P12" s="33">
        <f>IF($I12="","",IFERROR(IF(INDEX('1RM'!G$4:G$12,MATCH($H12,'1RM'!$A$4:$A$12,0))="","",ROUND(INDEX('1RM'!G$4:G$12,MATCH($H12,'1RM'!$A$4:$A$12,0))*$I12/2.5,0)*2.5),""))</f>
        <v/>
      </c>
      <c r="Q12" s="33">
        <f>IF($I12="","",IFERROR(IF(INDEX('1RM'!H$4:H$12,MATCH($H12,'1RM'!$A$4:$A$12,0))="","",ROUND(INDEX('1RM'!H$4:H$12,MATCH($H12,'1RM'!$A$4:$A$12,0))*$I12/2.5,0)*2.5),""))</f>
        <v/>
      </c>
      <c r="R12" s="33">
        <f>IF($I12="","",IFERROR(IF(INDEX('1RM'!I$4:I$12,MATCH($H12,'1RM'!$A$4:$A$12,0))="","",ROUND(INDEX('1RM'!I$4:I$12,MATCH($H12,'1RM'!$A$4:$A$12,0))*$I12/2.5,0)*2.5),""))</f>
        <v/>
      </c>
      <c r="S12" s="33">
        <f>IF($I12="","",IFERROR(IF(INDEX('1RM'!J$4:J$12,MATCH($H12,'1RM'!$A$4:$A$12,0))="","",ROUND(INDEX('1RM'!J$4:J$12,MATCH($H12,'1RM'!$A$4:$A$12,0))*$I12/2.5,0)*2.5),""))</f>
        <v/>
      </c>
      <c r="T12" s="33">
        <f>IF($I12="","",IFERROR(IF(INDEX('1RM'!K$4:K$12,MATCH($H12,'1RM'!$A$4:$A$12,0))="","",ROUND(INDEX('1RM'!K$4:K$12,MATCH($H12,'1RM'!$A$4:$A$12,0))*$I12/2.5,0)*2.5),""))</f>
        <v/>
      </c>
      <c r="U12" s="33">
        <f>IF($I12="","",IFERROR(IF(INDEX('1RM'!L$4:L$12,MATCH($H12,'1RM'!$A$4:$A$12,0))="","",ROUND(INDEX('1RM'!L$4:L$12,MATCH($H12,'1RM'!$A$4:$A$12,0))*$I12/2.5,0)*2.5),""))</f>
        <v/>
      </c>
      <c r="V12" s="33">
        <f>IF($I12="","",IFERROR(IF(INDEX('1RM'!M$4:M$12,MATCH($H12,'1RM'!$A$4:$A$12,0))="","",ROUND(INDEX('1RM'!M$4:M$12,MATCH($H12,'1RM'!$A$4:$A$12,0))*$I12/2.5,0)*2.5),""))</f>
        <v/>
      </c>
      <c r="W12" s="33">
        <f>IF($I12="","",IFERROR(IF(INDEX('1RM'!N$4:N$12,MATCH($H12,'1RM'!$A$4:$A$12,0))="","",ROUND(INDEX('1RM'!N$4:N$12,MATCH($H12,'1RM'!$A$4:$A$12,0))*$I12/2.5,0)*2.5),""))</f>
        <v/>
      </c>
      <c r="X12" s="33">
        <f>IF($I12="","",IFERROR(IF(INDEX('1RM'!O$4:O$12,MATCH($H12,'1RM'!$A$4:$A$12,0))="","",ROUND(INDEX('1RM'!O$4:O$12,MATCH($H12,'1RM'!$A$4:$A$12,0))*$I12/2.5,0)*2.5),""))</f>
        <v/>
      </c>
      <c r="Y12" s="33">
        <f>IF($I12="","",IFERROR(IF(INDEX('1RM'!P$4:P$12,MATCH($H12,'1RM'!$A$4:$A$12,0))="","",ROUND(INDEX('1RM'!P$4:P$12,MATCH($H12,'1RM'!$A$4:$A$12,0))*$I12/2.5,0)*2.5),""))</f>
        <v/>
      </c>
    </row>
    <row r="14">
      <c r="A14" s="24" t="inlineStr">
        <is>
          <t>Regra da sessão</t>
        </is>
      </c>
    </row>
    <row r="15">
      <c r="A15" s="21" t="inlineStr">
        <is>
          <t>A coluna de cada atleta é o quilo que sai do 1RM dele, já arredondado à anilha. Em branco = falta o 1RM daquele exercício na aba 1RM.</t>
        </is>
      </c>
    </row>
    <row r="16">
      <c r="A16" s="21" t="inlineStr">
        <is>
          <t>"RIR 2" é repetições na reserva: terminar a série com duas que ainda sairiam com técnica limpa. Não é ir até a falha.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2026-10-10T18:39:30Z</dcterms:created>
  <dcterms:modified xsi:type="dcterms:W3CDTF">2026-10-10T18:39:30Z</dcterms:modified>
</cp:coreProperties>
</file>